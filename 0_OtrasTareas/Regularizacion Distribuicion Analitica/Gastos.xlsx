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OPORTE\Desktop\vaope-bi\0_OtrasTareas\Regularizacion Distribuicion Analitica\"/>
    </mc:Choice>
  </mc:AlternateContent>
  <xr:revisionPtr revIDLastSave="0" documentId="13_ncr:1_{F1405F22-AB7C-4719-BDA1-2E642E2D000B}" xr6:coauthVersionLast="47" xr6:coauthVersionMax="47" xr10:uidLastSave="{00000000-0000-0000-0000-000000000000}"/>
  <bookViews>
    <workbookView xWindow="20370" yWindow="-1485" windowWidth="29040" windowHeight="15720" xr2:uid="{A43D6154-5902-4431-A773-2A510DC88D28}"/>
  </bookViews>
  <sheets>
    <sheet name="Regularizar" sheetId="2" r:id="rId1"/>
    <sheet name="Hoja1" sheetId="1" r:id="rId2"/>
  </sheets>
  <externalReferences>
    <externalReference r:id="rId3"/>
  </externalReferences>
  <calcPr calcId="191029"/>
  <pivotCaches>
    <pivotCache cacheId="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17" i="1" l="1"/>
  <c r="AA216" i="1"/>
  <c r="AA215" i="1"/>
  <c r="AA214" i="1"/>
  <c r="AA213" i="1"/>
  <c r="AA212" i="1"/>
  <c r="AA211" i="1"/>
  <c r="AA210" i="1"/>
  <c r="AA209" i="1"/>
  <c r="AA208" i="1"/>
  <c r="AA207" i="1"/>
  <c r="AA206" i="1"/>
  <c r="AA205" i="1"/>
  <c r="AA204" i="1"/>
  <c r="AA203" i="1"/>
  <c r="AA202" i="1"/>
  <c r="AA201" i="1"/>
  <c r="AA200" i="1"/>
  <c r="AA199" i="1"/>
  <c r="AA198" i="1"/>
  <c r="AA197" i="1"/>
  <c r="AA196" i="1"/>
  <c r="AA195" i="1"/>
  <c r="AA194" i="1"/>
  <c r="AA193" i="1"/>
  <c r="AA192" i="1"/>
  <c r="AA191" i="1"/>
  <c r="AA190" i="1"/>
  <c r="AA189" i="1"/>
  <c r="AA188" i="1"/>
  <c r="AA187" i="1"/>
  <c r="AA186" i="1"/>
  <c r="AA185" i="1"/>
  <c r="AA184" i="1"/>
  <c r="AA183" i="1"/>
  <c r="AA182" i="1"/>
  <c r="AA181" i="1"/>
  <c r="AA180" i="1"/>
  <c r="AA179" i="1"/>
  <c r="AA178" i="1"/>
  <c r="AA177" i="1"/>
  <c r="AA176" i="1"/>
  <c r="AA175" i="1"/>
  <c r="AA174" i="1"/>
  <c r="AA173" i="1"/>
  <c r="AA172" i="1"/>
  <c r="AA171" i="1"/>
  <c r="AA170" i="1"/>
  <c r="AA169" i="1"/>
  <c r="AA168" i="1"/>
  <c r="AA167" i="1"/>
  <c r="AA166" i="1"/>
  <c r="AA165" i="1"/>
  <c r="AA164" i="1"/>
  <c r="AA163" i="1"/>
  <c r="AA162" i="1"/>
  <c r="AA161" i="1"/>
  <c r="AA160" i="1"/>
  <c r="AA159" i="1"/>
  <c r="AA158" i="1"/>
  <c r="AA157" i="1"/>
  <c r="AA156" i="1"/>
  <c r="AA155" i="1"/>
  <c r="AA154" i="1"/>
  <c r="AA153" i="1"/>
  <c r="AA152" i="1"/>
  <c r="AA151" i="1"/>
  <c r="AA150" i="1"/>
  <c r="AA149" i="1"/>
  <c r="AA148" i="1"/>
  <c r="AA147" i="1"/>
  <c r="AA146" i="1"/>
  <c r="AA145" i="1"/>
  <c r="AA144" i="1"/>
  <c r="AA143" i="1"/>
  <c r="AA142" i="1"/>
  <c r="AA141" i="1"/>
  <c r="AA140" i="1"/>
  <c r="AA139" i="1"/>
  <c r="AA138" i="1"/>
  <c r="AA137" i="1"/>
  <c r="AA136" i="1"/>
  <c r="AA135" i="1"/>
  <c r="AA134" i="1"/>
  <c r="AA133" i="1"/>
  <c r="AA132" i="1"/>
  <c r="AA131" i="1"/>
  <c r="AA130" i="1"/>
  <c r="AA129" i="1"/>
  <c r="AA128" i="1"/>
  <c r="AA127" i="1"/>
  <c r="AA126" i="1"/>
  <c r="AA125" i="1"/>
  <c r="AA124" i="1"/>
  <c r="AA123" i="1"/>
  <c r="AA122" i="1"/>
  <c r="AA121" i="1"/>
  <c r="AA120" i="1"/>
  <c r="AA119" i="1"/>
  <c r="AA118" i="1"/>
  <c r="AA117" i="1"/>
  <c r="AA116" i="1"/>
  <c r="AA115" i="1"/>
  <c r="AA114" i="1"/>
  <c r="AA113" i="1"/>
  <c r="AA112" i="1"/>
  <c r="AA111" i="1"/>
  <c r="AA110" i="1"/>
  <c r="AA109" i="1"/>
  <c r="AA108" i="1"/>
  <c r="AA107" i="1"/>
  <c r="AA106" i="1"/>
  <c r="AA105" i="1"/>
  <c r="AA104" i="1"/>
  <c r="AA103" i="1"/>
  <c r="AA102" i="1"/>
  <c r="AA101" i="1"/>
  <c r="AA100" i="1"/>
  <c r="AA99" i="1"/>
  <c r="AA98" i="1"/>
  <c r="AA97" i="1"/>
  <c r="AA96" i="1"/>
  <c r="AA95" i="1"/>
  <c r="AA94" i="1"/>
  <c r="AA93" i="1"/>
  <c r="AA92" i="1"/>
  <c r="AA91" i="1"/>
  <c r="AA90" i="1"/>
  <c r="AA89" i="1"/>
  <c r="AA88" i="1"/>
  <c r="AA87" i="1"/>
  <c r="AA86" i="1"/>
  <c r="AA85" i="1"/>
  <c r="AA84" i="1"/>
  <c r="AA83" i="1"/>
  <c r="AA82" i="1"/>
  <c r="AA81" i="1"/>
  <c r="AA80" i="1"/>
  <c r="AA79" i="1"/>
  <c r="AA78" i="1"/>
  <c r="AA77" i="1"/>
  <c r="AA76" i="1"/>
  <c r="AA75" i="1"/>
  <c r="AA74" i="1"/>
  <c r="AA73" i="1"/>
  <c r="AA72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AA5" i="1"/>
  <c r="AA4" i="1"/>
  <c r="AA3" i="1"/>
  <c r="AA2" i="1"/>
</calcChain>
</file>

<file path=xl/sharedStrings.xml><?xml version="1.0" encoding="utf-8"?>
<sst xmlns="http://schemas.openxmlformats.org/spreadsheetml/2006/main" count="756" uniqueCount="136">
  <si>
    <t>F002-00001584</t>
  </si>
  <si>
    <t>COLABORATIVA S.A.C.</t>
  </si>
  <si>
    <t>Odoo</t>
  </si>
  <si>
    <t>E001-00000005</t>
  </si>
  <si>
    <t>E001-00000493</t>
  </si>
  <si>
    <t>E001-00000492</t>
  </si>
  <si>
    <t>E001-38</t>
  </si>
  <si>
    <t>E001-00000015</t>
  </si>
  <si>
    <t>E001-00000122</t>
  </si>
  <si>
    <t>E001-00000020</t>
  </si>
  <si>
    <t>F090-00187668</t>
  </si>
  <si>
    <t>F090-00187667</t>
  </si>
  <si>
    <t>F090-00187665</t>
  </si>
  <si>
    <t>F090-00187666</t>
  </si>
  <si>
    <t>F002-00001533</t>
  </si>
  <si>
    <t>F S108-00389525</t>
  </si>
  <si>
    <t>FI40-00016363</t>
  </si>
  <si>
    <t>F017-00003599</t>
  </si>
  <si>
    <t>F003-00000798</t>
  </si>
  <si>
    <t>FI37-00027698</t>
  </si>
  <si>
    <t>F E001-00000527</t>
  </si>
  <si>
    <t>F E001-00000526</t>
  </si>
  <si>
    <t>F F001-00009446</t>
  </si>
  <si>
    <t>F E001-00000049</t>
  </si>
  <si>
    <t>F F002-00032725</t>
  </si>
  <si>
    <t>F F004-01101419</t>
  </si>
  <si>
    <t>F N° F001-00009370</t>
  </si>
  <si>
    <t>F F004-00025461</t>
  </si>
  <si>
    <t>F E001-00001195</t>
  </si>
  <si>
    <t>F E001-00000557</t>
  </si>
  <si>
    <t>F E001-00003801</t>
  </si>
  <si>
    <t>F E001-00000270</t>
  </si>
  <si>
    <t>F F101-00013907</t>
  </si>
  <si>
    <t>F F052-01567501</t>
  </si>
  <si>
    <t>RE-00117</t>
  </si>
  <si>
    <t>RE-00173</t>
  </si>
  <si>
    <t>RE-00116</t>
  </si>
  <si>
    <t>F F002-00031139</t>
  </si>
  <si>
    <t>F F001-00024304</t>
  </si>
  <si>
    <t>F F001-00024303</t>
  </si>
  <si>
    <t>F E001-00000055</t>
  </si>
  <si>
    <t>F E001-00000495</t>
  </si>
  <si>
    <t>F E001-00000494</t>
  </si>
  <si>
    <t>F E001-00000037</t>
  </si>
  <si>
    <t>F E001-00000050</t>
  </si>
  <si>
    <t>F F002-00031007</t>
  </si>
  <si>
    <t>RE-00115</t>
  </si>
  <si>
    <t>F F001-00008887</t>
  </si>
  <si>
    <t>R-10412704113</t>
  </si>
  <si>
    <t>R E001-22</t>
  </si>
  <si>
    <t>F E001-00000027</t>
  </si>
  <si>
    <t>F E001-00000354</t>
  </si>
  <si>
    <t>F E001-00000141</t>
  </si>
  <si>
    <t>F E001-00000036</t>
  </si>
  <si>
    <t>F E001-00000492</t>
  </si>
  <si>
    <t>F E001-00000035</t>
  </si>
  <si>
    <t>F F001-00007417</t>
  </si>
  <si>
    <t>F E001-00001288</t>
  </si>
  <si>
    <t>R E001-115</t>
  </si>
  <si>
    <t>F FX02-00343038</t>
  </si>
  <si>
    <t>F E001-00000250</t>
  </si>
  <si>
    <t>F E001-00000249</t>
  </si>
  <si>
    <t>F F001-000 1167</t>
  </si>
  <si>
    <t>R S108-84224 N-BV-04145</t>
  </si>
  <si>
    <t>F F001-00024068</t>
  </si>
  <si>
    <t>F F052-01536673</t>
  </si>
  <si>
    <t>F E001-00000029</t>
  </si>
  <si>
    <t>F F001-00008823</t>
  </si>
  <si>
    <t>F E001-00000033</t>
  </si>
  <si>
    <t>F E001-00001285</t>
  </si>
  <si>
    <t>R E001-13</t>
  </si>
  <si>
    <t>F E001-00000032</t>
  </si>
  <si>
    <t>R E001-18</t>
  </si>
  <si>
    <t>F E001-00000031</t>
  </si>
  <si>
    <t>F E001-00000242</t>
  </si>
  <si>
    <t>F E001-00000247</t>
  </si>
  <si>
    <t>F E001-00000051</t>
  </si>
  <si>
    <t>EgresoID</t>
  </si>
  <si>
    <t>FechaFacturaID</t>
  </si>
  <si>
    <t>FechaID</t>
  </si>
  <si>
    <t>EventoID</t>
  </si>
  <si>
    <t>ProductoID</t>
  </si>
  <si>
    <t>CantidadProd</t>
  </si>
  <si>
    <t>SinImpuesto</t>
  </si>
  <si>
    <t>TipoGastoID</t>
  </si>
  <si>
    <t>Total</t>
  </si>
  <si>
    <t>PercentDist</t>
  </si>
  <si>
    <t>FacturaDetalleID</t>
  </si>
  <si>
    <t>Impuesto</t>
  </si>
  <si>
    <t>EstadoFacturaID</t>
  </si>
  <si>
    <t>DistribucionID</t>
  </si>
  <si>
    <t>FacturaID</t>
  </si>
  <si>
    <t>CuentaID</t>
  </si>
  <si>
    <t>valor_unitario</t>
  </si>
  <si>
    <t>precio_unitario</t>
  </si>
  <si>
    <t>descuento</t>
  </si>
  <si>
    <t>porcentaje_igv</t>
  </si>
  <si>
    <t>moneda</t>
  </si>
  <si>
    <t>tipo_cambio</t>
  </si>
  <si>
    <t>nombreEmpresa</t>
  </si>
  <si>
    <t>Fuente</t>
  </si>
  <si>
    <t>FechaCarga</t>
  </si>
  <si>
    <t>ProveedorID</t>
  </si>
  <si>
    <t>factura</t>
  </si>
  <si>
    <t>F F001 - 000 1167</t>
  </si>
  <si>
    <t>F F001 - 00007417</t>
  </si>
  <si>
    <t>FXP/2025/09/0004</t>
  </si>
  <si>
    <t>FXP/2025/09/0006</t>
  </si>
  <si>
    <t>FXP/2025/09/0034</t>
  </si>
  <si>
    <t>FXP/2025/09/0047</t>
  </si>
  <si>
    <t>FXP/2025/09/0049</t>
  </si>
  <si>
    <t>FXP/2025/10/0053</t>
  </si>
  <si>
    <t>FXP/2025/10/0054</t>
  </si>
  <si>
    <t>FXP/2025/10/0057</t>
  </si>
  <si>
    <t>FXP/2025/10/0058</t>
  </si>
  <si>
    <t>FXP/2025/10/0059</t>
  </si>
  <si>
    <t>FXP/2025/10/0072</t>
  </si>
  <si>
    <t>FXP/2025/10/0084</t>
  </si>
  <si>
    <t>FXP/2025/10/0095</t>
  </si>
  <si>
    <t>FXP/2025/10/0096</t>
  </si>
  <si>
    <t>FXP/2025/10/0097</t>
  </si>
  <si>
    <t>FXP/2025/10/0113</t>
  </si>
  <si>
    <t>FXP/2025/10/0116</t>
  </si>
  <si>
    <t>R 10412704113</t>
  </si>
  <si>
    <t>R E001 - 115</t>
  </si>
  <si>
    <t>R E001 15</t>
  </si>
  <si>
    <t>R E001 16</t>
  </si>
  <si>
    <t>R E001 17</t>
  </si>
  <si>
    <t>R E001 73</t>
  </si>
  <si>
    <t>#N/D</t>
  </si>
  <si>
    <t>Total general</t>
  </si>
  <si>
    <t>Suma de Impuesto</t>
  </si>
  <si>
    <t>Suma de Total</t>
  </si>
  <si>
    <t>Suma de SinImpuesto</t>
  </si>
  <si>
    <t>Facturas sin Distribucion Analitica</t>
  </si>
  <si>
    <t xml:space="preserve"> 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</si>
</sst>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OPORTE\Desktop\vaope-bi\4_Validaciones\Informe%20Ventas%20y%20Egresos\Gastos\Asiento%20contable%20(account.move)_Gastos_v3.xlsx" TargetMode="External"/><Relationship Id="rId1" Type="http://schemas.openxmlformats.org/officeDocument/2006/relationships/externalLinkPath" Target="/Users/SOPORTE/Desktop/vaope-bi/4_Validaciones/Informe%20Ventas%20y%20Egresos/Gastos/Asiento%20contable%20(account.move)_Gastos_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entas_odoo Interface"/>
      <sheetName val="Hoja1"/>
      <sheetName val="Validaciones_odooInterface"/>
      <sheetName val="facturas_con_items_json"/>
      <sheetName val="Detalle5"/>
      <sheetName val="Detalle1"/>
      <sheetName val="validaciones_json"/>
      <sheetName val="SQL"/>
      <sheetName val="Checklist"/>
    </sheetNames>
    <sheetDataSet>
      <sheetData sheetId="0">
        <row r="1">
          <cell r="E1" t="str">
            <v>BUSQUEDA</v>
          </cell>
          <cell r="F1" t="str">
            <v>VAOPE Codigo Evento</v>
          </cell>
          <cell r="G1" t="str">
            <v>Evento</v>
          </cell>
          <cell r="H1" t="str">
            <v>Nombre del contacto a mostrar en la factura</v>
          </cell>
          <cell r="I1" t="str">
            <v>Fecha de factura</v>
          </cell>
          <cell r="J1" t="str">
            <v>Fecha</v>
          </cell>
          <cell r="K1" t="str">
            <v>Fecha de vencimiento</v>
          </cell>
          <cell r="L1" t="str">
            <v>Origen</v>
          </cell>
          <cell r="M1" t="str">
            <v>Referencia de pago</v>
          </cell>
          <cell r="N1" t="str">
            <v>Referencia</v>
          </cell>
          <cell r="O1" t="str">
            <v>Actividades</v>
          </cell>
          <cell r="P1" t="str">
            <v>Empresa</v>
          </cell>
          <cell r="Q1" t="str">
            <v>Importe sin impuestos firmado</v>
          </cell>
          <cell r="R1" t="str">
            <v>Impuesto firmado</v>
          </cell>
          <cell r="S1" t="str">
            <v>Total firmado</v>
          </cell>
          <cell r="T1" t="str">
            <v>Total en divisa firmado</v>
          </cell>
          <cell r="U1" t="str">
            <v>Importe pendiente firmado</v>
          </cell>
          <cell r="V1" t="str">
            <v>Moneda</v>
          </cell>
          <cell r="W1" t="str">
            <v>Por revisar</v>
          </cell>
          <cell r="X1" t="str">
            <v>Estado de pago</v>
          </cell>
          <cell r="Y1" t="str">
            <v>Facturación electrónica</v>
          </cell>
          <cell r="Z1" t="str">
            <v>Nivel de bloqueo de EDI</v>
          </cell>
          <cell r="AA1" t="str">
            <v>Mensaje de error de EDI</v>
          </cell>
          <cell r="AB1" t="str">
            <v>Estado</v>
          </cell>
          <cell r="AC1" t="str">
            <v>Tipo de gasto</v>
          </cell>
          <cell r="AD1" t="str">
            <v>nro_productos</v>
          </cell>
          <cell r="AE1" t="str">
            <v>Nombre Producto</v>
          </cell>
          <cell r="AF1" t="str">
            <v>Distribucion_analitica</v>
          </cell>
          <cell r="AG1" t="str">
            <v>%distribucion</v>
          </cell>
          <cell r="AH1" t="str">
            <v>Nombre Cuenta</v>
          </cell>
          <cell r="AI1" t="str">
            <v>Valor Unitario</v>
          </cell>
          <cell r="AJ1" t="str">
            <v>Precio_Unitario</v>
          </cell>
          <cell r="AK1" t="str">
            <v>Descuento</v>
          </cell>
          <cell r="AL1" t="str">
            <v>Tipo_cambio</v>
          </cell>
          <cell r="AM1" t="str">
            <v>Fecha Evento</v>
          </cell>
          <cell r="AN1" t="str">
            <v>FechaEvento_fechaFactura</v>
          </cell>
          <cell r="AO1" t="str">
            <v>busque</v>
          </cell>
          <cell r="AP1" t="str">
            <v>Número</v>
          </cell>
        </row>
        <row r="2">
          <cell r="E2" t="str">
            <v>E001-00000068</v>
          </cell>
          <cell r="F2">
            <v>0</v>
          </cell>
          <cell r="H2" t="str">
            <v>VENTURA SABINO MIGUEL ANGEL</v>
          </cell>
          <cell r="I2">
            <v>45944</v>
          </cell>
          <cell r="J2">
            <v>45944</v>
          </cell>
          <cell r="K2">
            <v>45944</v>
          </cell>
          <cell r="O2" t="str">
            <v>PENDIENTE DE PAGO</v>
          </cell>
          <cell r="P2" t="str">
            <v>COLABORATIVA S.A.C.</v>
          </cell>
          <cell r="Q2">
            <v>-2170</v>
          </cell>
          <cell r="S2">
            <v>-2170</v>
          </cell>
          <cell r="T2">
            <v>-2170</v>
          </cell>
          <cell r="V2" t="str">
            <v>PEN</v>
          </cell>
          <cell r="W2" t="b">
            <v>0</v>
          </cell>
          <cell r="X2" t="str">
            <v>Pagado</v>
          </cell>
          <cell r="AB2" t="str">
            <v>Registrado</v>
          </cell>
          <cell r="AN2">
            <v>45944</v>
          </cell>
          <cell r="AO2" t="e">
            <v>#N/A</v>
          </cell>
          <cell r="AP2" t="str">
            <v>FXP/2025/10/0117</v>
          </cell>
        </row>
        <row r="3">
          <cell r="E3" t="str">
            <v>F002-00001584</v>
          </cell>
          <cell r="F3">
            <v>0</v>
          </cell>
          <cell r="H3" t="str">
            <v>PRAGMATIC S.A.C.</v>
          </cell>
          <cell r="I3">
            <v>45943</v>
          </cell>
          <cell r="J3">
            <v>45943</v>
          </cell>
          <cell r="K3">
            <v>45944</v>
          </cell>
          <cell r="L3" t="str">
            <v>P00289</v>
          </cell>
          <cell r="N3" t="str">
            <v>F002-00001584</v>
          </cell>
          <cell r="P3" t="str">
            <v>COLABORATIVA S.A.C.</v>
          </cell>
          <cell r="Q3">
            <v>-450</v>
          </cell>
          <cell r="R3">
            <v>-81</v>
          </cell>
          <cell r="S3">
            <v>-531</v>
          </cell>
          <cell r="T3">
            <v>-531</v>
          </cell>
          <cell r="V3" t="str">
            <v>PEN</v>
          </cell>
          <cell r="W3" t="b">
            <v>0</v>
          </cell>
          <cell r="X3" t="str">
            <v>Pagado</v>
          </cell>
          <cell r="AB3" t="str">
            <v>Registrado</v>
          </cell>
          <cell r="AN3">
            <v>45943</v>
          </cell>
          <cell r="AO3" t="e">
            <v>#N/A</v>
          </cell>
          <cell r="AP3" t="str">
            <v>FXP/2025/10/0116</v>
          </cell>
        </row>
        <row r="4">
          <cell r="E4" t="str">
            <v>E001-00000005</v>
          </cell>
          <cell r="F4">
            <v>0</v>
          </cell>
          <cell r="H4" t="str">
            <v>GUTIERREZ PETIT MARIA ANGEL</v>
          </cell>
          <cell r="I4">
            <v>45943</v>
          </cell>
          <cell r="J4">
            <v>45943</v>
          </cell>
          <cell r="K4">
            <v>45943</v>
          </cell>
          <cell r="N4" t="str">
            <v>E001-5</v>
          </cell>
          <cell r="P4" t="str">
            <v>COLABORATIVA S.A.C.</v>
          </cell>
          <cell r="Q4">
            <v>-3550</v>
          </cell>
          <cell r="S4">
            <v>-3550</v>
          </cell>
          <cell r="T4">
            <v>-3550</v>
          </cell>
          <cell r="V4" t="str">
            <v>PEN</v>
          </cell>
          <cell r="W4" t="b">
            <v>0</v>
          </cell>
          <cell r="X4" t="str">
            <v>Pagado</v>
          </cell>
          <cell r="AB4" t="str">
            <v>Registrado</v>
          </cell>
          <cell r="AN4">
            <v>45943</v>
          </cell>
          <cell r="AO4" t="e">
            <v>#N/A</v>
          </cell>
          <cell r="AP4" t="str">
            <v>FXP/2025/10/0113</v>
          </cell>
        </row>
        <row r="5">
          <cell r="E5" t="str">
            <v>E001-00000039</v>
          </cell>
          <cell r="F5">
            <v>0</v>
          </cell>
          <cell r="H5" t="str">
            <v>CARMEN CRUZ MILAGROS ZONALI</v>
          </cell>
          <cell r="I5">
            <v>45942</v>
          </cell>
          <cell r="J5">
            <v>45943</v>
          </cell>
          <cell r="K5">
            <v>45942</v>
          </cell>
          <cell r="L5" t="str">
            <v>P00286</v>
          </cell>
          <cell r="N5" t="str">
            <v>E001-39</v>
          </cell>
          <cell r="P5" t="str">
            <v>COLABORATIVA S.A.C.</v>
          </cell>
          <cell r="Q5">
            <v>-1640</v>
          </cell>
          <cell r="S5">
            <v>-1640</v>
          </cell>
          <cell r="T5">
            <v>-1640</v>
          </cell>
          <cell r="V5" t="str">
            <v>PEN</v>
          </cell>
          <cell r="W5" t="b">
            <v>0</v>
          </cell>
          <cell r="X5" t="str">
            <v>Pagado</v>
          </cell>
          <cell r="AB5" t="str">
            <v>Registrado</v>
          </cell>
          <cell r="AN5">
            <v>45942</v>
          </cell>
          <cell r="AO5" t="e">
            <v>#N/A</v>
          </cell>
          <cell r="AP5" t="str">
            <v>FXP/2025/10/0109</v>
          </cell>
        </row>
        <row r="6">
          <cell r="E6" t="str">
            <v>F052-01689541</v>
          </cell>
          <cell r="F6">
            <v>0</v>
          </cell>
          <cell r="H6" t="str">
            <v>MAPFRE PERU S.A.</v>
          </cell>
          <cell r="I6">
            <v>45941</v>
          </cell>
          <cell r="J6">
            <v>45941</v>
          </cell>
          <cell r="K6">
            <v>45941</v>
          </cell>
          <cell r="L6" t="str">
            <v>P00285</v>
          </cell>
          <cell r="N6" t="str">
            <v>F052-01689541</v>
          </cell>
          <cell r="P6" t="str">
            <v>COLABORATIVA S.A.C.</v>
          </cell>
          <cell r="Q6">
            <v>-225</v>
          </cell>
          <cell r="R6">
            <v>-40.5</v>
          </cell>
          <cell r="S6">
            <v>-265.5</v>
          </cell>
          <cell r="T6">
            <v>-265.5</v>
          </cell>
          <cell r="V6" t="str">
            <v>PEN</v>
          </cell>
          <cell r="W6" t="b">
            <v>0</v>
          </cell>
          <cell r="X6" t="str">
            <v>Pagado</v>
          </cell>
          <cell r="AB6" t="str">
            <v>Registrado</v>
          </cell>
          <cell r="AN6">
            <v>45941</v>
          </cell>
          <cell r="AO6" t="e">
            <v>#N/A</v>
          </cell>
          <cell r="AP6" t="str">
            <v>FXP/2025/10/0111</v>
          </cell>
        </row>
        <row r="7">
          <cell r="E7" t="str">
            <v>E001-20</v>
          </cell>
          <cell r="F7">
            <v>0</v>
          </cell>
          <cell r="H7" t="str">
            <v>VARGAS HUARCAYA DANIELA RUBI</v>
          </cell>
          <cell r="I7">
            <v>45940</v>
          </cell>
          <cell r="J7">
            <v>45940</v>
          </cell>
          <cell r="K7">
            <v>45940</v>
          </cell>
          <cell r="N7" t="str">
            <v>E001- 20</v>
          </cell>
          <cell r="P7" t="str">
            <v>COLABORATIVA S.A.C.</v>
          </cell>
          <cell r="Q7">
            <v>-5400</v>
          </cell>
          <cell r="S7">
            <v>-5400</v>
          </cell>
          <cell r="T7">
            <v>-5400</v>
          </cell>
          <cell r="V7" t="str">
            <v>PEN</v>
          </cell>
          <cell r="W7" t="b">
            <v>0</v>
          </cell>
          <cell r="X7" t="str">
            <v>Pagado</v>
          </cell>
          <cell r="AB7" t="str">
            <v>Registrado</v>
          </cell>
          <cell r="AN7">
            <v>45940</v>
          </cell>
          <cell r="AO7" t="e">
            <v>#N/A</v>
          </cell>
          <cell r="AP7" t="str">
            <v>FXP/2025/10/0112</v>
          </cell>
        </row>
        <row r="8">
          <cell r="E8" t="str">
            <v>F250-00000900</v>
          </cell>
          <cell r="F8">
            <v>0</v>
          </cell>
          <cell r="H8" t="str">
            <v>DOLCE CAPRICCIO SAC</v>
          </cell>
          <cell r="I8">
            <v>45940</v>
          </cell>
          <cell r="J8">
            <v>45940</v>
          </cell>
          <cell r="K8">
            <v>45943</v>
          </cell>
          <cell r="L8" t="str">
            <v>P00284</v>
          </cell>
          <cell r="P8" t="str">
            <v>COLABORATIVA S.A.C.</v>
          </cell>
          <cell r="Q8">
            <v>-101.69</v>
          </cell>
          <cell r="R8">
            <v>-18.309999999999999</v>
          </cell>
          <cell r="S8">
            <v>-120</v>
          </cell>
          <cell r="T8">
            <v>-120</v>
          </cell>
          <cell r="V8" t="str">
            <v>PEN</v>
          </cell>
          <cell r="W8" t="b">
            <v>0</v>
          </cell>
          <cell r="X8" t="str">
            <v>Pagado</v>
          </cell>
          <cell r="AB8" t="str">
            <v>Registrado</v>
          </cell>
          <cell r="AN8">
            <v>45940</v>
          </cell>
          <cell r="AO8" t="e">
            <v>#N/A</v>
          </cell>
          <cell r="AP8" t="str">
            <v>FXP/2025/10/0110</v>
          </cell>
        </row>
        <row r="9">
          <cell r="E9" t="str">
            <v>E001-18</v>
          </cell>
          <cell r="F9">
            <v>0</v>
          </cell>
          <cell r="H9" t="str">
            <v>GALVAN VARGAS DAYANA LIZBETH</v>
          </cell>
          <cell r="I9">
            <v>45940</v>
          </cell>
          <cell r="J9">
            <v>45940</v>
          </cell>
          <cell r="K9">
            <v>45940</v>
          </cell>
          <cell r="N9" t="str">
            <v>E001- 18</v>
          </cell>
          <cell r="P9" t="str">
            <v>COLABORATIVA S.A.C.</v>
          </cell>
          <cell r="Q9">
            <v>-7000</v>
          </cell>
          <cell r="S9">
            <v>-7000</v>
          </cell>
          <cell r="T9">
            <v>-7000</v>
          </cell>
          <cell r="V9" t="str">
            <v>PEN</v>
          </cell>
          <cell r="W9" t="b">
            <v>0</v>
          </cell>
          <cell r="X9" t="str">
            <v>Pagado</v>
          </cell>
          <cell r="AB9" t="str">
            <v>Registrado</v>
          </cell>
          <cell r="AN9">
            <v>45940</v>
          </cell>
          <cell r="AO9" t="e">
            <v>#N/A</v>
          </cell>
          <cell r="AP9" t="str">
            <v>FXP/2025/10/0108</v>
          </cell>
        </row>
        <row r="10">
          <cell r="E10" t="str">
            <v>E001-00000057</v>
          </cell>
          <cell r="F10">
            <v>0</v>
          </cell>
          <cell r="H10" t="str">
            <v>SOLANO CALDERON JUAN ALONSO</v>
          </cell>
          <cell r="I10">
            <v>45940</v>
          </cell>
          <cell r="J10">
            <v>45940</v>
          </cell>
          <cell r="K10">
            <v>45940</v>
          </cell>
          <cell r="L10" t="str">
            <v>P00283</v>
          </cell>
          <cell r="P10" t="str">
            <v>COLABORATIVA S.A.C.</v>
          </cell>
          <cell r="Q10">
            <v>-338.98</v>
          </cell>
          <cell r="R10">
            <v>-61.02</v>
          </cell>
          <cell r="S10">
            <v>-400</v>
          </cell>
          <cell r="T10">
            <v>-400</v>
          </cell>
          <cell r="V10" t="str">
            <v>PEN</v>
          </cell>
          <cell r="W10" t="b">
            <v>0</v>
          </cell>
          <cell r="X10" t="str">
            <v>Pagado</v>
          </cell>
          <cell r="AB10" t="str">
            <v>Registrado</v>
          </cell>
          <cell r="AN10">
            <v>45940</v>
          </cell>
          <cell r="AO10" t="e">
            <v>#N/A</v>
          </cell>
          <cell r="AP10" t="str">
            <v>FXP/2025/10/0106</v>
          </cell>
        </row>
        <row r="11">
          <cell r="E11" t="str">
            <v>E001-00000026</v>
          </cell>
          <cell r="F11">
            <v>0</v>
          </cell>
          <cell r="H11" t="str">
            <v>ESPINO MORI LEANDRO JOAQUIN</v>
          </cell>
          <cell r="I11">
            <v>45940</v>
          </cell>
          <cell r="J11">
            <v>45940</v>
          </cell>
          <cell r="K11">
            <v>45940</v>
          </cell>
          <cell r="L11" t="str">
            <v>P00282</v>
          </cell>
          <cell r="P11" t="str">
            <v>COLABORATIVA S.A.C.</v>
          </cell>
          <cell r="Q11">
            <v>-296.61</v>
          </cell>
          <cell r="R11">
            <v>-53.39</v>
          </cell>
          <cell r="S11">
            <v>-350</v>
          </cell>
          <cell r="T11">
            <v>-350</v>
          </cell>
          <cell r="V11" t="str">
            <v>PEN</v>
          </cell>
          <cell r="W11" t="b">
            <v>0</v>
          </cell>
          <cell r="X11" t="str">
            <v>Pagado</v>
          </cell>
          <cell r="AB11" t="str">
            <v>Registrado</v>
          </cell>
          <cell r="AN11">
            <v>45940</v>
          </cell>
          <cell r="AO11" t="e">
            <v>#N/A</v>
          </cell>
          <cell r="AP11" t="str">
            <v>FXP/2025/10/0105</v>
          </cell>
        </row>
        <row r="12">
          <cell r="E12" t="str">
            <v>F030-00008004</v>
          </cell>
          <cell r="F12">
            <v>0</v>
          </cell>
          <cell r="H12" t="str">
            <v>PANIFICADORA LA NUEZ SAC</v>
          </cell>
          <cell r="I12">
            <v>45931</v>
          </cell>
          <cell r="J12">
            <v>45940</v>
          </cell>
          <cell r="K12">
            <v>45931</v>
          </cell>
          <cell r="N12" t="str">
            <v>F030-00008004</v>
          </cell>
          <cell r="P12" t="str">
            <v>COLABORATIVA S.A.C.</v>
          </cell>
          <cell r="Q12">
            <v>-71.7</v>
          </cell>
          <cell r="S12">
            <v>-71.7</v>
          </cell>
          <cell r="T12">
            <v>-71.7</v>
          </cell>
          <cell r="V12" t="str">
            <v>PEN</v>
          </cell>
          <cell r="W12" t="b">
            <v>0</v>
          </cell>
          <cell r="X12" t="str">
            <v>Pagado</v>
          </cell>
          <cell r="AB12" t="str">
            <v>Registrado</v>
          </cell>
          <cell r="AN12">
            <v>45931</v>
          </cell>
          <cell r="AO12" t="e">
            <v>#N/A</v>
          </cell>
          <cell r="AP12" t="str">
            <v>FXP/2025/10/0102</v>
          </cell>
        </row>
        <row r="13">
          <cell r="E13" t="str">
            <v>F301-00040284</v>
          </cell>
          <cell r="F13">
            <v>0</v>
          </cell>
          <cell r="H13" t="str">
            <v>INVERSIONES SAP S.A.</v>
          </cell>
          <cell r="I13">
            <v>45937</v>
          </cell>
          <cell r="J13">
            <v>45940</v>
          </cell>
          <cell r="K13">
            <v>45937</v>
          </cell>
          <cell r="N13" t="str">
            <v>F301-00040284</v>
          </cell>
          <cell r="P13" t="str">
            <v>COLABORATIVA S.A.C.</v>
          </cell>
          <cell r="Q13">
            <v>-127.8</v>
          </cell>
          <cell r="S13">
            <v>-127.8</v>
          </cell>
          <cell r="T13">
            <v>-127.8</v>
          </cell>
          <cell r="V13" t="str">
            <v>PEN</v>
          </cell>
          <cell r="W13" t="b">
            <v>0</v>
          </cell>
          <cell r="X13" t="str">
            <v>Pagado</v>
          </cell>
          <cell r="AB13" t="str">
            <v>Registrado</v>
          </cell>
          <cell r="AN13">
            <v>45937</v>
          </cell>
          <cell r="AO13" t="e">
            <v>#N/A</v>
          </cell>
          <cell r="AP13" t="str">
            <v>FXP/2025/10/0101</v>
          </cell>
        </row>
        <row r="14">
          <cell r="E14" t="str">
            <v>F004-00001283</v>
          </cell>
          <cell r="F14">
            <v>0</v>
          </cell>
          <cell r="H14" t="str">
            <v>ORIENTAL GOURMET S.A.</v>
          </cell>
          <cell r="I14">
            <v>45936</v>
          </cell>
          <cell r="J14">
            <v>45940</v>
          </cell>
          <cell r="K14">
            <v>45936</v>
          </cell>
          <cell r="N14" t="str">
            <v>F004-1283</v>
          </cell>
          <cell r="P14" t="str">
            <v>COLABORATIVA S.A.C.</v>
          </cell>
          <cell r="Q14">
            <v>-64.5</v>
          </cell>
          <cell r="S14">
            <v>-64.5</v>
          </cell>
          <cell r="T14">
            <v>-64.5</v>
          </cell>
          <cell r="V14" t="str">
            <v>PEN</v>
          </cell>
          <cell r="W14" t="b">
            <v>0</v>
          </cell>
          <cell r="X14" t="str">
            <v>Pagado</v>
          </cell>
          <cell r="AB14" t="str">
            <v>Registrado</v>
          </cell>
          <cell r="AN14">
            <v>45936</v>
          </cell>
          <cell r="AO14" t="e">
            <v>#N/A</v>
          </cell>
          <cell r="AP14" t="str">
            <v>FXP/2025/10/0100</v>
          </cell>
        </row>
        <row r="15">
          <cell r="E15" t="str">
            <v>F003-00001183</v>
          </cell>
          <cell r="F15">
            <v>0</v>
          </cell>
          <cell r="H15" t="str">
            <v>MALBEC SAC</v>
          </cell>
          <cell r="I15">
            <v>45939</v>
          </cell>
          <cell r="J15">
            <v>45940</v>
          </cell>
          <cell r="K15">
            <v>45939</v>
          </cell>
          <cell r="N15" t="str">
            <v>F003-00001183</v>
          </cell>
          <cell r="P15" t="str">
            <v>COLABORATIVA S.A.C.</v>
          </cell>
          <cell r="Q15">
            <v>-462</v>
          </cell>
          <cell r="S15">
            <v>-462</v>
          </cell>
          <cell r="T15">
            <v>-462</v>
          </cell>
          <cell r="V15" t="str">
            <v>PEN</v>
          </cell>
          <cell r="W15" t="b">
            <v>0</v>
          </cell>
          <cell r="X15" t="str">
            <v>Pagado</v>
          </cell>
          <cell r="AB15" t="str">
            <v>Registrado</v>
          </cell>
          <cell r="AN15">
            <v>45939</v>
          </cell>
          <cell r="AO15" t="e">
            <v>#N/A</v>
          </cell>
          <cell r="AP15" t="str">
            <v>FXP/2025/10/0099</v>
          </cell>
        </row>
        <row r="16">
          <cell r="E16" t="str">
            <v>E001-00000013</v>
          </cell>
          <cell r="F16">
            <v>0</v>
          </cell>
          <cell r="H16" t="str">
            <v>KUNTUR PRO S.A.C.</v>
          </cell>
          <cell r="I16">
            <v>45939</v>
          </cell>
          <cell r="J16">
            <v>45939</v>
          </cell>
          <cell r="K16">
            <v>45940</v>
          </cell>
          <cell r="P16" t="str">
            <v>COLABORATIVA S.A.C.</v>
          </cell>
          <cell r="Q16">
            <v>-1000</v>
          </cell>
          <cell r="R16">
            <v>-180</v>
          </cell>
          <cell r="S16">
            <v>-1180</v>
          </cell>
          <cell r="T16">
            <v>-1180</v>
          </cell>
          <cell r="V16" t="str">
            <v>PEN</v>
          </cell>
          <cell r="W16" t="b">
            <v>0</v>
          </cell>
          <cell r="X16" t="str">
            <v>Pagado</v>
          </cell>
          <cell r="AB16" t="str">
            <v>Registrado</v>
          </cell>
          <cell r="AN16">
            <v>45939</v>
          </cell>
          <cell r="AO16" t="e">
            <v>#N/A</v>
          </cell>
          <cell r="AP16" t="str">
            <v>FXP/2025/10/0107</v>
          </cell>
        </row>
        <row r="17">
          <cell r="E17" t="str">
            <v>E001-00000493</v>
          </cell>
          <cell r="F17">
            <v>0</v>
          </cell>
          <cell r="H17" t="str">
            <v>EURO CARS PERU S.A.C.</v>
          </cell>
          <cell r="I17">
            <v>45938</v>
          </cell>
          <cell r="J17">
            <v>45938</v>
          </cell>
          <cell r="K17">
            <v>45939</v>
          </cell>
          <cell r="L17" t="str">
            <v>P00276</v>
          </cell>
          <cell r="N17" t="str">
            <v>E001-493</v>
          </cell>
          <cell r="P17" t="str">
            <v>COLABORATIVA S.A.C.</v>
          </cell>
          <cell r="Q17">
            <v>-110.17</v>
          </cell>
          <cell r="R17">
            <v>-19.84</v>
          </cell>
          <cell r="S17">
            <v>-130.01</v>
          </cell>
          <cell r="T17">
            <v>-130.01</v>
          </cell>
          <cell r="V17" t="str">
            <v>PEN</v>
          </cell>
          <cell r="W17" t="b">
            <v>0</v>
          </cell>
          <cell r="X17" t="str">
            <v>Pagado</v>
          </cell>
          <cell r="AB17" t="str">
            <v>Registrado</v>
          </cell>
          <cell r="AN17">
            <v>45938</v>
          </cell>
          <cell r="AO17" t="e">
            <v>#N/A</v>
          </cell>
          <cell r="AP17" t="str">
            <v>FXP/2025/10/0096</v>
          </cell>
        </row>
        <row r="18">
          <cell r="E18" t="str">
            <v>E001-00000492</v>
          </cell>
          <cell r="F18">
            <v>0</v>
          </cell>
          <cell r="H18" t="str">
            <v>EURO CARS PERU S.A.C.</v>
          </cell>
          <cell r="I18">
            <v>45938</v>
          </cell>
          <cell r="J18">
            <v>45938</v>
          </cell>
          <cell r="K18">
            <v>45939</v>
          </cell>
          <cell r="L18" t="str">
            <v>P00277</v>
          </cell>
          <cell r="N18" t="str">
            <v>E001-492</v>
          </cell>
          <cell r="P18" t="str">
            <v>COLABORATIVA S.A.C.</v>
          </cell>
          <cell r="Q18">
            <v>-550.85</v>
          </cell>
          <cell r="R18">
            <v>-99.17</v>
          </cell>
          <cell r="S18">
            <v>-650.02</v>
          </cell>
          <cell r="T18">
            <v>-650.02</v>
          </cell>
          <cell r="V18" t="str">
            <v>PEN</v>
          </cell>
          <cell r="W18" t="b">
            <v>0</v>
          </cell>
          <cell r="X18" t="str">
            <v>Pagado</v>
          </cell>
          <cell r="AB18" t="str">
            <v>Registrado</v>
          </cell>
          <cell r="AN18">
            <v>45938</v>
          </cell>
          <cell r="AO18" t="e">
            <v>#N/A</v>
          </cell>
          <cell r="AP18" t="str">
            <v>FXP/2025/10/0095</v>
          </cell>
        </row>
        <row r="19">
          <cell r="E19" t="str">
            <v>E001-00000127</v>
          </cell>
          <cell r="F19">
            <v>0</v>
          </cell>
          <cell r="H19" t="str">
            <v>MUÑOZ VERANO JOHN BRACKSON</v>
          </cell>
          <cell r="I19">
            <v>45937</v>
          </cell>
          <cell r="J19">
            <v>45937</v>
          </cell>
          <cell r="K19">
            <v>45939</v>
          </cell>
          <cell r="L19" t="str">
            <v>P00271</v>
          </cell>
          <cell r="N19" t="str">
            <v>E001-127</v>
          </cell>
          <cell r="P19" t="str">
            <v>COLABORATIVA S.A.C.</v>
          </cell>
          <cell r="Q19">
            <v>-1200</v>
          </cell>
          <cell r="R19">
            <v>-216</v>
          </cell>
          <cell r="S19">
            <v>-1416</v>
          </cell>
          <cell r="T19">
            <v>-1416</v>
          </cell>
          <cell r="V19" t="str">
            <v>PEN</v>
          </cell>
          <cell r="W19" t="b">
            <v>0</v>
          </cell>
          <cell r="X19" t="str">
            <v>Pagado</v>
          </cell>
          <cell r="AB19" t="str">
            <v>Registrado</v>
          </cell>
          <cell r="AN19">
            <v>45937</v>
          </cell>
          <cell r="AO19" t="e">
            <v>#N/A</v>
          </cell>
          <cell r="AP19" t="str">
            <v>FXP/2025/10/0094</v>
          </cell>
        </row>
        <row r="20">
          <cell r="E20" t="str">
            <v>E001-00000129</v>
          </cell>
          <cell r="F20">
            <v>0</v>
          </cell>
          <cell r="H20" t="str">
            <v>MUÑOZ VERANO JOHN BRACKSON</v>
          </cell>
          <cell r="I20">
            <v>45937</v>
          </cell>
          <cell r="J20">
            <v>45937</v>
          </cell>
          <cell r="K20">
            <v>45939</v>
          </cell>
          <cell r="L20" t="str">
            <v>P00272</v>
          </cell>
          <cell r="N20" t="str">
            <v>E001-129</v>
          </cell>
          <cell r="P20" t="str">
            <v>COLABORATIVA S.A.C.</v>
          </cell>
          <cell r="Q20">
            <v>-200</v>
          </cell>
          <cell r="R20">
            <v>-36</v>
          </cell>
          <cell r="S20">
            <v>-236</v>
          </cell>
          <cell r="T20">
            <v>-236</v>
          </cell>
          <cell r="V20" t="str">
            <v>PEN</v>
          </cell>
          <cell r="W20" t="b">
            <v>0</v>
          </cell>
          <cell r="X20" t="str">
            <v>Pagado</v>
          </cell>
          <cell r="AB20" t="str">
            <v>Registrado</v>
          </cell>
          <cell r="AN20">
            <v>45937</v>
          </cell>
          <cell r="AO20" t="e">
            <v>#N/A</v>
          </cell>
          <cell r="AP20" t="str">
            <v>FXP/2025/10/0093</v>
          </cell>
        </row>
        <row r="21">
          <cell r="E21" t="str">
            <v>E001-00000128</v>
          </cell>
          <cell r="F21">
            <v>0</v>
          </cell>
          <cell r="H21" t="str">
            <v>MUÑOZ VERANO JOHN BRACKSON</v>
          </cell>
          <cell r="I21">
            <v>45937</v>
          </cell>
          <cell r="J21">
            <v>45937</v>
          </cell>
          <cell r="K21">
            <v>45937</v>
          </cell>
          <cell r="L21" t="str">
            <v>P00274</v>
          </cell>
          <cell r="P21" t="str">
            <v>COLABORATIVA S.A.C.</v>
          </cell>
          <cell r="Q21">
            <v>-308</v>
          </cell>
          <cell r="R21">
            <v>-55.44</v>
          </cell>
          <cell r="S21">
            <v>-363.44</v>
          </cell>
          <cell r="T21">
            <v>-363.44</v>
          </cell>
          <cell r="V21" t="str">
            <v>PEN</v>
          </cell>
          <cell r="W21" t="b">
            <v>0</v>
          </cell>
          <cell r="X21" t="str">
            <v>Pagado</v>
          </cell>
          <cell r="AB21" t="str">
            <v>Registrado</v>
          </cell>
          <cell r="AN21">
            <v>45937</v>
          </cell>
          <cell r="AO21" t="e">
            <v>#N/A</v>
          </cell>
          <cell r="AP21" t="str">
            <v>FXP/2025/10/0089</v>
          </cell>
        </row>
        <row r="22">
          <cell r="E22" t="str">
            <v>E001-00000067</v>
          </cell>
          <cell r="F22">
            <v>0</v>
          </cell>
          <cell r="H22" t="str">
            <v>VENTURA SABINO MIGUEL ANGEL</v>
          </cell>
          <cell r="I22">
            <v>45937</v>
          </cell>
          <cell r="J22">
            <v>45937</v>
          </cell>
          <cell r="K22">
            <v>45937</v>
          </cell>
          <cell r="L22" t="str">
            <v>P00273</v>
          </cell>
          <cell r="P22" t="str">
            <v>COLABORATIVA S.A.C.</v>
          </cell>
          <cell r="Q22">
            <v>-880</v>
          </cell>
          <cell r="S22">
            <v>-880</v>
          </cell>
          <cell r="T22">
            <v>-880</v>
          </cell>
          <cell r="V22" t="str">
            <v>PEN</v>
          </cell>
          <cell r="W22" t="b">
            <v>0</v>
          </cell>
          <cell r="X22" t="str">
            <v>Pagado</v>
          </cell>
          <cell r="AB22" t="str">
            <v>Registrado</v>
          </cell>
          <cell r="AN22">
            <v>45937</v>
          </cell>
          <cell r="AO22" t="e">
            <v>#N/A</v>
          </cell>
          <cell r="AP22" t="str">
            <v>FXP/2025/10/0088</v>
          </cell>
        </row>
        <row r="23">
          <cell r="E23" t="str">
            <v>E001-00000016</v>
          </cell>
          <cell r="F23">
            <v>0</v>
          </cell>
          <cell r="H23" t="str">
            <v>SALVADOR ARNALDO REYES CHUECAS</v>
          </cell>
          <cell r="I23">
            <v>45936</v>
          </cell>
          <cell r="J23">
            <v>45936</v>
          </cell>
          <cell r="K23">
            <v>45943</v>
          </cell>
          <cell r="L23" t="str">
            <v>P00287</v>
          </cell>
          <cell r="N23" t="str">
            <v>E001-16</v>
          </cell>
          <cell r="P23" t="str">
            <v>COLABORATIVA S.A.C.</v>
          </cell>
          <cell r="Q23">
            <v>-600</v>
          </cell>
          <cell r="S23">
            <v>-600</v>
          </cell>
          <cell r="T23">
            <v>-600</v>
          </cell>
          <cell r="V23" t="str">
            <v>PEN</v>
          </cell>
          <cell r="W23" t="b">
            <v>0</v>
          </cell>
          <cell r="X23" t="str">
            <v>Pagado</v>
          </cell>
          <cell r="AB23" t="str">
            <v>Registrado</v>
          </cell>
          <cell r="AN23">
            <v>45936</v>
          </cell>
          <cell r="AO23" t="e">
            <v>#N/A</v>
          </cell>
          <cell r="AP23" t="str">
            <v>FXP/2025/10/0114</v>
          </cell>
        </row>
        <row r="24">
          <cell r="E24" t="str">
            <v>E001-38</v>
          </cell>
          <cell r="F24">
            <v>0</v>
          </cell>
          <cell r="H24" t="str">
            <v>CARMEN CRUZ MILAGROS ZONALI</v>
          </cell>
          <cell r="I24">
            <v>45936</v>
          </cell>
          <cell r="J24">
            <v>45936</v>
          </cell>
          <cell r="K24">
            <v>45939</v>
          </cell>
          <cell r="L24" t="str">
            <v>P00275</v>
          </cell>
          <cell r="N24" t="str">
            <v>E001-38</v>
          </cell>
          <cell r="P24" t="str">
            <v>COLABORATIVA S.A.C.</v>
          </cell>
          <cell r="Q24">
            <v>-160</v>
          </cell>
          <cell r="S24">
            <v>-160</v>
          </cell>
          <cell r="T24">
            <v>-160</v>
          </cell>
          <cell r="V24" t="str">
            <v>PEN</v>
          </cell>
          <cell r="W24" t="b">
            <v>0</v>
          </cell>
          <cell r="X24" t="str">
            <v>Pagado</v>
          </cell>
          <cell r="AB24" t="str">
            <v>Registrado</v>
          </cell>
          <cell r="AN24">
            <v>45936</v>
          </cell>
          <cell r="AO24" t="e">
            <v>#N/A</v>
          </cell>
          <cell r="AP24" t="str">
            <v>FXP/2025/10/0097</v>
          </cell>
        </row>
        <row r="25">
          <cell r="E25" t="str">
            <v>F001-00025751</v>
          </cell>
          <cell r="F25">
            <v>0</v>
          </cell>
          <cell r="H25" t="str">
            <v>TECNOLOGIA FLEXOGRAFICA S.A.C - TECFLEX</v>
          </cell>
          <cell r="I25">
            <v>45936</v>
          </cell>
          <cell r="J25">
            <v>45936</v>
          </cell>
          <cell r="K25">
            <v>45936</v>
          </cell>
          <cell r="L25" t="str">
            <v>P00265</v>
          </cell>
          <cell r="P25" t="str">
            <v>COLABORATIVA S.A.C.</v>
          </cell>
          <cell r="Q25">
            <v>-2477</v>
          </cell>
          <cell r="R25">
            <v>-445.86</v>
          </cell>
          <cell r="S25">
            <v>-2922.86</v>
          </cell>
          <cell r="T25">
            <v>-2922.86</v>
          </cell>
          <cell r="V25" t="str">
            <v>PEN</v>
          </cell>
          <cell r="W25" t="b">
            <v>0</v>
          </cell>
          <cell r="X25" t="str">
            <v>Pagado</v>
          </cell>
          <cell r="AB25" t="str">
            <v>Registrado</v>
          </cell>
          <cell r="AN25">
            <v>45936</v>
          </cell>
          <cell r="AO25" t="e">
            <v>#N/A</v>
          </cell>
          <cell r="AP25" t="str">
            <v>FXP/2025/10/0092</v>
          </cell>
        </row>
        <row r="26">
          <cell r="E26" t="str">
            <v>544-4458714229</v>
          </cell>
          <cell r="F26">
            <v>0</v>
          </cell>
          <cell r="H26" t="str">
            <v>LATAM AIRLINES PERU S.A.</v>
          </cell>
          <cell r="I26">
            <v>45935</v>
          </cell>
          <cell r="J26">
            <v>45935</v>
          </cell>
          <cell r="K26">
            <v>45939</v>
          </cell>
          <cell r="L26" t="str">
            <v>P00278</v>
          </cell>
          <cell r="P26" t="str">
            <v>COLABORATIVA S.A.C.</v>
          </cell>
          <cell r="Q26">
            <v>-132.78</v>
          </cell>
          <cell r="R26">
            <v>-23.9</v>
          </cell>
          <cell r="S26">
            <v>-156.68</v>
          </cell>
          <cell r="T26">
            <v>-156.68</v>
          </cell>
          <cell r="V26" t="str">
            <v>PEN</v>
          </cell>
          <cell r="W26" t="b">
            <v>0</v>
          </cell>
          <cell r="X26" t="str">
            <v>Pagado</v>
          </cell>
          <cell r="AB26" t="str">
            <v>Registrado</v>
          </cell>
          <cell r="AN26">
            <v>45935</v>
          </cell>
          <cell r="AO26" t="e">
            <v>#N/A</v>
          </cell>
          <cell r="AP26" t="str">
            <v>FXP/2025/10/0098</v>
          </cell>
        </row>
        <row r="27">
          <cell r="E27" t="str">
            <v>FP03-00001558</v>
          </cell>
          <cell r="F27">
            <v>0</v>
          </cell>
          <cell r="H27" t="str">
            <v>ROJAS SIESQUEN CARLOS EDGARDO</v>
          </cell>
          <cell r="I27">
            <v>45935</v>
          </cell>
          <cell r="J27">
            <v>45935</v>
          </cell>
          <cell r="K27">
            <v>45937</v>
          </cell>
          <cell r="P27" t="str">
            <v>COLABORATIVA S.A.C.</v>
          </cell>
          <cell r="Q27">
            <v>-128.81</v>
          </cell>
          <cell r="R27">
            <v>-23.19</v>
          </cell>
          <cell r="S27">
            <v>-152</v>
          </cell>
          <cell r="T27">
            <v>-152</v>
          </cell>
          <cell r="V27" t="str">
            <v>PEN</v>
          </cell>
          <cell r="W27" t="b">
            <v>0</v>
          </cell>
          <cell r="X27" t="str">
            <v>Pagado</v>
          </cell>
          <cell r="AB27" t="str">
            <v>Registrado</v>
          </cell>
          <cell r="AN27">
            <v>45935</v>
          </cell>
          <cell r="AO27" t="e">
            <v>#N/A</v>
          </cell>
          <cell r="AP27" t="str">
            <v>FXP/2025/10/0091</v>
          </cell>
        </row>
        <row r="28">
          <cell r="E28" t="str">
            <v>FF13-00000401</v>
          </cell>
          <cell r="F28">
            <v>0</v>
          </cell>
          <cell r="H28" t="str">
            <v>LATAM PERU S.A.C.</v>
          </cell>
          <cell r="I28">
            <v>45935</v>
          </cell>
          <cell r="J28">
            <v>45935</v>
          </cell>
          <cell r="K28">
            <v>45937</v>
          </cell>
          <cell r="P28" t="str">
            <v>COLABORATIVA S.A.C.</v>
          </cell>
          <cell r="Q28">
            <v>-50.85</v>
          </cell>
          <cell r="R28">
            <v>-9.15</v>
          </cell>
          <cell r="S28">
            <v>-60</v>
          </cell>
          <cell r="T28">
            <v>-60</v>
          </cell>
          <cell r="V28" t="str">
            <v>PEN</v>
          </cell>
          <cell r="W28" t="b">
            <v>0</v>
          </cell>
          <cell r="X28" t="str">
            <v>Pagado</v>
          </cell>
          <cell r="AB28" t="str">
            <v>Registrado</v>
          </cell>
          <cell r="AN28">
            <v>45935</v>
          </cell>
          <cell r="AO28" t="e">
            <v>#N/A</v>
          </cell>
          <cell r="AP28" t="str">
            <v>FXP/2025/10/0090</v>
          </cell>
        </row>
        <row r="29">
          <cell r="E29" t="str">
            <v>E001-00000004</v>
          </cell>
          <cell r="F29">
            <v>0</v>
          </cell>
          <cell r="H29" t="str">
            <v>SECLEN ZAMORA JAHAIRA VANESSITA</v>
          </cell>
          <cell r="I29">
            <v>45935</v>
          </cell>
          <cell r="J29">
            <v>45935</v>
          </cell>
          <cell r="K29">
            <v>45935</v>
          </cell>
          <cell r="L29" t="str">
            <v>P00269</v>
          </cell>
          <cell r="N29" t="str">
            <v>E001-4</v>
          </cell>
          <cell r="P29" t="str">
            <v>COLABORATIVA S.A.C.</v>
          </cell>
          <cell r="Q29">
            <v>-220</v>
          </cell>
          <cell r="S29">
            <v>-220</v>
          </cell>
          <cell r="T29">
            <v>-220</v>
          </cell>
          <cell r="V29" t="str">
            <v>PEN</v>
          </cell>
          <cell r="W29" t="b">
            <v>0</v>
          </cell>
          <cell r="X29" t="str">
            <v>Pagado</v>
          </cell>
          <cell r="AB29" t="str">
            <v>Registrado</v>
          </cell>
          <cell r="AN29">
            <v>45935</v>
          </cell>
          <cell r="AO29" t="e">
            <v>#N/A</v>
          </cell>
          <cell r="AP29" t="str">
            <v>FXP/2025/10/0086</v>
          </cell>
        </row>
        <row r="30">
          <cell r="E30" t="str">
            <v>E001-00000015</v>
          </cell>
          <cell r="F30">
            <v>0</v>
          </cell>
          <cell r="H30" t="str">
            <v>BRAVO MATOS RICARDO ALEJANDRO</v>
          </cell>
          <cell r="I30">
            <v>45935</v>
          </cell>
          <cell r="J30">
            <v>45935</v>
          </cell>
          <cell r="K30">
            <v>45937</v>
          </cell>
          <cell r="L30" t="str">
            <v>P00270</v>
          </cell>
          <cell r="M30" t="str">
            <v>Pago Honorarios</v>
          </cell>
          <cell r="P30" t="str">
            <v>COLABORATIVA S.A.C.</v>
          </cell>
          <cell r="Q30">
            <v>-120</v>
          </cell>
          <cell r="S30">
            <v>-120</v>
          </cell>
          <cell r="T30">
            <v>-120</v>
          </cell>
          <cell r="V30" t="str">
            <v>PEN</v>
          </cell>
          <cell r="W30" t="b">
            <v>0</v>
          </cell>
          <cell r="X30" t="str">
            <v>Pagado</v>
          </cell>
          <cell r="AB30" t="str">
            <v>Registrado</v>
          </cell>
          <cell r="AN30">
            <v>45935</v>
          </cell>
          <cell r="AO30" t="e">
            <v>#N/A</v>
          </cell>
          <cell r="AP30" t="str">
            <v>FXP/2025/10/0084</v>
          </cell>
        </row>
        <row r="31">
          <cell r="E31" t="str">
            <v>SB02-0243453637</v>
          </cell>
          <cell r="F31">
            <v>0</v>
          </cell>
          <cell r="H31" t="str">
            <v>America Móvil Perú S.A.C.</v>
          </cell>
          <cell r="I31">
            <v>45934</v>
          </cell>
          <cell r="J31">
            <v>45934</v>
          </cell>
          <cell r="K31">
            <v>45944</v>
          </cell>
          <cell r="L31" t="str">
            <v>P00288</v>
          </cell>
          <cell r="O31" t="str">
            <v>PENDIENTE DE PAGO</v>
          </cell>
          <cell r="P31" t="str">
            <v>COLABORATIVA S.A.C.</v>
          </cell>
          <cell r="Q31">
            <v>-36.04</v>
          </cell>
          <cell r="R31">
            <v>-6.49</v>
          </cell>
          <cell r="S31">
            <v>-42.53</v>
          </cell>
          <cell r="T31">
            <v>-42.53</v>
          </cell>
          <cell r="U31">
            <v>-42.53</v>
          </cell>
          <cell r="V31" t="str">
            <v>PEN</v>
          </cell>
          <cell r="W31" t="b">
            <v>0</v>
          </cell>
          <cell r="X31" t="str">
            <v>Sin pagar</v>
          </cell>
          <cell r="AB31" t="str">
            <v>Registrado</v>
          </cell>
          <cell r="AN31">
            <v>45934</v>
          </cell>
          <cell r="AO31" t="e">
            <v>#N/A</v>
          </cell>
          <cell r="AP31" t="str">
            <v>FXP/2025/10/0115</v>
          </cell>
        </row>
        <row r="32">
          <cell r="E32" t="str">
            <v>F001-00009665</v>
          </cell>
          <cell r="F32">
            <v>0</v>
          </cell>
          <cell r="H32" t="str">
            <v>PRECINTOS PERU E.I.R.L</v>
          </cell>
          <cell r="I32">
            <v>45932</v>
          </cell>
          <cell r="J32">
            <v>45932</v>
          </cell>
          <cell r="K32">
            <v>45933</v>
          </cell>
          <cell r="L32" t="str">
            <v>P00264</v>
          </cell>
          <cell r="P32" t="str">
            <v>COLABORATIVA S.A.C.</v>
          </cell>
          <cell r="Q32">
            <v>-2002.56</v>
          </cell>
          <cell r="R32">
            <v>-360.44</v>
          </cell>
          <cell r="S32">
            <v>-2363</v>
          </cell>
          <cell r="T32">
            <v>-2363</v>
          </cell>
          <cell r="V32" t="str">
            <v>PEN</v>
          </cell>
          <cell r="W32" t="b">
            <v>0</v>
          </cell>
          <cell r="X32" t="str">
            <v>Pagado</v>
          </cell>
          <cell r="AB32" t="str">
            <v>Registrado</v>
          </cell>
          <cell r="AN32">
            <v>45932</v>
          </cell>
          <cell r="AO32" t="e">
            <v>#N/A</v>
          </cell>
          <cell r="AP32" t="str">
            <v>FXP/2025/10/0078</v>
          </cell>
        </row>
        <row r="33">
          <cell r="E33" t="str">
            <v>FE30-00023585</v>
          </cell>
          <cell r="F33">
            <v>0</v>
          </cell>
          <cell r="H33" t="str">
            <v>Verisure Peru SAC</v>
          </cell>
          <cell r="I33">
            <v>45931</v>
          </cell>
          <cell r="J33">
            <v>45931</v>
          </cell>
          <cell r="K33">
            <v>45940</v>
          </cell>
          <cell r="P33" t="str">
            <v>COLABORATIVA S.A.C.</v>
          </cell>
          <cell r="Q33">
            <v>-221.82</v>
          </cell>
          <cell r="R33">
            <v>-39.93</v>
          </cell>
          <cell r="S33">
            <v>-261.75</v>
          </cell>
          <cell r="T33">
            <v>-261.75</v>
          </cell>
          <cell r="V33" t="str">
            <v>PEN</v>
          </cell>
          <cell r="W33" t="b">
            <v>0</v>
          </cell>
          <cell r="X33" t="str">
            <v>Pagado</v>
          </cell>
          <cell r="AB33" t="str">
            <v>Registrado</v>
          </cell>
          <cell r="AN33">
            <v>45931</v>
          </cell>
          <cell r="AO33" t="e">
            <v>#N/A</v>
          </cell>
          <cell r="AP33" t="str">
            <v>FXP/2025/10/0104</v>
          </cell>
        </row>
        <row r="34">
          <cell r="E34" t="str">
            <v>F004-00027540</v>
          </cell>
          <cell r="F34">
            <v>0</v>
          </cell>
          <cell r="H34" t="str">
            <v>J &amp; V MULTIUTILES PUNTO COM S.A.C.</v>
          </cell>
          <cell r="I34">
            <v>45931</v>
          </cell>
          <cell r="J34">
            <v>45931</v>
          </cell>
          <cell r="K34">
            <v>45931</v>
          </cell>
          <cell r="L34" t="str">
            <v>P00259</v>
          </cell>
          <cell r="P34" t="str">
            <v>COLABORATIVA S.A.C.</v>
          </cell>
          <cell r="Q34">
            <v>-125.85</v>
          </cell>
          <cell r="R34">
            <v>-22.65</v>
          </cell>
          <cell r="S34">
            <v>-148.5</v>
          </cell>
          <cell r="T34">
            <v>-148.5</v>
          </cell>
          <cell r="V34" t="str">
            <v>PEN</v>
          </cell>
          <cell r="W34" t="b">
            <v>0</v>
          </cell>
          <cell r="X34" t="str">
            <v>Pagado</v>
          </cell>
          <cell r="AB34" t="str">
            <v>Registrado</v>
          </cell>
          <cell r="AN34">
            <v>45931</v>
          </cell>
          <cell r="AO34" t="e">
            <v>#N/A</v>
          </cell>
          <cell r="AP34" t="str">
            <v>FXP/2025/10/0077</v>
          </cell>
        </row>
        <row r="35">
          <cell r="E35" t="str">
            <v>F004-00027539</v>
          </cell>
          <cell r="F35">
            <v>0</v>
          </cell>
          <cell r="H35" t="str">
            <v>J &amp; V MULTIUTILES PUNTO COM S.A.C.</v>
          </cell>
          <cell r="I35">
            <v>45931</v>
          </cell>
          <cell r="J35">
            <v>45931</v>
          </cell>
          <cell r="K35">
            <v>45933</v>
          </cell>
          <cell r="L35" t="str">
            <v>P00260</v>
          </cell>
          <cell r="P35" t="str">
            <v>COLABORATIVA S.A.C.</v>
          </cell>
          <cell r="Q35">
            <v>-677.97</v>
          </cell>
          <cell r="R35">
            <v>-122.03</v>
          </cell>
          <cell r="S35">
            <v>-800</v>
          </cell>
          <cell r="T35">
            <v>-800</v>
          </cell>
          <cell r="V35" t="str">
            <v>PEN</v>
          </cell>
          <cell r="W35" t="b">
            <v>0</v>
          </cell>
          <cell r="X35" t="str">
            <v>Pagado</v>
          </cell>
          <cell r="AB35" t="str">
            <v>Registrado</v>
          </cell>
          <cell r="AN35">
            <v>45931</v>
          </cell>
          <cell r="AO35" t="e">
            <v>#N/A</v>
          </cell>
          <cell r="AP35" t="str">
            <v>FXP/2025/10/0076</v>
          </cell>
        </row>
        <row r="36">
          <cell r="E36" t="str">
            <v>FE30-00023070</v>
          </cell>
          <cell r="F36">
            <v>0</v>
          </cell>
          <cell r="H36" t="str">
            <v>Verisure Peru SAC</v>
          </cell>
          <cell r="I36">
            <v>45931</v>
          </cell>
          <cell r="J36">
            <v>45931</v>
          </cell>
          <cell r="K36">
            <v>45932</v>
          </cell>
          <cell r="L36" t="str">
            <v>P00262</v>
          </cell>
          <cell r="P36" t="str">
            <v>COLABORATIVA S.A.C.</v>
          </cell>
          <cell r="Q36">
            <v>-87.29</v>
          </cell>
          <cell r="R36">
            <v>-15.71</v>
          </cell>
          <cell r="S36">
            <v>-103</v>
          </cell>
          <cell r="T36">
            <v>-103</v>
          </cell>
          <cell r="V36" t="str">
            <v>PEN</v>
          </cell>
          <cell r="W36" t="b">
            <v>0</v>
          </cell>
          <cell r="X36" t="str">
            <v>Pagado</v>
          </cell>
          <cell r="AB36" t="str">
            <v>Registrado</v>
          </cell>
          <cell r="AN36">
            <v>45931</v>
          </cell>
          <cell r="AO36" t="e">
            <v>#N/A</v>
          </cell>
          <cell r="AP36" t="str">
            <v>FXP/2025/10/0067</v>
          </cell>
        </row>
        <row r="37">
          <cell r="E37" t="str">
            <v>E001-00000037</v>
          </cell>
          <cell r="F37">
            <v>0</v>
          </cell>
          <cell r="H37" t="str">
            <v>CARMEN CRUZ MILAGROS ZONALI</v>
          </cell>
          <cell r="I37">
            <v>45924</v>
          </cell>
          <cell r="J37">
            <v>45930</v>
          </cell>
          <cell r="K37">
            <v>45924</v>
          </cell>
          <cell r="L37" t="str">
            <v>P00243</v>
          </cell>
          <cell r="N37" t="str">
            <v>E001-37</v>
          </cell>
          <cell r="P37" t="str">
            <v>COLABORATIVA S.A.C.</v>
          </cell>
          <cell r="Q37">
            <v>-175</v>
          </cell>
          <cell r="S37">
            <v>-175</v>
          </cell>
          <cell r="T37">
            <v>-175</v>
          </cell>
          <cell r="V37" t="str">
            <v>PEN</v>
          </cell>
          <cell r="W37" t="b">
            <v>0</v>
          </cell>
          <cell r="X37" t="str">
            <v>Pagado</v>
          </cell>
          <cell r="AB37" t="str">
            <v>Registrado</v>
          </cell>
          <cell r="AN37">
            <v>45924</v>
          </cell>
          <cell r="AO37" t="e">
            <v>#N/A</v>
          </cell>
          <cell r="AP37" t="str">
            <v>FXP/2025/10/0087</v>
          </cell>
        </row>
        <row r="38">
          <cell r="E38" t="str">
            <v>S106-0014885947</v>
          </cell>
          <cell r="F38">
            <v>0</v>
          </cell>
          <cell r="H38" t="str">
            <v>SERVICIO DE AGUA POTABLE Y ALCANTARILLADO DE LIMA</v>
          </cell>
          <cell r="I38">
            <v>45920</v>
          </cell>
          <cell r="J38">
            <v>45930</v>
          </cell>
          <cell r="K38">
            <v>45936</v>
          </cell>
          <cell r="L38" t="str">
            <v>P00268</v>
          </cell>
          <cell r="P38" t="str">
            <v>COLABORATIVA S.A.C.</v>
          </cell>
          <cell r="Q38">
            <v>-6.19</v>
          </cell>
          <cell r="R38">
            <v>-1.1100000000000001</v>
          </cell>
          <cell r="S38">
            <v>-7.3</v>
          </cell>
          <cell r="T38">
            <v>-7.3</v>
          </cell>
          <cell r="U38">
            <v>-7.3</v>
          </cell>
          <cell r="V38" t="str">
            <v>PEN</v>
          </cell>
          <cell r="W38" t="b">
            <v>0</v>
          </cell>
          <cell r="X38" t="str">
            <v>Sin pagar</v>
          </cell>
          <cell r="AB38" t="str">
            <v>Registrado</v>
          </cell>
          <cell r="AN38">
            <v>45920</v>
          </cell>
          <cell r="AO38" t="e">
            <v>#N/A</v>
          </cell>
          <cell r="AP38" t="str">
            <v>FXP/2025/10/0083</v>
          </cell>
        </row>
        <row r="39">
          <cell r="E39" t="str">
            <v>SB01-0571094872</v>
          </cell>
          <cell r="F39">
            <v>0</v>
          </cell>
          <cell r="H39" t="str">
            <v>America Móvil Perú S.A.C.</v>
          </cell>
          <cell r="I39">
            <v>45925</v>
          </cell>
          <cell r="J39">
            <v>45930</v>
          </cell>
          <cell r="K39">
            <v>45936</v>
          </cell>
          <cell r="L39" t="str">
            <v>P00267</v>
          </cell>
          <cell r="P39" t="str">
            <v>COLABORATIVA S.A.C.</v>
          </cell>
          <cell r="Q39">
            <v>-76.760000000000005</v>
          </cell>
          <cell r="R39">
            <v>-13.82</v>
          </cell>
          <cell r="S39">
            <v>-90.58</v>
          </cell>
          <cell r="T39">
            <v>-90.58</v>
          </cell>
          <cell r="U39">
            <v>-90.58</v>
          </cell>
          <cell r="V39" t="str">
            <v>PEN</v>
          </cell>
          <cell r="W39" t="b">
            <v>0</v>
          </cell>
          <cell r="X39" t="str">
            <v>Sin pagar</v>
          </cell>
          <cell r="AB39" t="str">
            <v>Registrado</v>
          </cell>
          <cell r="AN39">
            <v>45925</v>
          </cell>
          <cell r="AO39" t="e">
            <v>#N/A</v>
          </cell>
          <cell r="AP39" t="str">
            <v>FXP/2025/10/0081</v>
          </cell>
        </row>
        <row r="40">
          <cell r="E40" t="str">
            <v>SB01-0571233027</v>
          </cell>
          <cell r="F40">
            <v>0</v>
          </cell>
          <cell r="H40" t="str">
            <v>America Móvil Perú S.A.C.</v>
          </cell>
          <cell r="I40">
            <v>45925</v>
          </cell>
          <cell r="J40">
            <v>45930</v>
          </cell>
          <cell r="K40">
            <v>45936</v>
          </cell>
          <cell r="L40" t="str">
            <v>P00266</v>
          </cell>
          <cell r="P40" t="str">
            <v>COLABORATIVA S.A.C.</v>
          </cell>
          <cell r="Q40">
            <v>-26.15</v>
          </cell>
          <cell r="R40">
            <v>-4.71</v>
          </cell>
          <cell r="S40">
            <v>-30.86</v>
          </cell>
          <cell r="T40">
            <v>-30.86</v>
          </cell>
          <cell r="U40">
            <v>-30.86</v>
          </cell>
          <cell r="V40" t="str">
            <v>PEN</v>
          </cell>
          <cell r="W40" t="b">
            <v>0</v>
          </cell>
          <cell r="X40" t="str">
            <v>Sin pagar</v>
          </cell>
          <cell r="AB40" t="str">
            <v>Registrado</v>
          </cell>
          <cell r="AN40">
            <v>45925</v>
          </cell>
          <cell r="AO40" t="e">
            <v>#N/A</v>
          </cell>
          <cell r="AP40" t="str">
            <v>FXP/2025/10/0080</v>
          </cell>
        </row>
        <row r="41">
          <cell r="E41" t="str">
            <v>FRE1-00007302</v>
          </cell>
          <cell r="F41">
            <v>0</v>
          </cell>
          <cell r="H41" t="str">
            <v>RASH PERU S.R.L</v>
          </cell>
          <cell r="I41">
            <v>45925</v>
          </cell>
          <cell r="J41">
            <v>45930</v>
          </cell>
          <cell r="K41">
            <v>45933</v>
          </cell>
          <cell r="P41" t="str">
            <v>COLABORATIVA S.A.C.</v>
          </cell>
          <cell r="Q41">
            <v>-9.24</v>
          </cell>
          <cell r="R41">
            <v>-1.66</v>
          </cell>
          <cell r="S41">
            <v>-10.9</v>
          </cell>
          <cell r="T41">
            <v>-10.9</v>
          </cell>
          <cell r="V41" t="str">
            <v>PEN</v>
          </cell>
          <cell r="W41" t="b">
            <v>0</v>
          </cell>
          <cell r="X41" t="str">
            <v>Pagado</v>
          </cell>
          <cell r="AB41" t="str">
            <v>Registrado</v>
          </cell>
          <cell r="AN41">
            <v>45925</v>
          </cell>
          <cell r="AO41" t="e">
            <v>#N/A</v>
          </cell>
          <cell r="AP41" t="str">
            <v>FXP/2025/10/0079</v>
          </cell>
        </row>
        <row r="42">
          <cell r="E42" t="str">
            <v>SB01-0569026304</v>
          </cell>
          <cell r="F42">
            <v>0</v>
          </cell>
          <cell r="H42" t="str">
            <v>America Móvil Perú S.A.C.</v>
          </cell>
          <cell r="I42">
            <v>45918</v>
          </cell>
          <cell r="J42">
            <v>45930</v>
          </cell>
          <cell r="K42">
            <v>45933</v>
          </cell>
          <cell r="L42" t="str">
            <v>P00263</v>
          </cell>
          <cell r="P42" t="str">
            <v>COLABORATIVA S.A.C.</v>
          </cell>
          <cell r="Q42">
            <v>-33.5</v>
          </cell>
          <cell r="R42">
            <v>-6.03</v>
          </cell>
          <cell r="S42">
            <v>-39.53</v>
          </cell>
          <cell r="T42">
            <v>-39.53</v>
          </cell>
          <cell r="V42" t="str">
            <v>PEN</v>
          </cell>
          <cell r="W42" t="b">
            <v>0</v>
          </cell>
          <cell r="X42" t="str">
            <v>Pagado</v>
          </cell>
          <cell r="AB42" t="str">
            <v>Registrado</v>
          </cell>
          <cell r="AN42">
            <v>45918</v>
          </cell>
          <cell r="AO42" t="e">
            <v>#N/A</v>
          </cell>
          <cell r="AP42" t="str">
            <v>FXP/2025/10/0074</v>
          </cell>
        </row>
        <row r="43">
          <cell r="E43" t="str">
            <v>F001-00010802</v>
          </cell>
          <cell r="F43">
            <v>0</v>
          </cell>
          <cell r="H43" t="str">
            <v>SANTOFA E.I.R.L.</v>
          </cell>
          <cell r="I43">
            <v>45929</v>
          </cell>
          <cell r="J43">
            <v>45930</v>
          </cell>
          <cell r="K43">
            <v>45932</v>
          </cell>
          <cell r="L43" t="str">
            <v>P00251</v>
          </cell>
          <cell r="P43" t="str">
            <v>COLABORATIVA S.A.C.</v>
          </cell>
          <cell r="Q43">
            <v>-88.81</v>
          </cell>
          <cell r="R43">
            <v>-15.99</v>
          </cell>
          <cell r="S43">
            <v>-104.8</v>
          </cell>
          <cell r="T43">
            <v>-104.8</v>
          </cell>
          <cell r="V43" t="str">
            <v>PEN</v>
          </cell>
          <cell r="W43" t="b">
            <v>0</v>
          </cell>
          <cell r="X43" t="str">
            <v>Pagado</v>
          </cell>
          <cell r="AB43" t="str">
            <v>Registrado</v>
          </cell>
          <cell r="AN43">
            <v>45929</v>
          </cell>
          <cell r="AO43" t="e">
            <v>#N/A</v>
          </cell>
          <cell r="AP43" t="str">
            <v>FXP/2025/10/0073</v>
          </cell>
        </row>
        <row r="44">
          <cell r="E44" t="str">
            <v>F21U-00028676</v>
          </cell>
          <cell r="F44">
            <v>0</v>
          </cell>
          <cell r="H44" t="str">
            <v>COESTI SA</v>
          </cell>
          <cell r="I44">
            <v>45924</v>
          </cell>
          <cell r="J44">
            <v>45930</v>
          </cell>
          <cell r="K44">
            <v>45924</v>
          </cell>
          <cell r="N44" t="str">
            <v>F21U-00028676</v>
          </cell>
          <cell r="P44" t="str">
            <v>COLABORATIVA S.A.C.</v>
          </cell>
          <cell r="Q44">
            <v>-73.89</v>
          </cell>
          <cell r="S44">
            <v>-73.89</v>
          </cell>
          <cell r="T44">
            <v>-73.89</v>
          </cell>
          <cell r="V44" t="str">
            <v>PEN</v>
          </cell>
          <cell r="W44" t="b">
            <v>0</v>
          </cell>
          <cell r="X44" t="str">
            <v>Pagado</v>
          </cell>
          <cell r="AB44" t="str">
            <v>Registrado</v>
          </cell>
          <cell r="AN44">
            <v>45924</v>
          </cell>
          <cell r="AO44" t="e">
            <v>#N/A</v>
          </cell>
          <cell r="AP44" t="str">
            <v>FXP/2025/10/0069</v>
          </cell>
        </row>
        <row r="45">
          <cell r="E45" t="str">
            <v>F18U-00070549</v>
          </cell>
          <cell r="F45">
            <v>0</v>
          </cell>
          <cell r="H45" t="str">
            <v>COESTI SA</v>
          </cell>
          <cell r="I45">
            <v>45924</v>
          </cell>
          <cell r="J45">
            <v>45930</v>
          </cell>
          <cell r="K45">
            <v>45924</v>
          </cell>
          <cell r="N45" t="str">
            <v>F18U-00070549</v>
          </cell>
          <cell r="P45" t="str">
            <v>COLABORATIVA S.A.C.</v>
          </cell>
          <cell r="Q45">
            <v>-183.65</v>
          </cell>
          <cell r="S45">
            <v>-183.65</v>
          </cell>
          <cell r="T45">
            <v>-183.65</v>
          </cell>
          <cell r="V45" t="str">
            <v>PEN</v>
          </cell>
          <cell r="W45" t="b">
            <v>0</v>
          </cell>
          <cell r="X45" t="str">
            <v>Pagado</v>
          </cell>
          <cell r="AB45" t="str">
            <v>Registrado</v>
          </cell>
          <cell r="AN45">
            <v>45924</v>
          </cell>
          <cell r="AO45" t="e">
            <v>#N/A</v>
          </cell>
          <cell r="AP45" t="str">
            <v>FXP/2025/10/0068</v>
          </cell>
        </row>
        <row r="46">
          <cell r="E46" t="str">
            <v>FS01-00002899</v>
          </cell>
          <cell r="F46">
            <v>0</v>
          </cell>
          <cell r="H46" t="str">
            <v>TOOL STORE PERU E.I.R.L.</v>
          </cell>
          <cell r="I46">
            <v>45929</v>
          </cell>
          <cell r="J46">
            <v>45930</v>
          </cell>
          <cell r="K46">
            <v>45931</v>
          </cell>
          <cell r="L46" t="str">
            <v>P00255</v>
          </cell>
          <cell r="P46" t="str">
            <v>COLABORATIVA S.A.C.</v>
          </cell>
          <cell r="Q46">
            <v>-64.400000000000006</v>
          </cell>
          <cell r="R46">
            <v>-11.59</v>
          </cell>
          <cell r="S46">
            <v>-75.989999999999995</v>
          </cell>
          <cell r="T46">
            <v>-75.989999999999995</v>
          </cell>
          <cell r="V46" t="str">
            <v>PEN</v>
          </cell>
          <cell r="W46" t="b">
            <v>0</v>
          </cell>
          <cell r="X46" t="str">
            <v>Pagado</v>
          </cell>
          <cell r="AB46" t="str">
            <v>Registrado</v>
          </cell>
          <cell r="AN46">
            <v>45929</v>
          </cell>
          <cell r="AO46" t="e">
            <v>#N/A</v>
          </cell>
          <cell r="AP46" t="str">
            <v>FXP/2025/10/0066</v>
          </cell>
        </row>
        <row r="47">
          <cell r="E47" t="str">
            <v>F001-00009648</v>
          </cell>
          <cell r="F47">
            <v>0</v>
          </cell>
          <cell r="H47" t="str">
            <v>PROLIDER EMPRESARIAL S.AC.</v>
          </cell>
          <cell r="I47">
            <v>45918</v>
          </cell>
          <cell r="J47">
            <v>45930</v>
          </cell>
          <cell r="K47">
            <v>45918</v>
          </cell>
          <cell r="N47" t="str">
            <v>F001-00009648</v>
          </cell>
          <cell r="P47" t="str">
            <v>COLABORATIVA S.A.C.</v>
          </cell>
          <cell r="Q47">
            <v>-783.4</v>
          </cell>
          <cell r="S47">
            <v>-783.4</v>
          </cell>
          <cell r="T47">
            <v>-783.4</v>
          </cell>
          <cell r="V47" t="str">
            <v>PEN</v>
          </cell>
          <cell r="W47" t="b">
            <v>0</v>
          </cell>
          <cell r="X47" t="str">
            <v>Pagado</v>
          </cell>
          <cell r="AB47" t="str">
            <v>Registrado</v>
          </cell>
          <cell r="AN47">
            <v>45918</v>
          </cell>
          <cell r="AO47" t="e">
            <v>#N/A</v>
          </cell>
          <cell r="AP47" t="str">
            <v>FXP/2025/10/0065</v>
          </cell>
        </row>
        <row r="48">
          <cell r="E48" t="str">
            <v>F121-00003530</v>
          </cell>
          <cell r="F48">
            <v>0</v>
          </cell>
          <cell r="H48" t="str">
            <v>YOPO S.A.C.</v>
          </cell>
          <cell r="I48">
            <v>45930</v>
          </cell>
          <cell r="J48">
            <v>45930</v>
          </cell>
          <cell r="K48">
            <v>45930</v>
          </cell>
          <cell r="P48" t="str">
            <v>COLABORATIVA S.A.C.</v>
          </cell>
          <cell r="Q48">
            <v>-30</v>
          </cell>
          <cell r="S48">
            <v>-30</v>
          </cell>
          <cell r="T48">
            <v>-30</v>
          </cell>
          <cell r="V48" t="str">
            <v>PEN</v>
          </cell>
          <cell r="W48" t="b">
            <v>0</v>
          </cell>
          <cell r="X48" t="str">
            <v>Pagado</v>
          </cell>
          <cell r="AB48" t="str">
            <v>Registrado</v>
          </cell>
          <cell r="AN48">
            <v>45930</v>
          </cell>
          <cell r="AO48" t="e">
            <v>#N/A</v>
          </cell>
          <cell r="AP48" t="str">
            <v>FXP/2025/10/0061</v>
          </cell>
        </row>
        <row r="49">
          <cell r="E49" t="str">
            <v>F021-00005320</v>
          </cell>
          <cell r="F49">
            <v>0</v>
          </cell>
          <cell r="H49" t="str">
            <v>YOPO S.A.C.</v>
          </cell>
          <cell r="I49">
            <v>45900</v>
          </cell>
          <cell r="J49">
            <v>45930</v>
          </cell>
          <cell r="K49">
            <v>45900</v>
          </cell>
          <cell r="N49" t="str">
            <v>F021-00005320</v>
          </cell>
          <cell r="P49" t="str">
            <v>COLABORATIVA S.A.C.</v>
          </cell>
          <cell r="Q49">
            <v>-86</v>
          </cell>
          <cell r="S49">
            <v>-86</v>
          </cell>
          <cell r="T49">
            <v>-86</v>
          </cell>
          <cell r="V49" t="str">
            <v>PEN</v>
          </cell>
          <cell r="W49" t="b">
            <v>0</v>
          </cell>
          <cell r="X49" t="str">
            <v>Pagado</v>
          </cell>
          <cell r="AB49" t="str">
            <v>Registrado</v>
          </cell>
          <cell r="AN49">
            <v>45900</v>
          </cell>
          <cell r="AO49" t="e">
            <v>#N/A</v>
          </cell>
          <cell r="AP49" t="str">
            <v>FXP/2025/09/0045</v>
          </cell>
        </row>
        <row r="50">
          <cell r="E50" t="str">
            <v>F001-00007397</v>
          </cell>
          <cell r="F50">
            <v>0</v>
          </cell>
          <cell r="H50" t="str">
            <v>SANKY 10 S.A.C</v>
          </cell>
          <cell r="I50">
            <v>45918</v>
          </cell>
          <cell r="J50">
            <v>45930</v>
          </cell>
          <cell r="K50">
            <v>45918</v>
          </cell>
          <cell r="N50" t="str">
            <v>F001-00007397</v>
          </cell>
          <cell r="P50" t="str">
            <v>COLABORATIVA S.A.C.</v>
          </cell>
          <cell r="Q50">
            <v>-20.9</v>
          </cell>
          <cell r="S50">
            <v>-20.9</v>
          </cell>
          <cell r="T50">
            <v>-20.9</v>
          </cell>
          <cell r="V50" t="str">
            <v>PEN</v>
          </cell>
          <cell r="W50" t="b">
            <v>0</v>
          </cell>
          <cell r="X50" t="str">
            <v>Pagado</v>
          </cell>
          <cell r="AB50" t="str">
            <v>Registrado</v>
          </cell>
          <cell r="AN50">
            <v>45918</v>
          </cell>
          <cell r="AO50" t="e">
            <v>#N/A</v>
          </cell>
          <cell r="AP50" t="str">
            <v>FXP/2025/09/0044</v>
          </cell>
        </row>
        <row r="51">
          <cell r="E51" t="str">
            <v>F001-00002213</v>
          </cell>
          <cell r="F51">
            <v>0</v>
          </cell>
          <cell r="H51" t="str">
            <v>REPRESENTACIONES ALEXIA S.A.C.</v>
          </cell>
          <cell r="I51">
            <v>45929</v>
          </cell>
          <cell r="J51">
            <v>45930</v>
          </cell>
          <cell r="K51">
            <v>45929</v>
          </cell>
          <cell r="N51" t="str">
            <v>F001-2213</v>
          </cell>
          <cell r="P51" t="str">
            <v>COLABORATIVA S.A.C.</v>
          </cell>
          <cell r="Q51">
            <v>-104</v>
          </cell>
          <cell r="S51">
            <v>-104</v>
          </cell>
          <cell r="T51">
            <v>-104</v>
          </cell>
          <cell r="V51" t="str">
            <v>PEN</v>
          </cell>
          <cell r="W51" t="b">
            <v>0</v>
          </cell>
          <cell r="X51" t="str">
            <v>Pagado</v>
          </cell>
          <cell r="AB51" t="str">
            <v>Registrado</v>
          </cell>
          <cell r="AN51">
            <v>45929</v>
          </cell>
          <cell r="AO51" t="e">
            <v>#N/A</v>
          </cell>
          <cell r="AP51" t="str">
            <v>FXP/2025/09/0043</v>
          </cell>
        </row>
        <row r="52">
          <cell r="E52" t="str">
            <v>FC03-00086728</v>
          </cell>
          <cell r="F52">
            <v>0</v>
          </cell>
          <cell r="H52" t="str">
            <v>GRIFO SAN IGNACIO S.A.C.</v>
          </cell>
          <cell r="I52">
            <v>45924</v>
          </cell>
          <cell r="J52">
            <v>45930</v>
          </cell>
          <cell r="K52">
            <v>45924</v>
          </cell>
          <cell r="N52" t="str">
            <v>FC03-0086728</v>
          </cell>
          <cell r="P52" t="str">
            <v>COLABORATIVA S.A.C.</v>
          </cell>
          <cell r="Q52">
            <v>-181.26</v>
          </cell>
          <cell r="S52">
            <v>-181.26</v>
          </cell>
          <cell r="T52">
            <v>-181.26</v>
          </cell>
          <cell r="V52" t="str">
            <v>PEN</v>
          </cell>
          <cell r="W52" t="b">
            <v>0</v>
          </cell>
          <cell r="X52" t="str">
            <v>Pagado</v>
          </cell>
          <cell r="AB52" t="str">
            <v>Registrado</v>
          </cell>
          <cell r="AN52">
            <v>45924</v>
          </cell>
          <cell r="AO52" t="e">
            <v>#N/A</v>
          </cell>
          <cell r="AP52" t="str">
            <v>FXP/2025/09/0042</v>
          </cell>
        </row>
        <row r="53">
          <cell r="E53" t="str">
            <v>FC01-00132753</v>
          </cell>
          <cell r="F53">
            <v>0</v>
          </cell>
          <cell r="H53" t="str">
            <v>GRIFO SAN IGNACIO S.A.C.</v>
          </cell>
          <cell r="I53">
            <v>45910</v>
          </cell>
          <cell r="J53">
            <v>45930</v>
          </cell>
          <cell r="K53">
            <v>45910</v>
          </cell>
          <cell r="N53" t="str">
            <v>FC01-0132753</v>
          </cell>
          <cell r="P53" t="str">
            <v>COLABORATIVA S.A.C.</v>
          </cell>
          <cell r="Q53">
            <v>-198.93</v>
          </cell>
          <cell r="S53">
            <v>-198.93</v>
          </cell>
          <cell r="T53">
            <v>-198.93</v>
          </cell>
          <cell r="V53" t="str">
            <v>PEN</v>
          </cell>
          <cell r="W53" t="b">
            <v>0</v>
          </cell>
          <cell r="X53" t="str">
            <v>Pagado</v>
          </cell>
          <cell r="AB53" t="str">
            <v>Registrado</v>
          </cell>
          <cell r="AN53">
            <v>45910</v>
          </cell>
          <cell r="AO53" t="e">
            <v>#N/A</v>
          </cell>
          <cell r="AP53" t="str">
            <v>FXP/2025/09/0041</v>
          </cell>
        </row>
        <row r="54">
          <cell r="E54" t="str">
            <v>E001-00000122</v>
          </cell>
          <cell r="F54">
            <v>0</v>
          </cell>
          <cell r="H54" t="str">
            <v>MUÑOZ VERANO JOHN BRACKSON</v>
          </cell>
          <cell r="I54">
            <v>45929</v>
          </cell>
          <cell r="J54">
            <v>45929</v>
          </cell>
          <cell r="K54">
            <v>45930</v>
          </cell>
          <cell r="L54" t="str">
            <v>P00257</v>
          </cell>
          <cell r="P54" t="str">
            <v>COLABORATIVA S.A.C.</v>
          </cell>
          <cell r="Q54">
            <v>-2470</v>
          </cell>
          <cell r="R54">
            <v>-444.6</v>
          </cell>
          <cell r="S54">
            <v>-2914.6</v>
          </cell>
          <cell r="T54">
            <v>-2914.6</v>
          </cell>
          <cell r="V54" t="str">
            <v>PEN</v>
          </cell>
          <cell r="W54" t="b">
            <v>0</v>
          </cell>
          <cell r="X54" t="str">
            <v>Pagado</v>
          </cell>
          <cell r="AB54" t="str">
            <v>Registrado</v>
          </cell>
          <cell r="AN54">
            <v>45929</v>
          </cell>
          <cell r="AO54" t="e">
            <v>#N/A</v>
          </cell>
          <cell r="AP54" t="str">
            <v>FXP/2025/10/0072</v>
          </cell>
        </row>
        <row r="55">
          <cell r="E55" t="str">
            <v>E001-00000063</v>
          </cell>
          <cell r="F55">
            <v>0</v>
          </cell>
          <cell r="H55" t="str">
            <v>VENTURA SABINO MIGUEL ANGEL</v>
          </cell>
          <cell r="I55">
            <v>45929</v>
          </cell>
          <cell r="J55">
            <v>45929</v>
          </cell>
          <cell r="K55">
            <v>45929</v>
          </cell>
          <cell r="L55" t="str">
            <v>P00252</v>
          </cell>
          <cell r="N55" t="str">
            <v>E001-63</v>
          </cell>
          <cell r="P55" t="str">
            <v>COLABORATIVA S.A.C.</v>
          </cell>
          <cell r="Q55">
            <v>-2400</v>
          </cell>
          <cell r="S55">
            <v>-2400</v>
          </cell>
          <cell r="T55">
            <v>-2400</v>
          </cell>
          <cell r="V55" t="str">
            <v>PEN</v>
          </cell>
          <cell r="W55" t="b">
            <v>0</v>
          </cell>
          <cell r="X55" t="str">
            <v>Pagado</v>
          </cell>
          <cell r="AB55" t="str">
            <v>Registrado</v>
          </cell>
          <cell r="AN55">
            <v>45929</v>
          </cell>
          <cell r="AO55" t="e">
            <v>#N/A</v>
          </cell>
          <cell r="AP55" t="str">
            <v>FXP/2025/09/0046</v>
          </cell>
        </row>
        <row r="56">
          <cell r="E56" t="str">
            <v>E001-00000073</v>
          </cell>
          <cell r="F56">
            <v>0</v>
          </cell>
          <cell r="H56" t="str">
            <v>MARCAS TUPALAYA VICTOR ALBERTO</v>
          </cell>
          <cell r="I56">
            <v>45929</v>
          </cell>
          <cell r="J56">
            <v>45929</v>
          </cell>
          <cell r="K56">
            <v>45930</v>
          </cell>
          <cell r="L56" t="str">
            <v>P00258</v>
          </cell>
          <cell r="N56" t="str">
            <v>E001-73</v>
          </cell>
          <cell r="P56" t="str">
            <v>COLABORATIVA S.A.C.</v>
          </cell>
          <cell r="Q56">
            <v>-594.59</v>
          </cell>
          <cell r="R56">
            <v>47.57</v>
          </cell>
          <cell r="S56">
            <v>-547.02</v>
          </cell>
          <cell r="T56">
            <v>-547.02</v>
          </cell>
          <cell r="V56" t="str">
            <v>PEN</v>
          </cell>
          <cell r="W56" t="b">
            <v>0</v>
          </cell>
          <cell r="X56" t="str">
            <v>Pagado</v>
          </cell>
          <cell r="AB56" t="str">
            <v>Registrado</v>
          </cell>
          <cell r="AN56">
            <v>45929</v>
          </cell>
          <cell r="AO56" t="e">
            <v>#N/A</v>
          </cell>
          <cell r="AP56" t="str">
            <v>FXP/2025/09/0036</v>
          </cell>
        </row>
        <row r="57">
          <cell r="E57" t="str">
            <v>E001-00000537</v>
          </cell>
          <cell r="F57">
            <v>0</v>
          </cell>
          <cell r="H57" t="str">
            <v>CATORCE &amp; SEIS S.A.C.</v>
          </cell>
          <cell r="I57">
            <v>45929</v>
          </cell>
          <cell r="J57">
            <v>45929</v>
          </cell>
          <cell r="K57">
            <v>45930</v>
          </cell>
          <cell r="L57" t="str">
            <v>P00256</v>
          </cell>
          <cell r="P57" t="str">
            <v>COLABORATIVA S.A.C.</v>
          </cell>
          <cell r="Q57">
            <v>-12677.65</v>
          </cell>
          <cell r="R57">
            <v>-2281.98</v>
          </cell>
          <cell r="S57">
            <v>-14959.63</v>
          </cell>
          <cell r="T57">
            <v>-14959.63</v>
          </cell>
          <cell r="V57" t="str">
            <v>PEN</v>
          </cell>
          <cell r="W57" t="b">
            <v>0</v>
          </cell>
          <cell r="X57" t="str">
            <v>Pagado</v>
          </cell>
          <cell r="AB57" t="str">
            <v>Registrado</v>
          </cell>
          <cell r="AN57">
            <v>45929</v>
          </cell>
          <cell r="AO57" t="e">
            <v>#N/A</v>
          </cell>
          <cell r="AP57" t="str">
            <v>FXP/2025/09/0035</v>
          </cell>
        </row>
        <row r="58">
          <cell r="E58" t="str">
            <v>F017-00003599</v>
          </cell>
          <cell r="F58">
            <v>0</v>
          </cell>
          <cell r="H58" t="str">
            <v>DELIBAKERY PERU S.A.C.</v>
          </cell>
          <cell r="I58">
            <v>45908</v>
          </cell>
          <cell r="J58">
            <v>45929</v>
          </cell>
          <cell r="K58">
            <v>45908</v>
          </cell>
          <cell r="N58" t="str">
            <v>F017-3599</v>
          </cell>
          <cell r="P58" t="str">
            <v>COLABORATIVA S.A.C.</v>
          </cell>
          <cell r="Q58">
            <v>-141.5</v>
          </cell>
          <cell r="S58">
            <v>-141.5</v>
          </cell>
          <cell r="T58">
            <v>-141.5</v>
          </cell>
          <cell r="V58" t="str">
            <v>PEN</v>
          </cell>
          <cell r="W58" t="b">
            <v>0</v>
          </cell>
          <cell r="X58" t="str">
            <v>Pagado</v>
          </cell>
          <cell r="AB58" t="str">
            <v>Registrado</v>
          </cell>
          <cell r="AN58">
            <v>45908</v>
          </cell>
          <cell r="AO58" t="e">
            <v>#N/A</v>
          </cell>
          <cell r="AP58" t="str">
            <v>FXP/2025/09/0034</v>
          </cell>
        </row>
        <row r="59">
          <cell r="E59" t="str">
            <v>F814-00044499</v>
          </cell>
          <cell r="F59">
            <v>0</v>
          </cell>
          <cell r="H59" t="str">
            <v>Repsol Comercial S.A.C.</v>
          </cell>
          <cell r="I59">
            <v>45906</v>
          </cell>
          <cell r="J59">
            <v>45929</v>
          </cell>
          <cell r="K59">
            <v>45906</v>
          </cell>
          <cell r="N59" t="str">
            <v>F814-00044499</v>
          </cell>
          <cell r="P59" t="str">
            <v>COLABORATIVA S.A.C.</v>
          </cell>
          <cell r="Q59">
            <v>-241.11</v>
          </cell>
          <cell r="S59">
            <v>-241.11</v>
          </cell>
          <cell r="T59">
            <v>-241.11</v>
          </cell>
          <cell r="V59" t="str">
            <v>PEN</v>
          </cell>
          <cell r="W59" t="b">
            <v>0</v>
          </cell>
          <cell r="X59" t="str">
            <v>Pagado</v>
          </cell>
          <cell r="AB59" t="str">
            <v>Registrado</v>
          </cell>
          <cell r="AN59">
            <v>45906</v>
          </cell>
          <cell r="AO59" t="e">
            <v>#N/A</v>
          </cell>
          <cell r="AP59" t="str">
            <v>FXP/2025/09/0033</v>
          </cell>
        </row>
        <row r="60">
          <cell r="E60" t="str">
            <v>F101-00106453</v>
          </cell>
          <cell r="F60">
            <v>0</v>
          </cell>
          <cell r="H60" t="str">
            <v>TERTISA COMBUSTIBLES S.A.</v>
          </cell>
          <cell r="I60">
            <v>45906</v>
          </cell>
          <cell r="J60">
            <v>45929</v>
          </cell>
          <cell r="K60">
            <v>45906</v>
          </cell>
          <cell r="N60" t="str">
            <v>F101-00106453</v>
          </cell>
          <cell r="P60" t="str">
            <v>COLABORATIVA S.A.C.</v>
          </cell>
          <cell r="Q60">
            <v>-64</v>
          </cell>
          <cell r="S60">
            <v>-64</v>
          </cell>
          <cell r="T60">
            <v>-64</v>
          </cell>
          <cell r="V60" t="str">
            <v>PEN</v>
          </cell>
          <cell r="W60" t="b">
            <v>0</v>
          </cell>
          <cell r="X60" t="str">
            <v>Pagado</v>
          </cell>
          <cell r="AB60" t="str">
            <v>Registrado</v>
          </cell>
          <cell r="AN60">
            <v>45906</v>
          </cell>
          <cell r="AO60" t="e">
            <v>#N/A</v>
          </cell>
          <cell r="AP60" t="str">
            <v>FXP/2025/09/0032</v>
          </cell>
        </row>
        <row r="61">
          <cell r="E61" t="str">
            <v>FR02-00001013</v>
          </cell>
          <cell r="F61">
            <v>0</v>
          </cell>
          <cell r="H61" t="str">
            <v>FRANQUICIAS ALIMENTARIAS S.A.</v>
          </cell>
          <cell r="I61">
            <v>45915</v>
          </cell>
          <cell r="J61">
            <v>45929</v>
          </cell>
          <cell r="K61">
            <v>45915</v>
          </cell>
          <cell r="N61" t="str">
            <v>FR02-00001013</v>
          </cell>
          <cell r="P61" t="str">
            <v>COLABORATIVA S.A.C.</v>
          </cell>
          <cell r="Q61">
            <v>-59.8</v>
          </cell>
          <cell r="S61">
            <v>-59.8</v>
          </cell>
          <cell r="T61">
            <v>-59.8</v>
          </cell>
          <cell r="V61" t="str">
            <v>PEN</v>
          </cell>
          <cell r="W61" t="b">
            <v>0</v>
          </cell>
          <cell r="X61" t="str">
            <v>Pagado</v>
          </cell>
          <cell r="AB61" t="str">
            <v>Registrado</v>
          </cell>
          <cell r="AN61">
            <v>45915</v>
          </cell>
          <cell r="AO61" t="e">
            <v>#N/A</v>
          </cell>
          <cell r="AP61" t="str">
            <v>FXP/2025/09/0028</v>
          </cell>
        </row>
        <row r="62">
          <cell r="E62" t="str">
            <v>F021-00005380</v>
          </cell>
          <cell r="F62">
            <v>0</v>
          </cell>
          <cell r="H62" t="str">
            <v>YOPO S.A.C.</v>
          </cell>
          <cell r="I62">
            <v>45910</v>
          </cell>
          <cell r="J62">
            <v>45929</v>
          </cell>
          <cell r="K62">
            <v>45910</v>
          </cell>
          <cell r="N62" t="str">
            <v>F021-00005380</v>
          </cell>
          <cell r="P62" t="str">
            <v>COLABORATIVA S.A.C.</v>
          </cell>
          <cell r="Q62">
            <v>-30</v>
          </cell>
          <cell r="S62">
            <v>-30</v>
          </cell>
          <cell r="T62">
            <v>-30</v>
          </cell>
          <cell r="V62" t="str">
            <v>PEN</v>
          </cell>
          <cell r="W62" t="b">
            <v>0</v>
          </cell>
          <cell r="X62" t="str">
            <v>Pagado</v>
          </cell>
          <cell r="AB62" t="str">
            <v>Registrado</v>
          </cell>
          <cell r="AN62">
            <v>45910</v>
          </cell>
          <cell r="AO62" t="e">
            <v>#N/A</v>
          </cell>
          <cell r="AP62" t="str">
            <v>FXP/2025/09/0027</v>
          </cell>
        </row>
        <row r="63">
          <cell r="E63" t="str">
            <v>F003-00007219</v>
          </cell>
          <cell r="F63">
            <v>0</v>
          </cell>
          <cell r="H63" t="str">
            <v>COCINA TRUJILLANA SAC</v>
          </cell>
          <cell r="I63">
            <v>45916</v>
          </cell>
          <cell r="J63">
            <v>45929</v>
          </cell>
          <cell r="K63">
            <v>45916</v>
          </cell>
          <cell r="N63" t="str">
            <v>F003-7219</v>
          </cell>
          <cell r="P63" t="str">
            <v>COLABORATIVA S.A.C.</v>
          </cell>
          <cell r="Q63">
            <v>-276</v>
          </cell>
          <cell r="S63">
            <v>-276</v>
          </cell>
          <cell r="T63">
            <v>-276</v>
          </cell>
          <cell r="V63" t="str">
            <v>PEN</v>
          </cell>
          <cell r="W63" t="b">
            <v>0</v>
          </cell>
          <cell r="X63" t="str">
            <v>Pagado</v>
          </cell>
          <cell r="AB63" t="str">
            <v>Registrado</v>
          </cell>
          <cell r="AN63">
            <v>45916</v>
          </cell>
          <cell r="AO63" t="e">
            <v>#N/A</v>
          </cell>
          <cell r="AP63" t="str">
            <v>FXP/2025/09/0026</v>
          </cell>
        </row>
        <row r="64">
          <cell r="E64" t="str">
            <v>FI25-00017305</v>
          </cell>
          <cell r="F64">
            <v>0</v>
          </cell>
          <cell r="H64" t="str">
            <v>MEMORY KINGS PERU S.A.C</v>
          </cell>
          <cell r="I64">
            <v>45926</v>
          </cell>
          <cell r="J64">
            <v>45926</v>
          </cell>
          <cell r="K64">
            <v>45926</v>
          </cell>
          <cell r="L64" t="str">
            <v>P00247</v>
          </cell>
          <cell r="P64" t="str">
            <v>COLABORATIVA S.A.C.</v>
          </cell>
          <cell r="Q64">
            <v>-538.14</v>
          </cell>
          <cell r="R64">
            <v>-96.86</v>
          </cell>
          <cell r="S64">
            <v>-635</v>
          </cell>
          <cell r="T64">
            <v>-635</v>
          </cell>
          <cell r="V64" t="str">
            <v>PEN</v>
          </cell>
          <cell r="W64" t="b">
            <v>0</v>
          </cell>
          <cell r="X64" t="str">
            <v>Pagado</v>
          </cell>
          <cell r="AB64" t="str">
            <v>Registrado</v>
          </cell>
          <cell r="AN64">
            <v>45926</v>
          </cell>
          <cell r="AO64" t="e">
            <v>#N/A</v>
          </cell>
          <cell r="AP64" t="str">
            <v>FXP/2025/09/0022</v>
          </cell>
        </row>
        <row r="65">
          <cell r="E65" t="str">
            <v>FF29-00003107</v>
          </cell>
          <cell r="F65">
            <v>0</v>
          </cell>
          <cell r="H65" t="str">
            <v>Verisure Peru SAC</v>
          </cell>
          <cell r="I65">
            <v>45924</v>
          </cell>
          <cell r="J65">
            <v>45926</v>
          </cell>
          <cell r="K65">
            <v>45926</v>
          </cell>
          <cell r="P65" t="str">
            <v>COLABORATIVA S.A.C.</v>
          </cell>
          <cell r="Q65">
            <v>-168.64</v>
          </cell>
          <cell r="R65">
            <v>-30.36</v>
          </cell>
          <cell r="S65">
            <v>-199</v>
          </cell>
          <cell r="T65">
            <v>-199</v>
          </cell>
          <cell r="V65" t="str">
            <v>PEN</v>
          </cell>
          <cell r="W65" t="b">
            <v>0</v>
          </cell>
          <cell r="X65" t="str">
            <v>Pagado</v>
          </cell>
          <cell r="AB65" t="str">
            <v>Registrado</v>
          </cell>
          <cell r="AN65">
            <v>45924</v>
          </cell>
          <cell r="AO65" t="e">
            <v>#N/A</v>
          </cell>
          <cell r="AP65" t="str">
            <v>FXP/2025/09/0016</v>
          </cell>
        </row>
        <row r="66">
          <cell r="E66" t="str">
            <v>FE29-00025243</v>
          </cell>
          <cell r="F66">
            <v>0</v>
          </cell>
          <cell r="H66" t="str">
            <v>Verisure Peru SAC</v>
          </cell>
          <cell r="I66">
            <v>45924</v>
          </cell>
          <cell r="J66">
            <v>45926</v>
          </cell>
          <cell r="K66">
            <v>45926</v>
          </cell>
          <cell r="P66" t="str">
            <v>COLABORATIVA S.A.C.</v>
          </cell>
          <cell r="Q66">
            <v>-87.29</v>
          </cell>
          <cell r="R66">
            <v>-15.71</v>
          </cell>
          <cell r="S66">
            <v>-103</v>
          </cell>
          <cell r="T66">
            <v>-103</v>
          </cell>
          <cell r="V66" t="str">
            <v>PEN</v>
          </cell>
          <cell r="W66" t="b">
            <v>0</v>
          </cell>
          <cell r="X66" t="str">
            <v>Pagado</v>
          </cell>
          <cell r="AB66" t="str">
            <v>Registrado</v>
          </cell>
          <cell r="AN66">
            <v>45924</v>
          </cell>
          <cell r="AO66" t="e">
            <v>#N/A</v>
          </cell>
          <cell r="AP66" t="str">
            <v>FXP/2025/09/0015</v>
          </cell>
        </row>
        <row r="67">
          <cell r="E67" t="str">
            <v>E001-00000136</v>
          </cell>
          <cell r="F67">
            <v>0</v>
          </cell>
          <cell r="H67" t="str">
            <v>CORPORACION LINCOSUR E.I.R.L.</v>
          </cell>
          <cell r="I67">
            <v>45925</v>
          </cell>
          <cell r="J67">
            <v>45925</v>
          </cell>
          <cell r="K67">
            <v>45930</v>
          </cell>
          <cell r="P67" t="str">
            <v>COLABORATIVA S.A.C.</v>
          </cell>
          <cell r="Q67">
            <v>-422.88</v>
          </cell>
          <cell r="R67">
            <v>-76.12</v>
          </cell>
          <cell r="S67">
            <v>-499</v>
          </cell>
          <cell r="T67">
            <v>-499</v>
          </cell>
          <cell r="V67" t="str">
            <v>PEN</v>
          </cell>
          <cell r="W67" t="b">
            <v>0</v>
          </cell>
          <cell r="X67" t="str">
            <v>Pagado</v>
          </cell>
          <cell r="AB67" t="str">
            <v>Registrado</v>
          </cell>
          <cell r="AN67">
            <v>45925</v>
          </cell>
          <cell r="AO67" t="e">
            <v>#N/A</v>
          </cell>
          <cell r="AP67" t="str">
            <v>FXP/2025/09/0037</v>
          </cell>
        </row>
        <row r="68">
          <cell r="E68" t="str">
            <v>FRE1-00007301</v>
          </cell>
          <cell r="F68">
            <v>0</v>
          </cell>
          <cell r="H68" t="str">
            <v>RASH PERU SRL</v>
          </cell>
          <cell r="I68">
            <v>45925</v>
          </cell>
          <cell r="J68">
            <v>45925</v>
          </cell>
          <cell r="K68">
            <v>45926</v>
          </cell>
          <cell r="P68" t="str">
            <v>COLABORATIVA S.A.C.</v>
          </cell>
          <cell r="Q68">
            <v>-33.729999999999997</v>
          </cell>
          <cell r="R68">
            <v>-6.07</v>
          </cell>
          <cell r="S68">
            <v>-39.799999999999997</v>
          </cell>
          <cell r="T68">
            <v>-39.799999999999997</v>
          </cell>
          <cell r="V68" t="str">
            <v>PEN</v>
          </cell>
          <cell r="W68" t="b">
            <v>0</v>
          </cell>
          <cell r="X68" t="str">
            <v>Pagado</v>
          </cell>
          <cell r="AB68" t="str">
            <v>Registrado</v>
          </cell>
          <cell r="AN68">
            <v>45925</v>
          </cell>
          <cell r="AO68" t="e">
            <v>#N/A</v>
          </cell>
          <cell r="AP68" t="str">
            <v>FXP/2025/09/0018</v>
          </cell>
        </row>
        <row r="69">
          <cell r="E69" t="str">
            <v>F448-00023557</v>
          </cell>
          <cell r="F69">
            <v>0</v>
          </cell>
          <cell r="H69" t="str">
            <v>TIENDAS DEL MEJORAMIENTO DEL HOGAR S.A.</v>
          </cell>
          <cell r="I69">
            <v>45925</v>
          </cell>
          <cell r="J69">
            <v>45925</v>
          </cell>
          <cell r="K69">
            <v>45926</v>
          </cell>
          <cell r="P69" t="str">
            <v>COLABORATIVA S.A.C.</v>
          </cell>
          <cell r="Q69">
            <v>-575.98</v>
          </cell>
          <cell r="R69">
            <v>-103.68</v>
          </cell>
          <cell r="S69">
            <v>-679.66</v>
          </cell>
          <cell r="T69">
            <v>-679.66</v>
          </cell>
          <cell r="V69" t="str">
            <v>PEN</v>
          </cell>
          <cell r="W69" t="b">
            <v>0</v>
          </cell>
          <cell r="X69" t="str">
            <v>Pagado</v>
          </cell>
          <cell r="AB69" t="str">
            <v>Registrado</v>
          </cell>
          <cell r="AN69">
            <v>45925</v>
          </cell>
          <cell r="AO69" t="e">
            <v>#N/A</v>
          </cell>
          <cell r="AP69" t="str">
            <v>FXP/2025/09/0017</v>
          </cell>
        </row>
        <row r="70">
          <cell r="E70" t="str">
            <v>F121-00003365</v>
          </cell>
          <cell r="F70">
            <v>0</v>
          </cell>
          <cell r="H70" t="str">
            <v>YOPO S.A.C.</v>
          </cell>
          <cell r="I70">
            <v>45917</v>
          </cell>
          <cell r="J70">
            <v>45925</v>
          </cell>
          <cell r="K70">
            <v>45917</v>
          </cell>
          <cell r="N70" t="str">
            <v>F121-00003365</v>
          </cell>
          <cell r="P70" t="str">
            <v>COLABORATIVA S.A.C.</v>
          </cell>
          <cell r="Q70">
            <v>-30</v>
          </cell>
          <cell r="S70">
            <v>-30</v>
          </cell>
          <cell r="T70">
            <v>-30</v>
          </cell>
          <cell r="V70" t="str">
            <v>PEN</v>
          </cell>
          <cell r="W70" t="b">
            <v>0</v>
          </cell>
          <cell r="X70" t="str">
            <v>Pagado</v>
          </cell>
          <cell r="AB70" t="str">
            <v>Registrado</v>
          </cell>
          <cell r="AN70">
            <v>45917</v>
          </cell>
          <cell r="AO70" t="e">
            <v>#N/A</v>
          </cell>
          <cell r="AP70" t="str">
            <v>FXP/2025/09/0013</v>
          </cell>
        </row>
        <row r="71">
          <cell r="E71" t="str">
            <v>F121-00003401</v>
          </cell>
          <cell r="F71">
            <v>0</v>
          </cell>
          <cell r="H71" t="str">
            <v>YOPO S.A.C.</v>
          </cell>
          <cell r="I71">
            <v>45919</v>
          </cell>
          <cell r="J71">
            <v>45925</v>
          </cell>
          <cell r="K71">
            <v>45919</v>
          </cell>
          <cell r="N71" t="str">
            <v>F121-00003401</v>
          </cell>
          <cell r="P71" t="str">
            <v>COLABORATIVA S.A.C.</v>
          </cell>
          <cell r="Q71">
            <v>-30</v>
          </cell>
          <cell r="S71">
            <v>-30</v>
          </cell>
          <cell r="T71">
            <v>-30</v>
          </cell>
          <cell r="V71" t="str">
            <v>PEN</v>
          </cell>
          <cell r="W71" t="b">
            <v>0</v>
          </cell>
          <cell r="X71" t="str">
            <v>Pagado</v>
          </cell>
          <cell r="AB71" t="str">
            <v>Registrado</v>
          </cell>
          <cell r="AN71">
            <v>45919</v>
          </cell>
          <cell r="AO71" t="e">
            <v>#N/A</v>
          </cell>
          <cell r="AP71" t="str">
            <v>FXP/2025/09/0012</v>
          </cell>
        </row>
        <row r="72">
          <cell r="E72" t="str">
            <v>F001-00009925</v>
          </cell>
          <cell r="F72">
            <v>0</v>
          </cell>
          <cell r="H72" t="str">
            <v>SP SABORES PERUANOS EIRL</v>
          </cell>
          <cell r="I72">
            <v>45919</v>
          </cell>
          <cell r="J72">
            <v>45925</v>
          </cell>
          <cell r="K72">
            <v>45919</v>
          </cell>
          <cell r="N72" t="str">
            <v>F001-00009925</v>
          </cell>
          <cell r="P72" t="str">
            <v>COLABORATIVA S.A.C.</v>
          </cell>
          <cell r="Q72">
            <v>-217</v>
          </cell>
          <cell r="S72">
            <v>-217</v>
          </cell>
          <cell r="T72">
            <v>-217</v>
          </cell>
          <cell r="V72" t="str">
            <v>PEN</v>
          </cell>
          <cell r="W72" t="b">
            <v>0</v>
          </cell>
          <cell r="X72" t="str">
            <v>Pagado</v>
          </cell>
          <cell r="AB72" t="str">
            <v>Registrado</v>
          </cell>
          <cell r="AN72">
            <v>45919</v>
          </cell>
          <cell r="AO72" t="e">
            <v>#N/A</v>
          </cell>
          <cell r="AP72" t="str">
            <v>FXP/2025/09/0010</v>
          </cell>
        </row>
        <row r="73">
          <cell r="E73" t="str">
            <v>F100-00008599</v>
          </cell>
          <cell r="F73">
            <v>0</v>
          </cell>
          <cell r="H73" t="str">
            <v>NEGOCIOS GASTRONOMICOS SANTOS EIRL</v>
          </cell>
          <cell r="I73">
            <v>45911</v>
          </cell>
          <cell r="J73">
            <v>45925</v>
          </cell>
          <cell r="K73">
            <v>45911</v>
          </cell>
          <cell r="N73" t="str">
            <v>F100-8599</v>
          </cell>
          <cell r="P73" t="str">
            <v>COLABORATIVA S.A.C.</v>
          </cell>
          <cell r="Q73">
            <v>-238.98</v>
          </cell>
          <cell r="R73">
            <v>-43.02</v>
          </cell>
          <cell r="S73">
            <v>-282</v>
          </cell>
          <cell r="T73">
            <v>-282</v>
          </cell>
          <cell r="V73" t="str">
            <v>PEN</v>
          </cell>
          <cell r="W73" t="b">
            <v>0</v>
          </cell>
          <cell r="X73" t="str">
            <v>Pagado</v>
          </cell>
          <cell r="AB73" t="str">
            <v>Registrado</v>
          </cell>
          <cell r="AN73">
            <v>45911</v>
          </cell>
          <cell r="AO73" t="e">
            <v>#N/A</v>
          </cell>
          <cell r="AP73" t="str">
            <v>FXP/2025/09/0009</v>
          </cell>
        </row>
        <row r="74">
          <cell r="E74" t="str">
            <v>E001-00000283</v>
          </cell>
          <cell r="F74">
            <v>0</v>
          </cell>
          <cell r="H74" t="str">
            <v>JEMKA &amp; ASOCIADOS S.A.C.</v>
          </cell>
          <cell r="I74">
            <v>45924</v>
          </cell>
          <cell r="J74">
            <v>45924</v>
          </cell>
          <cell r="K74">
            <v>45926</v>
          </cell>
          <cell r="L74" t="str">
            <v>P00250</v>
          </cell>
          <cell r="P74" t="str">
            <v>COLABORATIVA S.A.C.</v>
          </cell>
          <cell r="Q74">
            <v>-1500</v>
          </cell>
          <cell r="R74">
            <v>-270</v>
          </cell>
          <cell r="S74">
            <v>-1770</v>
          </cell>
          <cell r="T74">
            <v>-1770</v>
          </cell>
          <cell r="V74" t="str">
            <v>PEN</v>
          </cell>
          <cell r="W74" t="b">
            <v>0</v>
          </cell>
          <cell r="X74" t="str">
            <v>Pagado</v>
          </cell>
          <cell r="AB74" t="str">
            <v>Registrado</v>
          </cell>
          <cell r="AN74">
            <v>45924</v>
          </cell>
          <cell r="AO74" t="e">
            <v>#N/A</v>
          </cell>
          <cell r="AP74" t="str">
            <v>FXP/2025/09/0024</v>
          </cell>
        </row>
        <row r="75">
          <cell r="E75" t="str">
            <v>E001-00000285</v>
          </cell>
          <cell r="F75">
            <v>0</v>
          </cell>
          <cell r="H75" t="str">
            <v>JEMKA &amp; ASOCIADOS S.A.C.</v>
          </cell>
          <cell r="I75">
            <v>45924</v>
          </cell>
          <cell r="J75">
            <v>45924</v>
          </cell>
          <cell r="K75">
            <v>45926</v>
          </cell>
          <cell r="L75" t="str">
            <v>P00249</v>
          </cell>
          <cell r="P75" t="str">
            <v>COLABORATIVA S.A.C.</v>
          </cell>
          <cell r="Q75">
            <v>-200</v>
          </cell>
          <cell r="R75">
            <v>-36</v>
          </cell>
          <cell r="S75">
            <v>-236</v>
          </cell>
          <cell r="T75">
            <v>-236</v>
          </cell>
          <cell r="V75" t="str">
            <v>PEN</v>
          </cell>
          <cell r="W75" t="b">
            <v>0</v>
          </cell>
          <cell r="X75" t="str">
            <v>Pagado</v>
          </cell>
          <cell r="AB75" t="str">
            <v>Registrado</v>
          </cell>
          <cell r="AN75">
            <v>45924</v>
          </cell>
          <cell r="AO75" t="e">
            <v>#N/A</v>
          </cell>
          <cell r="AP75" t="str">
            <v>FXP/2025/09/0023</v>
          </cell>
        </row>
        <row r="76">
          <cell r="E76" t="str">
            <v>F003-00000798</v>
          </cell>
          <cell r="F76">
            <v>0</v>
          </cell>
          <cell r="H76" t="str">
            <v>MALBEC SAC</v>
          </cell>
          <cell r="I76">
            <v>45904</v>
          </cell>
          <cell r="J76">
            <v>45924</v>
          </cell>
          <cell r="K76">
            <v>45904</v>
          </cell>
          <cell r="N76" t="str">
            <v>F003-00000798</v>
          </cell>
          <cell r="P76" t="str">
            <v>COLABORATIVA S.A.C.</v>
          </cell>
          <cell r="Q76">
            <v>-444</v>
          </cell>
          <cell r="S76">
            <v>-444</v>
          </cell>
          <cell r="T76">
            <v>-444</v>
          </cell>
          <cell r="V76" t="str">
            <v>PEN</v>
          </cell>
          <cell r="W76" t="b">
            <v>0</v>
          </cell>
          <cell r="X76" t="str">
            <v>Pagado</v>
          </cell>
          <cell r="AB76" t="str">
            <v>Registrado</v>
          </cell>
          <cell r="AN76">
            <v>45904</v>
          </cell>
          <cell r="AO76" t="e">
            <v>#N/A</v>
          </cell>
          <cell r="AP76" t="str">
            <v>FXP/2025/09/0004</v>
          </cell>
        </row>
        <row r="77">
          <cell r="E77" t="str">
            <v>F004-00001249</v>
          </cell>
          <cell r="F77">
            <v>0</v>
          </cell>
          <cell r="H77" t="str">
            <v>ORIENTAL GOURMET S.A.</v>
          </cell>
          <cell r="I77">
            <v>45923</v>
          </cell>
          <cell r="J77">
            <v>45924</v>
          </cell>
          <cell r="K77">
            <v>45923</v>
          </cell>
          <cell r="N77" t="str">
            <v>F004-1249</v>
          </cell>
          <cell r="P77" t="str">
            <v>COLABORATIVA S.A.C.</v>
          </cell>
          <cell r="Q77">
            <v>-52.97</v>
          </cell>
          <cell r="R77">
            <v>-9.5299999999999994</v>
          </cell>
          <cell r="S77">
            <v>-62.5</v>
          </cell>
          <cell r="T77">
            <v>-62.5</v>
          </cell>
          <cell r="V77" t="str">
            <v>PEN</v>
          </cell>
          <cell r="W77" t="b">
            <v>0</v>
          </cell>
          <cell r="X77" t="str">
            <v>Pagado</v>
          </cell>
          <cell r="AB77" t="str">
            <v>Registrado</v>
          </cell>
          <cell r="AN77">
            <v>45923</v>
          </cell>
          <cell r="AO77" t="e">
            <v>#N/A</v>
          </cell>
          <cell r="AP77" t="str">
            <v>FXP/2025/09/0003</v>
          </cell>
        </row>
        <row r="78">
          <cell r="E78" t="str">
            <v>E001-00000020</v>
          </cell>
          <cell r="F78">
            <v>0</v>
          </cell>
          <cell r="H78" t="str">
            <v>PRINTMATE2.0 E.I.R.L.</v>
          </cell>
          <cell r="I78">
            <v>45923</v>
          </cell>
          <cell r="J78">
            <v>45923</v>
          </cell>
          <cell r="K78">
            <v>45923</v>
          </cell>
          <cell r="L78" t="str">
            <v>P00242</v>
          </cell>
          <cell r="P78" t="str">
            <v>COLABORATIVA S.A.C.</v>
          </cell>
          <cell r="Q78">
            <v>-456</v>
          </cell>
          <cell r="R78">
            <v>-82.08</v>
          </cell>
          <cell r="S78">
            <v>-538.08000000000004</v>
          </cell>
          <cell r="T78">
            <v>-538.08000000000004</v>
          </cell>
          <cell r="V78" t="str">
            <v>PEN</v>
          </cell>
          <cell r="W78" t="b">
            <v>0</v>
          </cell>
          <cell r="X78" t="str">
            <v>Pagado</v>
          </cell>
          <cell r="AB78" t="str">
            <v>Registrado</v>
          </cell>
          <cell r="AN78">
            <v>45923</v>
          </cell>
          <cell r="AO78" t="e">
            <v>#N/A</v>
          </cell>
          <cell r="AP78" t="str">
            <v>FXP/2025/09/0006</v>
          </cell>
        </row>
        <row r="79">
          <cell r="E79" t="str">
            <v>E001-00000061</v>
          </cell>
          <cell r="F79">
            <v>0</v>
          </cell>
          <cell r="H79" t="str">
            <v>VENTURA SABINO MIGUEL ANGEL</v>
          </cell>
          <cell r="I79">
            <v>45923</v>
          </cell>
          <cell r="J79">
            <v>45923</v>
          </cell>
          <cell r="K79">
            <v>45923</v>
          </cell>
          <cell r="L79" t="str">
            <v>P00241</v>
          </cell>
          <cell r="P79" t="str">
            <v>COLABORATIVA S.A.C.</v>
          </cell>
          <cell r="Q79">
            <v>-560</v>
          </cell>
          <cell r="S79">
            <v>-560</v>
          </cell>
          <cell r="T79">
            <v>-560</v>
          </cell>
          <cell r="V79" t="str">
            <v>PEN</v>
          </cell>
          <cell r="W79" t="b">
            <v>0</v>
          </cell>
          <cell r="X79" t="str">
            <v>Pagado</v>
          </cell>
          <cell r="AB79" t="str">
            <v>Registrado</v>
          </cell>
          <cell r="AN79">
            <v>45923</v>
          </cell>
          <cell r="AO79" t="e">
            <v>#N/A</v>
          </cell>
          <cell r="AP79" t="str">
            <v>FXP/2025/09/0001</v>
          </cell>
        </row>
        <row r="80">
          <cell r="E80" t="str">
            <v>R E001-00000015</v>
          </cell>
          <cell r="F80">
            <v>0</v>
          </cell>
          <cell r="H80" t="str">
            <v>SALVADOR ARNALDO REYES CHUECAS</v>
          </cell>
          <cell r="I80">
            <v>45919</v>
          </cell>
          <cell r="J80">
            <v>45919</v>
          </cell>
          <cell r="K80">
            <v>45919</v>
          </cell>
          <cell r="L80" t="str">
            <v>P00236</v>
          </cell>
          <cell r="P80" t="str">
            <v>COLABORATIVA S.A.C.</v>
          </cell>
          <cell r="Q80">
            <v>-1317.5</v>
          </cell>
          <cell r="S80">
            <v>-1317.5</v>
          </cell>
          <cell r="T80">
            <v>-1317.5</v>
          </cell>
          <cell r="U80">
            <v>-1317.5</v>
          </cell>
          <cell r="V80" t="str">
            <v>PEN</v>
          </cell>
          <cell r="W80" t="b">
            <v>0</v>
          </cell>
          <cell r="X80" t="str">
            <v>Sin pagar</v>
          </cell>
          <cell r="AB80" t="str">
            <v>Registrado</v>
          </cell>
          <cell r="AN80">
            <v>45919</v>
          </cell>
          <cell r="AO80" t="e">
            <v>#N/A</v>
          </cell>
          <cell r="AP80" t="str">
            <v>R E001-00000015</v>
          </cell>
        </row>
        <row r="81">
          <cell r="E81" t="str">
            <v>NÂ° F001-00009566</v>
          </cell>
          <cell r="F81">
            <v>0</v>
          </cell>
          <cell r="H81" t="str">
            <v>PRECINTOS PERU E.I.R.L</v>
          </cell>
          <cell r="I81">
            <v>45919</v>
          </cell>
          <cell r="J81">
            <v>45919</v>
          </cell>
          <cell r="K81">
            <v>45919</v>
          </cell>
          <cell r="L81" t="str">
            <v>P00238</v>
          </cell>
          <cell r="P81" t="str">
            <v>COLABORATIVA S.A.C.</v>
          </cell>
          <cell r="Q81">
            <v>-2394.09</v>
          </cell>
          <cell r="R81">
            <v>-430.91</v>
          </cell>
          <cell r="S81">
            <v>-2825</v>
          </cell>
          <cell r="T81">
            <v>-2825</v>
          </cell>
          <cell r="V81" t="str">
            <v>PEN</v>
          </cell>
          <cell r="W81" t="b">
            <v>0</v>
          </cell>
          <cell r="X81" t="str">
            <v>Pagado</v>
          </cell>
          <cell r="AB81" t="str">
            <v>Registrado</v>
          </cell>
          <cell r="AN81">
            <v>45919</v>
          </cell>
          <cell r="AO81" t="e">
            <v>#N/A</v>
          </cell>
          <cell r="AP81" t="str">
            <v>FXP/2025/10/0056</v>
          </cell>
        </row>
        <row r="82">
          <cell r="E82" t="str">
            <v>F315-00455032</v>
          </cell>
          <cell r="F82">
            <v>0</v>
          </cell>
          <cell r="H82" t="str">
            <v>CENCOSUD RETAIL PERU S.A.</v>
          </cell>
          <cell r="I82">
            <v>45919</v>
          </cell>
          <cell r="J82">
            <v>45919</v>
          </cell>
          <cell r="K82">
            <v>45924</v>
          </cell>
          <cell r="L82" t="str">
            <v>P00244</v>
          </cell>
          <cell r="P82" t="str">
            <v>COLABORATIVA S.A.C.</v>
          </cell>
          <cell r="Q82">
            <v>-38.11</v>
          </cell>
          <cell r="R82">
            <v>-6.87</v>
          </cell>
          <cell r="S82">
            <v>-44.98</v>
          </cell>
          <cell r="T82">
            <v>-44.98</v>
          </cell>
          <cell r="V82" t="str">
            <v>PEN</v>
          </cell>
          <cell r="W82" t="b">
            <v>0</v>
          </cell>
          <cell r="X82" t="str">
            <v>Pagado</v>
          </cell>
          <cell r="AB82" t="str">
            <v>Registrado</v>
          </cell>
          <cell r="AN82">
            <v>45919</v>
          </cell>
          <cell r="AO82" t="e">
            <v>#N/A</v>
          </cell>
          <cell r="AP82" t="str">
            <v>FXP/2025/09/0005</v>
          </cell>
        </row>
        <row r="83">
          <cell r="E83" t="str">
            <v>E001-00000118</v>
          </cell>
          <cell r="F83">
            <v>0</v>
          </cell>
          <cell r="H83" t="str">
            <v>MUÑOZ VERANO JOHN BRACKSON</v>
          </cell>
          <cell r="I83">
            <v>45918</v>
          </cell>
          <cell r="J83">
            <v>45918</v>
          </cell>
          <cell r="K83">
            <v>45922</v>
          </cell>
          <cell r="L83" t="str">
            <v>P00237</v>
          </cell>
          <cell r="P83" t="str">
            <v>COLABORATIVA S.A.C.</v>
          </cell>
          <cell r="Q83">
            <v>-240</v>
          </cell>
          <cell r="R83">
            <v>-43.2</v>
          </cell>
          <cell r="S83">
            <v>-283.2</v>
          </cell>
          <cell r="T83">
            <v>-283.2</v>
          </cell>
          <cell r="V83" t="str">
            <v>PEN</v>
          </cell>
          <cell r="W83" t="b">
            <v>0</v>
          </cell>
          <cell r="X83" t="str">
            <v>Pagado</v>
          </cell>
          <cell r="AB83" t="str">
            <v>Registrado</v>
          </cell>
          <cell r="AN83">
            <v>45918</v>
          </cell>
          <cell r="AO83" t="e">
            <v>#N/A</v>
          </cell>
          <cell r="AP83" t="str">
            <v>FXP/2025/09/0007</v>
          </cell>
        </row>
        <row r="84">
          <cell r="E84" t="str">
            <v>F E001-00000293</v>
          </cell>
          <cell r="F84">
            <v>0</v>
          </cell>
          <cell r="H84" t="str">
            <v>DANPRINT STUDIO (CINTHIA LISETH LOPEZ INGA)</v>
          </cell>
          <cell r="I84">
            <v>45918</v>
          </cell>
          <cell r="J84">
            <v>45918</v>
          </cell>
          <cell r="K84">
            <v>45918</v>
          </cell>
          <cell r="L84" t="str">
            <v>P00233</v>
          </cell>
          <cell r="P84" t="str">
            <v>COLABORATIVA S.A.C.</v>
          </cell>
          <cell r="Q84">
            <v>-2076.27</v>
          </cell>
          <cell r="R84">
            <v>-373.73</v>
          </cell>
          <cell r="S84">
            <v>-2450</v>
          </cell>
          <cell r="T84">
            <v>-2450</v>
          </cell>
          <cell r="V84" t="str">
            <v>PEN</v>
          </cell>
          <cell r="W84" t="b">
            <v>0</v>
          </cell>
          <cell r="X84" t="str">
            <v>Pagado</v>
          </cell>
          <cell r="AB84" t="str">
            <v>Registrado</v>
          </cell>
          <cell r="AN84">
            <v>45918</v>
          </cell>
          <cell r="AO84" t="e">
            <v>#N/A</v>
          </cell>
          <cell r="AP84" t="str">
            <v>F E001-00000293</v>
          </cell>
        </row>
        <row r="85">
          <cell r="E85" t="str">
            <v>F090-00187668</v>
          </cell>
          <cell r="F85">
            <v>0</v>
          </cell>
          <cell r="H85" t="str">
            <v>PACIFICO COMPAÑIA DE SEGUROS Y REASEGUROS</v>
          </cell>
          <cell r="I85">
            <v>45917</v>
          </cell>
          <cell r="J85">
            <v>45917</v>
          </cell>
          <cell r="K85">
            <v>45923</v>
          </cell>
          <cell r="P85" t="str">
            <v>COLABORATIVA S.A.C.</v>
          </cell>
          <cell r="Q85">
            <v>-528.27</v>
          </cell>
          <cell r="R85">
            <v>-95.08</v>
          </cell>
          <cell r="S85">
            <v>-623.35</v>
          </cell>
          <cell r="T85">
            <v>-178.66</v>
          </cell>
          <cell r="V85" t="str">
            <v>USD</v>
          </cell>
          <cell r="W85" t="b">
            <v>0</v>
          </cell>
          <cell r="X85" t="str">
            <v>Pagado</v>
          </cell>
          <cell r="AB85" t="str">
            <v>Registrado</v>
          </cell>
          <cell r="AN85">
            <v>45917</v>
          </cell>
          <cell r="AO85" t="e">
            <v>#N/A</v>
          </cell>
          <cell r="AP85" t="str">
            <v>FXP/2025/10/0059</v>
          </cell>
        </row>
        <row r="86">
          <cell r="E86" t="str">
            <v>F090-00187667</v>
          </cell>
          <cell r="F86">
            <v>0</v>
          </cell>
          <cell r="H86" t="str">
            <v>PACIFICO COMPAÑIA DE SEGUROS Y REASEGUROS</v>
          </cell>
          <cell r="I86">
            <v>45917</v>
          </cell>
          <cell r="J86">
            <v>45917</v>
          </cell>
          <cell r="K86">
            <v>45923</v>
          </cell>
          <cell r="P86" t="str">
            <v>COLABORATIVA S.A.C.</v>
          </cell>
          <cell r="Q86">
            <v>-528.03</v>
          </cell>
          <cell r="R86">
            <v>-95.04</v>
          </cell>
          <cell r="S86">
            <v>-623.07000000000005</v>
          </cell>
          <cell r="T86">
            <v>-178.58</v>
          </cell>
          <cell r="V86" t="str">
            <v>USD</v>
          </cell>
          <cell r="W86" t="b">
            <v>0</v>
          </cell>
          <cell r="X86" t="str">
            <v>Pagado</v>
          </cell>
          <cell r="AB86" t="str">
            <v>Registrado</v>
          </cell>
          <cell r="AN86">
            <v>45917</v>
          </cell>
          <cell r="AO86" t="e">
            <v>#N/A</v>
          </cell>
          <cell r="AP86" t="str">
            <v>FXP/2025/10/0058</v>
          </cell>
        </row>
        <row r="87">
          <cell r="E87" t="str">
            <v>F090-00187665</v>
          </cell>
          <cell r="F87">
            <v>0</v>
          </cell>
          <cell r="H87" t="str">
            <v>PACIFICO COMPAÑIA DE SEGUROS Y REASEGUROS</v>
          </cell>
          <cell r="I87">
            <v>45917</v>
          </cell>
          <cell r="J87">
            <v>45917</v>
          </cell>
          <cell r="K87">
            <v>45923</v>
          </cell>
          <cell r="P87" t="str">
            <v>COLABORATIVA S.A.C.</v>
          </cell>
          <cell r="Q87">
            <v>-528.03</v>
          </cell>
          <cell r="R87">
            <v>-95.04</v>
          </cell>
          <cell r="S87">
            <v>-623.07000000000005</v>
          </cell>
          <cell r="T87">
            <v>-178.58</v>
          </cell>
          <cell r="V87" t="str">
            <v>USD</v>
          </cell>
          <cell r="W87" t="b">
            <v>0</v>
          </cell>
          <cell r="X87" t="str">
            <v>Pagado</v>
          </cell>
          <cell r="AB87" t="str">
            <v>Registrado</v>
          </cell>
          <cell r="AN87">
            <v>45917</v>
          </cell>
          <cell r="AO87" t="e">
            <v>#N/A</v>
          </cell>
          <cell r="AP87" t="str">
            <v>FXP/2025/10/0057</v>
          </cell>
        </row>
        <row r="88">
          <cell r="E88" t="str">
            <v>F090-00187666</v>
          </cell>
          <cell r="F88">
            <v>0</v>
          </cell>
          <cell r="H88" t="str">
            <v>PACIFICO COMPAÑIA DE SEGUROS Y REASEGUROS</v>
          </cell>
          <cell r="I88">
            <v>45917</v>
          </cell>
          <cell r="J88">
            <v>45917</v>
          </cell>
          <cell r="K88">
            <v>45923</v>
          </cell>
          <cell r="L88" t="str">
            <v>P00229</v>
          </cell>
          <cell r="P88" t="str">
            <v>COLABORATIVA S.A.C.</v>
          </cell>
          <cell r="Q88">
            <v>-528.03</v>
          </cell>
          <cell r="R88">
            <v>-95.04</v>
          </cell>
          <cell r="S88">
            <v>-623.07000000000005</v>
          </cell>
          <cell r="T88">
            <v>-178.58</v>
          </cell>
          <cell r="V88" t="str">
            <v>USD</v>
          </cell>
          <cell r="W88" t="b">
            <v>0</v>
          </cell>
          <cell r="X88" t="str">
            <v>Pagado</v>
          </cell>
          <cell r="AB88" t="str">
            <v>Registrado</v>
          </cell>
          <cell r="AN88">
            <v>45917</v>
          </cell>
          <cell r="AO88" t="e">
            <v>#N/A</v>
          </cell>
          <cell r="AP88" t="str">
            <v>FXP/2025/10/0054</v>
          </cell>
        </row>
        <row r="89">
          <cell r="E89" t="str">
            <v>F F002-00033229</v>
          </cell>
          <cell r="F89">
            <v>0</v>
          </cell>
          <cell r="H89" t="str">
            <v>FLINK S.A.C.</v>
          </cell>
          <cell r="I89">
            <v>45917</v>
          </cell>
          <cell r="J89">
            <v>45917</v>
          </cell>
          <cell r="K89">
            <v>45932</v>
          </cell>
          <cell r="L89" t="str">
            <v>P00232</v>
          </cell>
          <cell r="P89" t="str">
            <v>COLABORATIVA S.A.C.</v>
          </cell>
          <cell r="Q89">
            <v>-483.05</v>
          </cell>
          <cell r="R89">
            <v>-86.95</v>
          </cell>
          <cell r="S89">
            <v>-570</v>
          </cell>
          <cell r="T89">
            <v>-570</v>
          </cell>
          <cell r="V89" t="str">
            <v>PEN</v>
          </cell>
          <cell r="W89" t="b">
            <v>0</v>
          </cell>
          <cell r="X89" t="str">
            <v>Pagado</v>
          </cell>
          <cell r="AB89" t="str">
            <v>Registrado</v>
          </cell>
          <cell r="AN89">
            <v>45917</v>
          </cell>
          <cell r="AO89" t="e">
            <v>#N/A</v>
          </cell>
          <cell r="AP89" t="str">
            <v>F F002-00033229</v>
          </cell>
        </row>
        <row r="90">
          <cell r="E90" t="str">
            <v>F002-00001533</v>
          </cell>
          <cell r="F90">
            <v>0</v>
          </cell>
          <cell r="H90" t="str">
            <v>PRAGMATIC S.A.C.</v>
          </cell>
          <cell r="I90">
            <v>45916</v>
          </cell>
          <cell r="J90">
            <v>45916</v>
          </cell>
          <cell r="K90">
            <v>45923</v>
          </cell>
          <cell r="L90" t="str">
            <v>P00240</v>
          </cell>
          <cell r="P90" t="str">
            <v>COLABORATIVA S.A.C.</v>
          </cell>
          <cell r="Q90">
            <v>-2550</v>
          </cell>
          <cell r="R90">
            <v>-459</v>
          </cell>
          <cell r="S90">
            <v>-3009</v>
          </cell>
          <cell r="T90">
            <v>-3009</v>
          </cell>
          <cell r="V90" t="str">
            <v>PEN</v>
          </cell>
          <cell r="W90" t="b">
            <v>0</v>
          </cell>
          <cell r="X90" t="str">
            <v>Pagado</v>
          </cell>
          <cell r="AB90" t="str">
            <v>Registrado</v>
          </cell>
          <cell r="AN90">
            <v>45916</v>
          </cell>
          <cell r="AO90" t="e">
            <v>#N/A</v>
          </cell>
          <cell r="AP90" t="str">
            <v>FXP/2025/10/0053</v>
          </cell>
        </row>
        <row r="91">
          <cell r="E91" t="str">
            <v>F E001-00000038</v>
          </cell>
          <cell r="F91">
            <v>0</v>
          </cell>
          <cell r="H91" t="str">
            <v>CANGAHUALA LETONA ELIO HUGO</v>
          </cell>
          <cell r="I91">
            <v>45916</v>
          </cell>
          <cell r="J91">
            <v>45916</v>
          </cell>
          <cell r="K91">
            <v>45919</v>
          </cell>
          <cell r="L91" t="str">
            <v>P00234</v>
          </cell>
          <cell r="P91" t="str">
            <v>COLABORATIVA S.A.C.</v>
          </cell>
          <cell r="Q91">
            <v>-972.03</v>
          </cell>
          <cell r="R91">
            <v>-174.97</v>
          </cell>
          <cell r="S91">
            <v>-1147</v>
          </cell>
          <cell r="T91">
            <v>-1147</v>
          </cell>
          <cell r="V91" t="str">
            <v>PEN</v>
          </cell>
          <cell r="W91" t="b">
            <v>0</v>
          </cell>
          <cell r="X91" t="str">
            <v>Pagado</v>
          </cell>
          <cell r="AB91" t="str">
            <v>Registrado</v>
          </cell>
          <cell r="AN91">
            <v>45916</v>
          </cell>
          <cell r="AO91" t="e">
            <v>#N/A</v>
          </cell>
          <cell r="AP91" t="str">
            <v>F E001-00000038</v>
          </cell>
        </row>
        <row r="92">
          <cell r="E92" t="str">
            <v>E001-00000059</v>
          </cell>
          <cell r="F92">
            <v>0</v>
          </cell>
          <cell r="H92" t="str">
            <v>GARRIDO ROJAS GREGORY OMAR</v>
          </cell>
          <cell r="I92">
            <v>45915</v>
          </cell>
          <cell r="J92">
            <v>45915</v>
          </cell>
          <cell r="K92">
            <v>45915</v>
          </cell>
          <cell r="L92" t="str">
            <v>P00223</v>
          </cell>
          <cell r="P92" t="str">
            <v>COLABORATIVA S.A.C.</v>
          </cell>
          <cell r="Q92">
            <v>-430</v>
          </cell>
          <cell r="S92">
            <v>-430</v>
          </cell>
          <cell r="T92">
            <v>-430</v>
          </cell>
          <cell r="V92" t="str">
            <v>PEN</v>
          </cell>
          <cell r="W92" t="b">
            <v>0</v>
          </cell>
          <cell r="X92" t="str">
            <v>Pagado</v>
          </cell>
          <cell r="AB92" t="str">
            <v>Registrado</v>
          </cell>
          <cell r="AN92">
            <v>45915</v>
          </cell>
          <cell r="AO92" t="e">
            <v>#N/A</v>
          </cell>
          <cell r="AP92" t="str">
            <v>FXP/2025/09/0052</v>
          </cell>
        </row>
        <row r="93">
          <cell r="E93" t="str">
            <v>E001-00000060</v>
          </cell>
          <cell r="F93">
            <v>0</v>
          </cell>
          <cell r="H93" t="str">
            <v>VENTURA SABINO MIGUEL ANGEL</v>
          </cell>
          <cell r="I93">
            <v>45915</v>
          </cell>
          <cell r="J93">
            <v>45915</v>
          </cell>
          <cell r="K93">
            <v>45915</v>
          </cell>
          <cell r="L93" t="str">
            <v>P00221</v>
          </cell>
          <cell r="P93" t="str">
            <v>COLABORATIVA S.A.C.</v>
          </cell>
          <cell r="Q93">
            <v>-2430</v>
          </cell>
          <cell r="S93">
            <v>-2430</v>
          </cell>
          <cell r="T93">
            <v>-2430</v>
          </cell>
          <cell r="V93" t="str">
            <v>PEN</v>
          </cell>
          <cell r="W93" t="b">
            <v>0</v>
          </cell>
          <cell r="X93" t="str">
            <v>Pagado</v>
          </cell>
          <cell r="AB93" t="str">
            <v>Registrado</v>
          </cell>
          <cell r="AN93">
            <v>45915</v>
          </cell>
          <cell r="AO93" t="e">
            <v>#N/A</v>
          </cell>
          <cell r="AP93" t="str">
            <v>FXP/2025/09/0051</v>
          </cell>
        </row>
        <row r="94">
          <cell r="E94" t="str">
            <v>R S001-18120090</v>
          </cell>
          <cell r="F94">
            <v>0</v>
          </cell>
          <cell r="H94" t="str">
            <v>WI-NET TELECOM S.A.C.</v>
          </cell>
          <cell r="I94">
            <v>45914</v>
          </cell>
          <cell r="J94">
            <v>45914</v>
          </cell>
          <cell r="K94">
            <v>45916</v>
          </cell>
          <cell r="L94" t="str">
            <v>P00227</v>
          </cell>
          <cell r="P94" t="str">
            <v>COLABORATIVA S.A.C.</v>
          </cell>
          <cell r="Q94">
            <v>-109.32</v>
          </cell>
          <cell r="R94">
            <v>-19.68</v>
          </cell>
          <cell r="S94">
            <v>-129</v>
          </cell>
          <cell r="T94">
            <v>-129</v>
          </cell>
          <cell r="V94" t="str">
            <v>PEN</v>
          </cell>
          <cell r="W94" t="b">
            <v>0</v>
          </cell>
          <cell r="X94" t="str">
            <v>Pagado</v>
          </cell>
          <cell r="AB94" t="str">
            <v>Registrado</v>
          </cell>
          <cell r="AN94">
            <v>45914</v>
          </cell>
          <cell r="AO94" t="e">
            <v>#N/A</v>
          </cell>
          <cell r="AP94" t="str">
            <v>R S001-18120090</v>
          </cell>
        </row>
        <row r="95">
          <cell r="E95" t="str">
            <v>R E001-29</v>
          </cell>
          <cell r="F95">
            <v>0</v>
          </cell>
          <cell r="H95" t="str">
            <v>LARREA MEDINA MELVA CIRINA</v>
          </cell>
          <cell r="I95">
            <v>45912</v>
          </cell>
          <cell r="J95">
            <v>45912</v>
          </cell>
          <cell r="K95">
            <v>45912</v>
          </cell>
          <cell r="L95" t="str">
            <v>P00219</v>
          </cell>
          <cell r="P95" t="str">
            <v>COLABORATIVA S.A.C.</v>
          </cell>
          <cell r="Q95">
            <v>-400</v>
          </cell>
          <cell r="S95">
            <v>-400</v>
          </cell>
          <cell r="T95">
            <v>-400</v>
          </cell>
          <cell r="V95" t="str">
            <v>PEN</v>
          </cell>
          <cell r="W95" t="b">
            <v>0</v>
          </cell>
          <cell r="X95" t="str">
            <v>Pagado</v>
          </cell>
          <cell r="AB95" t="str">
            <v>Registrado</v>
          </cell>
          <cell r="AN95">
            <v>45912</v>
          </cell>
          <cell r="AO95" t="e">
            <v>#N/A</v>
          </cell>
          <cell r="AP95" t="str">
            <v>R E001- 29</v>
          </cell>
        </row>
        <row r="96">
          <cell r="E96" t="str">
            <v>E001-00000117</v>
          </cell>
          <cell r="F96">
            <v>0</v>
          </cell>
          <cell r="H96" t="str">
            <v>MUÑOZ VERANO JOHN BRACKSON</v>
          </cell>
          <cell r="I96">
            <v>45912</v>
          </cell>
          <cell r="J96">
            <v>45912</v>
          </cell>
          <cell r="K96">
            <v>45912</v>
          </cell>
          <cell r="L96" t="str">
            <v>P00222</v>
          </cell>
          <cell r="P96" t="str">
            <v>COLABORATIVA S.A.C.</v>
          </cell>
          <cell r="Q96">
            <v>-110</v>
          </cell>
          <cell r="R96">
            <v>-19.8</v>
          </cell>
          <cell r="S96">
            <v>-129.80000000000001</v>
          </cell>
          <cell r="T96">
            <v>-129.80000000000001</v>
          </cell>
          <cell r="V96" t="str">
            <v>PEN</v>
          </cell>
          <cell r="W96" t="b">
            <v>0</v>
          </cell>
          <cell r="X96" t="str">
            <v>Pagado</v>
          </cell>
          <cell r="AB96" t="str">
            <v>Registrado</v>
          </cell>
          <cell r="AN96">
            <v>45912</v>
          </cell>
          <cell r="AO96" t="e">
            <v>#N/A</v>
          </cell>
          <cell r="AP96" t="str">
            <v>FXP/2025/09/0050</v>
          </cell>
        </row>
        <row r="97">
          <cell r="E97" t="str">
            <v>F S108-00389525</v>
          </cell>
          <cell r="F97">
            <v>0</v>
          </cell>
          <cell r="H97" t="str">
            <v>LUZ DEL SUR S.A.A.</v>
          </cell>
          <cell r="I97">
            <v>45912</v>
          </cell>
          <cell r="J97">
            <v>45912</v>
          </cell>
          <cell r="K97">
            <v>45919</v>
          </cell>
          <cell r="L97" t="str">
            <v>P00235</v>
          </cell>
          <cell r="P97" t="str">
            <v>COLABORATIVA S.A.C.</v>
          </cell>
          <cell r="Q97">
            <v>-626.19000000000005</v>
          </cell>
          <cell r="R97">
            <v>-112.71</v>
          </cell>
          <cell r="S97">
            <v>-738.9</v>
          </cell>
          <cell r="T97">
            <v>-738.9</v>
          </cell>
          <cell r="V97" t="str">
            <v>PEN</v>
          </cell>
          <cell r="W97" t="b">
            <v>0</v>
          </cell>
          <cell r="X97" t="str">
            <v>Pagado</v>
          </cell>
          <cell r="AB97" t="str">
            <v>Registrado</v>
          </cell>
          <cell r="AN97">
            <v>45912</v>
          </cell>
          <cell r="AO97" t="e">
            <v>#N/A</v>
          </cell>
          <cell r="AP97" t="str">
            <v>F S108-00389525</v>
          </cell>
        </row>
        <row r="98">
          <cell r="E98" t="str">
            <v>FI25-00017049</v>
          </cell>
          <cell r="F98">
            <v>0</v>
          </cell>
          <cell r="H98" t="str">
            <v>MEMORY KINGS PERU S.A.C</v>
          </cell>
          <cell r="I98">
            <v>45912</v>
          </cell>
          <cell r="J98">
            <v>45912</v>
          </cell>
          <cell r="K98">
            <v>45912</v>
          </cell>
          <cell r="L98" t="str">
            <v>P00220</v>
          </cell>
          <cell r="P98" t="str">
            <v>COLABORATIVA S.A.C.</v>
          </cell>
          <cell r="Q98">
            <v>-169.49</v>
          </cell>
          <cell r="R98">
            <v>-30.51</v>
          </cell>
          <cell r="S98">
            <v>-200</v>
          </cell>
          <cell r="T98">
            <v>-200</v>
          </cell>
          <cell r="V98" t="str">
            <v>PEN</v>
          </cell>
          <cell r="W98" t="b">
            <v>0</v>
          </cell>
          <cell r="X98" t="str">
            <v>Pagado</v>
          </cell>
          <cell r="AB98" t="str">
            <v>Registrado</v>
          </cell>
          <cell r="AN98">
            <v>45912</v>
          </cell>
          <cell r="AO98" t="e">
            <v>#N/A</v>
          </cell>
          <cell r="AP98" t="str">
            <v>F FI25-00017049</v>
          </cell>
        </row>
        <row r="99">
          <cell r="E99" t="str">
            <v>E001-00000148</v>
          </cell>
          <cell r="F99">
            <v>0</v>
          </cell>
          <cell r="H99" t="str">
            <v>FERTU S.A.C</v>
          </cell>
          <cell r="I99">
            <v>45912</v>
          </cell>
          <cell r="J99">
            <v>45912</v>
          </cell>
          <cell r="K99">
            <v>45915</v>
          </cell>
          <cell r="L99" t="str">
            <v>P00218</v>
          </cell>
          <cell r="N99" t="str">
            <v>E001-148</v>
          </cell>
          <cell r="P99" t="str">
            <v>COLABORATIVA S.A.C.</v>
          </cell>
          <cell r="Q99">
            <v>-150</v>
          </cell>
          <cell r="R99">
            <v>-27</v>
          </cell>
          <cell r="S99">
            <v>-177</v>
          </cell>
          <cell r="T99">
            <v>-177</v>
          </cell>
          <cell r="V99" t="str">
            <v>PEN</v>
          </cell>
          <cell r="W99" t="b">
            <v>0</v>
          </cell>
          <cell r="X99" t="str">
            <v>Pagado</v>
          </cell>
          <cell r="AB99" t="str">
            <v>Registrado</v>
          </cell>
          <cell r="AN99">
            <v>45912</v>
          </cell>
          <cell r="AO99" t="e">
            <v>#N/A</v>
          </cell>
          <cell r="AP99" t="str">
            <v>F E001-00000148</v>
          </cell>
        </row>
        <row r="100">
          <cell r="E100" t="str">
            <v>FI40-00016363</v>
          </cell>
          <cell r="F100">
            <v>0</v>
          </cell>
          <cell r="H100" t="str">
            <v>MEMORY KINGS PERU S.A.C</v>
          </cell>
          <cell r="I100">
            <v>45911</v>
          </cell>
          <cell r="J100">
            <v>45911</v>
          </cell>
          <cell r="K100">
            <v>45911</v>
          </cell>
          <cell r="L100" t="str">
            <v>P00214</v>
          </cell>
          <cell r="P100" t="str">
            <v>COLABORATIVA S.A.C.</v>
          </cell>
          <cell r="Q100">
            <v>-296.19</v>
          </cell>
          <cell r="R100">
            <v>-53.31</v>
          </cell>
          <cell r="S100">
            <v>-349.5</v>
          </cell>
          <cell r="T100">
            <v>-349.5</v>
          </cell>
          <cell r="V100" t="str">
            <v>PEN</v>
          </cell>
          <cell r="W100" t="b">
            <v>0</v>
          </cell>
          <cell r="X100" t="str">
            <v>Pagado</v>
          </cell>
          <cell r="AB100" t="str">
            <v>Registrado</v>
          </cell>
          <cell r="AN100">
            <v>45911</v>
          </cell>
          <cell r="AO100" t="e">
            <v>#N/A</v>
          </cell>
          <cell r="AP100" t="str">
            <v>FXP/2025/09/0049</v>
          </cell>
        </row>
        <row r="101">
          <cell r="E101" t="str">
            <v>F052-01658369</v>
          </cell>
          <cell r="F101">
            <v>0</v>
          </cell>
          <cell r="H101" t="str">
            <v>MAPFRE PERU S.A.</v>
          </cell>
          <cell r="I101">
            <v>45911</v>
          </cell>
          <cell r="J101">
            <v>45911</v>
          </cell>
          <cell r="K101">
            <v>45911</v>
          </cell>
          <cell r="L101" t="str">
            <v>P00217</v>
          </cell>
          <cell r="P101" t="str">
            <v>COLABORATIVA S.A.C.</v>
          </cell>
          <cell r="Q101">
            <v>-225</v>
          </cell>
          <cell r="R101">
            <v>-40.5</v>
          </cell>
          <cell r="S101">
            <v>-265.5</v>
          </cell>
          <cell r="T101">
            <v>-265.5</v>
          </cell>
          <cell r="V101" t="str">
            <v>PEN</v>
          </cell>
          <cell r="W101" t="b">
            <v>0</v>
          </cell>
          <cell r="X101" t="str">
            <v>Pagado</v>
          </cell>
          <cell r="AB101" t="str">
            <v>Registrado</v>
          </cell>
          <cell r="AN101">
            <v>45911</v>
          </cell>
          <cell r="AO101" t="e">
            <v>#N/A</v>
          </cell>
          <cell r="AP101" t="str">
            <v>FXP/2025/09/0048</v>
          </cell>
        </row>
        <row r="102">
          <cell r="E102" t="str">
            <v>B574-00006045</v>
          </cell>
          <cell r="F102">
            <v>0</v>
          </cell>
          <cell r="H102" t="str">
            <v>GLOBAL FUEL SOCIEDAD ANONIMA</v>
          </cell>
          <cell r="I102">
            <v>45911</v>
          </cell>
          <cell r="J102">
            <v>45911</v>
          </cell>
          <cell r="K102">
            <v>45925</v>
          </cell>
          <cell r="N102" t="str">
            <v>B574-00006045</v>
          </cell>
          <cell r="P102" t="str">
            <v>COLABORATIVA S.A.C.</v>
          </cell>
          <cell r="Q102">
            <v>-93.7</v>
          </cell>
          <cell r="S102">
            <v>-93.7</v>
          </cell>
          <cell r="T102">
            <v>-93.7</v>
          </cell>
          <cell r="V102" t="str">
            <v>PEN</v>
          </cell>
          <cell r="W102" t="b">
            <v>0</v>
          </cell>
          <cell r="X102" t="str">
            <v>Pagado</v>
          </cell>
          <cell r="AB102" t="str">
            <v>Registrado</v>
          </cell>
          <cell r="AN102">
            <v>45911</v>
          </cell>
          <cell r="AO102" t="e">
            <v>#N/A</v>
          </cell>
          <cell r="AP102" t="str">
            <v>FXP/2025/09/0025</v>
          </cell>
        </row>
        <row r="103">
          <cell r="E103" t="str">
            <v>F F002-00033121</v>
          </cell>
          <cell r="F103">
            <v>0</v>
          </cell>
          <cell r="H103" t="str">
            <v>FLINK S.A.C.</v>
          </cell>
          <cell r="I103">
            <v>45911</v>
          </cell>
          <cell r="J103">
            <v>45911</v>
          </cell>
          <cell r="K103">
            <v>45926</v>
          </cell>
          <cell r="L103" t="str">
            <v>P00231</v>
          </cell>
          <cell r="P103" t="str">
            <v>COLABORATIVA S.A.C.</v>
          </cell>
          <cell r="Q103">
            <v>-805.08</v>
          </cell>
          <cell r="R103">
            <v>-144.91999999999999</v>
          </cell>
          <cell r="S103">
            <v>-950</v>
          </cell>
          <cell r="T103">
            <v>-950</v>
          </cell>
          <cell r="V103" t="str">
            <v>PEN</v>
          </cell>
          <cell r="W103" t="b">
            <v>0</v>
          </cell>
          <cell r="X103" t="str">
            <v>Pagado</v>
          </cell>
          <cell r="AB103" t="str">
            <v>Registrado</v>
          </cell>
          <cell r="AN103">
            <v>45911</v>
          </cell>
          <cell r="AO103" t="e">
            <v>#N/A</v>
          </cell>
          <cell r="AP103" t="str">
            <v>F F002-00033121</v>
          </cell>
        </row>
        <row r="104">
          <cell r="E104" t="str">
            <v>F E001-00000189</v>
          </cell>
          <cell r="F104">
            <v>0</v>
          </cell>
          <cell r="H104" t="str">
            <v>VILCA SILVA JOHAN ALDAIR</v>
          </cell>
          <cell r="I104">
            <v>45911</v>
          </cell>
          <cell r="J104">
            <v>45911</v>
          </cell>
          <cell r="K104">
            <v>45911</v>
          </cell>
          <cell r="L104" t="str">
            <v>P00216</v>
          </cell>
          <cell r="P104" t="str">
            <v>COLABORATIVA S.A.C.</v>
          </cell>
          <cell r="Q104">
            <v>-220</v>
          </cell>
          <cell r="R104">
            <v>-39.6</v>
          </cell>
          <cell r="S104">
            <v>-259.60000000000002</v>
          </cell>
          <cell r="T104">
            <v>-259.60000000000002</v>
          </cell>
          <cell r="V104" t="str">
            <v>PEN</v>
          </cell>
          <cell r="W104" t="b">
            <v>0</v>
          </cell>
          <cell r="X104" t="str">
            <v>Pagado</v>
          </cell>
          <cell r="AB104" t="str">
            <v>Registrado</v>
          </cell>
          <cell r="AN104">
            <v>45911</v>
          </cell>
          <cell r="AO104" t="e">
            <v>#N/A</v>
          </cell>
          <cell r="AP104" t="str">
            <v>F E001-00000189</v>
          </cell>
        </row>
        <row r="105">
          <cell r="E105" t="str">
            <v>F E001-00000147</v>
          </cell>
          <cell r="F105">
            <v>0</v>
          </cell>
          <cell r="H105" t="str">
            <v>FERTU S.A.C</v>
          </cell>
          <cell r="I105">
            <v>45910</v>
          </cell>
          <cell r="J105">
            <v>45910</v>
          </cell>
          <cell r="K105">
            <v>45911</v>
          </cell>
          <cell r="L105" t="str">
            <v>P00215</v>
          </cell>
          <cell r="P105" t="str">
            <v>COLABORATIVA S.A.C.</v>
          </cell>
          <cell r="Q105">
            <v>-150</v>
          </cell>
          <cell r="R105">
            <v>-27</v>
          </cell>
          <cell r="S105">
            <v>-177</v>
          </cell>
          <cell r="T105">
            <v>-177</v>
          </cell>
          <cell r="V105" t="str">
            <v>PEN</v>
          </cell>
          <cell r="W105" t="b">
            <v>0</v>
          </cell>
          <cell r="X105" t="str">
            <v>Pagado</v>
          </cell>
          <cell r="AB105" t="str">
            <v>Registrado</v>
          </cell>
          <cell r="AN105">
            <v>45910</v>
          </cell>
          <cell r="AO105" t="e">
            <v>#N/A</v>
          </cell>
          <cell r="AP105" t="str">
            <v>F E001-00000147</v>
          </cell>
        </row>
        <row r="106">
          <cell r="E106" t="str">
            <v>R E001-58</v>
          </cell>
          <cell r="F106">
            <v>0</v>
          </cell>
          <cell r="H106" t="str">
            <v>VENTURA SABINO MIGUEL ANGEL</v>
          </cell>
          <cell r="I106">
            <v>45909</v>
          </cell>
          <cell r="J106">
            <v>45909</v>
          </cell>
          <cell r="K106">
            <v>45909</v>
          </cell>
          <cell r="L106" t="str">
            <v>P00211</v>
          </cell>
          <cell r="P106" t="str">
            <v>COLABORATIVA S.A.C.</v>
          </cell>
          <cell r="Q106">
            <v>-2500</v>
          </cell>
          <cell r="S106">
            <v>-2500</v>
          </cell>
          <cell r="T106">
            <v>-2500</v>
          </cell>
          <cell r="V106" t="str">
            <v>PEN</v>
          </cell>
          <cell r="W106" t="b">
            <v>0</v>
          </cell>
          <cell r="X106" t="str">
            <v>Pagado</v>
          </cell>
          <cell r="AB106" t="str">
            <v>Registrado</v>
          </cell>
          <cell r="AN106">
            <v>45909</v>
          </cell>
          <cell r="AO106" t="e">
            <v>#N/A</v>
          </cell>
          <cell r="AP106" t="str">
            <v>R E001-58</v>
          </cell>
        </row>
        <row r="107">
          <cell r="E107" t="str">
            <v>R E001-25</v>
          </cell>
          <cell r="F107">
            <v>0</v>
          </cell>
          <cell r="H107" t="str">
            <v>ESPINO MORI LEANDRO JOAQUIN</v>
          </cell>
          <cell r="I107">
            <v>45909</v>
          </cell>
          <cell r="J107">
            <v>45909</v>
          </cell>
          <cell r="K107">
            <v>45910</v>
          </cell>
          <cell r="L107" t="str">
            <v>P00213</v>
          </cell>
          <cell r="P107" t="str">
            <v>COLABORATIVA S.A.C.</v>
          </cell>
          <cell r="Q107">
            <v>-470</v>
          </cell>
          <cell r="S107">
            <v>-470</v>
          </cell>
          <cell r="T107">
            <v>-470</v>
          </cell>
          <cell r="V107" t="str">
            <v>PEN</v>
          </cell>
          <cell r="W107" t="b">
            <v>0</v>
          </cell>
          <cell r="X107" t="str">
            <v>Pagado</v>
          </cell>
          <cell r="AB107" t="str">
            <v>Registrado</v>
          </cell>
          <cell r="AN107">
            <v>45909</v>
          </cell>
          <cell r="AO107" t="e">
            <v>#N/A</v>
          </cell>
          <cell r="AP107" t="str">
            <v>R E001-25</v>
          </cell>
        </row>
        <row r="108">
          <cell r="E108" t="str">
            <v>F001-00008373</v>
          </cell>
          <cell r="F108">
            <v>0</v>
          </cell>
          <cell r="H108" t="str">
            <v>DEVERCOMP TECHNOLOGY S.A.C.</v>
          </cell>
          <cell r="I108">
            <v>45909</v>
          </cell>
          <cell r="J108">
            <v>45909</v>
          </cell>
          <cell r="K108">
            <v>45923</v>
          </cell>
          <cell r="L108" t="str">
            <v>P00207</v>
          </cell>
          <cell r="P108" t="str">
            <v>COLABORATIVA S.A.C.</v>
          </cell>
          <cell r="Q108">
            <v>-66.86</v>
          </cell>
          <cell r="R108">
            <v>-12.04</v>
          </cell>
          <cell r="S108">
            <v>-78.900000000000006</v>
          </cell>
          <cell r="T108">
            <v>-78.900000000000006</v>
          </cell>
          <cell r="V108" t="str">
            <v>PEN</v>
          </cell>
          <cell r="W108" t="b">
            <v>0</v>
          </cell>
          <cell r="X108" t="str">
            <v>Pagado</v>
          </cell>
          <cell r="AB108" t="str">
            <v>Registrado</v>
          </cell>
          <cell r="AN108">
            <v>45909</v>
          </cell>
          <cell r="AO108" t="e">
            <v>#N/A</v>
          </cell>
          <cell r="AP108" t="str">
            <v>FXP/2025/09/0020</v>
          </cell>
        </row>
        <row r="109">
          <cell r="E109" t="str">
            <v>FX02-00376089</v>
          </cell>
          <cell r="F109">
            <v>0</v>
          </cell>
          <cell r="H109" t="str">
            <v>SAGA FALABELLA S.A.</v>
          </cell>
          <cell r="I109">
            <v>45909</v>
          </cell>
          <cell r="J109">
            <v>45909</v>
          </cell>
          <cell r="K109">
            <v>45909</v>
          </cell>
          <cell r="L109" t="str">
            <v>P00205</v>
          </cell>
          <cell r="P109" t="str">
            <v>COLABORATIVA S.A.C.</v>
          </cell>
          <cell r="Q109">
            <v>-2213.4699999999998</v>
          </cell>
          <cell r="R109">
            <v>-398.43</v>
          </cell>
          <cell r="S109">
            <v>-2611.9</v>
          </cell>
          <cell r="T109">
            <v>-2611.9</v>
          </cell>
          <cell r="V109" t="str">
            <v>PEN</v>
          </cell>
          <cell r="W109" t="b">
            <v>0</v>
          </cell>
          <cell r="X109" t="str">
            <v>Pagado</v>
          </cell>
          <cell r="AB109" t="str">
            <v>Registrado</v>
          </cell>
          <cell r="AN109">
            <v>45909</v>
          </cell>
          <cell r="AO109" t="e">
            <v>#N/A</v>
          </cell>
          <cell r="AP109" t="str">
            <v>FXP/2025/09/0019</v>
          </cell>
        </row>
        <row r="110">
          <cell r="E110" t="str">
            <v>F E001-00000060</v>
          </cell>
          <cell r="F110">
            <v>0</v>
          </cell>
          <cell r="H110" t="str">
            <v>ROJAS CASTILLO SUSANA</v>
          </cell>
          <cell r="I110">
            <v>45909</v>
          </cell>
          <cell r="J110">
            <v>45909</v>
          </cell>
          <cell r="K110">
            <v>45909</v>
          </cell>
          <cell r="L110" t="str">
            <v>P00212</v>
          </cell>
          <cell r="P110" t="str">
            <v>COLABORATIVA S.A.C.</v>
          </cell>
          <cell r="Q110">
            <v>-1350</v>
          </cell>
          <cell r="R110">
            <v>-243</v>
          </cell>
          <cell r="S110">
            <v>-1593</v>
          </cell>
          <cell r="T110">
            <v>-1593</v>
          </cell>
          <cell r="V110" t="str">
            <v>PEN</v>
          </cell>
          <cell r="W110" t="b">
            <v>0</v>
          </cell>
          <cell r="X110" t="str">
            <v>Pagado</v>
          </cell>
          <cell r="AB110" t="str">
            <v>Registrado</v>
          </cell>
          <cell r="AN110">
            <v>45909</v>
          </cell>
          <cell r="AO110" t="e">
            <v>#N/A</v>
          </cell>
          <cell r="AP110" t="str">
            <v>F E001-00000060</v>
          </cell>
        </row>
        <row r="111">
          <cell r="E111" t="str">
            <v>F NÂ° F001-00009487</v>
          </cell>
          <cell r="F111">
            <v>0</v>
          </cell>
          <cell r="H111" t="str">
            <v>PRECINTOS PERU E.I.R.L</v>
          </cell>
          <cell r="I111">
            <v>45908</v>
          </cell>
          <cell r="J111">
            <v>45908</v>
          </cell>
          <cell r="K111">
            <v>45908</v>
          </cell>
          <cell r="L111" t="str">
            <v>P00209</v>
          </cell>
          <cell r="P111" t="str">
            <v>COLABORATIVA S.A.C.</v>
          </cell>
          <cell r="Q111">
            <v>-3226.23</v>
          </cell>
          <cell r="R111">
            <v>-580.77</v>
          </cell>
          <cell r="S111">
            <v>-3807</v>
          </cell>
          <cell r="T111">
            <v>-3807</v>
          </cell>
          <cell r="V111" t="str">
            <v>PEN</v>
          </cell>
          <cell r="W111" t="b">
            <v>0</v>
          </cell>
          <cell r="X111" t="str">
            <v>Pagado</v>
          </cell>
          <cell r="AB111" t="str">
            <v>Registrado</v>
          </cell>
          <cell r="AN111">
            <v>45908</v>
          </cell>
          <cell r="AO111" t="e">
            <v>#N/A</v>
          </cell>
          <cell r="AP111" t="str">
            <v>F N° F001-00009487</v>
          </cell>
        </row>
        <row r="112">
          <cell r="E112" t="str">
            <v>F FTR1-00000040</v>
          </cell>
          <cell r="F112">
            <v>0</v>
          </cell>
          <cell r="H112" t="str">
            <v>#3ERA ESTACION E.I.R.L. -  20605029851</v>
          </cell>
          <cell r="I112">
            <v>45906</v>
          </cell>
          <cell r="J112">
            <v>45906</v>
          </cell>
          <cell r="K112">
            <v>45906</v>
          </cell>
          <cell r="L112" t="str">
            <v>P00208</v>
          </cell>
          <cell r="P112" t="str">
            <v>COLABORATIVA S.A.C.</v>
          </cell>
          <cell r="Q112">
            <v>-53</v>
          </cell>
          <cell r="R112">
            <v>-9.5399999999999991</v>
          </cell>
          <cell r="S112">
            <v>-62.54</v>
          </cell>
          <cell r="T112">
            <v>-62.54</v>
          </cell>
          <cell r="V112" t="str">
            <v>PEN</v>
          </cell>
          <cell r="W112" t="b">
            <v>0</v>
          </cell>
          <cell r="X112" t="str">
            <v>Pagado</v>
          </cell>
          <cell r="AB112" t="str">
            <v>Registrado</v>
          </cell>
          <cell r="AN112">
            <v>45906</v>
          </cell>
          <cell r="AO112" t="e">
            <v>#N/A</v>
          </cell>
          <cell r="AP112" t="str">
            <v>F FTR1-00000040</v>
          </cell>
        </row>
        <row r="113">
          <cell r="E113" t="str">
            <v>F E001-00000528</v>
          </cell>
          <cell r="F113">
            <v>0</v>
          </cell>
          <cell r="H113" t="str">
            <v>CATORCE &amp; SEIS S.A.C.</v>
          </cell>
          <cell r="I113">
            <v>45905</v>
          </cell>
          <cell r="J113">
            <v>45905</v>
          </cell>
          <cell r="K113">
            <v>45909</v>
          </cell>
          <cell r="P113" t="str">
            <v>COLABORATIVA S.A.C.</v>
          </cell>
          <cell r="Q113">
            <v>-21373.67</v>
          </cell>
          <cell r="R113">
            <v>-3847.26</v>
          </cell>
          <cell r="S113">
            <v>-25220.93</v>
          </cell>
          <cell r="T113">
            <v>-25220.93</v>
          </cell>
          <cell r="V113" t="str">
            <v>PEN</v>
          </cell>
          <cell r="W113" t="b">
            <v>0</v>
          </cell>
          <cell r="X113" t="str">
            <v>Pagado</v>
          </cell>
          <cell r="AB113" t="str">
            <v>Registrado</v>
          </cell>
          <cell r="AN113">
            <v>45905</v>
          </cell>
          <cell r="AO113" t="e">
            <v>#N/A</v>
          </cell>
          <cell r="AP113" t="str">
            <v>F E001-00000528</v>
          </cell>
        </row>
        <row r="114">
          <cell r="E114" t="str">
            <v>R SB02-0237683114</v>
          </cell>
          <cell r="F114">
            <v>0</v>
          </cell>
          <cell r="H114" t="str">
            <v>America Móvil Perú S.A.C.</v>
          </cell>
          <cell r="I114">
            <v>45904</v>
          </cell>
          <cell r="J114">
            <v>45904</v>
          </cell>
          <cell r="K114">
            <v>45919</v>
          </cell>
          <cell r="L114" t="str">
            <v>P00228</v>
          </cell>
          <cell r="P114" t="str">
            <v>COLABORATIVA S.A.C.</v>
          </cell>
          <cell r="Q114">
            <v>-27.03</v>
          </cell>
          <cell r="R114">
            <v>-4.87</v>
          </cell>
          <cell r="S114">
            <v>-31.9</v>
          </cell>
          <cell r="T114">
            <v>-31.9</v>
          </cell>
          <cell r="V114" t="str">
            <v>PEN</v>
          </cell>
          <cell r="W114" t="b">
            <v>0</v>
          </cell>
          <cell r="X114" t="str">
            <v>Pagado</v>
          </cell>
          <cell r="AB114" t="str">
            <v>Registrado</v>
          </cell>
          <cell r="AN114">
            <v>45904</v>
          </cell>
          <cell r="AO114" t="e">
            <v>#N/A</v>
          </cell>
          <cell r="AP114" t="str">
            <v>R SB02-0237683114</v>
          </cell>
        </row>
        <row r="115">
          <cell r="E115" t="str">
            <v>S102-00419303</v>
          </cell>
          <cell r="F115">
            <v>0</v>
          </cell>
          <cell r="H115" t="str">
            <v>LUZ DEL SUR S.A.A.</v>
          </cell>
          <cell r="I115">
            <v>45904</v>
          </cell>
          <cell r="J115">
            <v>45904</v>
          </cell>
          <cell r="K115">
            <v>45926</v>
          </cell>
          <cell r="L115" t="str">
            <v>P00248</v>
          </cell>
          <cell r="P115" t="str">
            <v>COLABORATIVA S.A.C.</v>
          </cell>
          <cell r="Q115">
            <v>-20.079999999999998</v>
          </cell>
          <cell r="R115">
            <v>-3.62</v>
          </cell>
          <cell r="S115">
            <v>-23.7</v>
          </cell>
          <cell r="T115">
            <v>-23.7</v>
          </cell>
          <cell r="V115" t="str">
            <v>PEN</v>
          </cell>
          <cell r="W115" t="b">
            <v>0</v>
          </cell>
          <cell r="X115" t="str">
            <v>Pagado</v>
          </cell>
          <cell r="AB115" t="str">
            <v>Registrado</v>
          </cell>
          <cell r="AN115">
            <v>45904</v>
          </cell>
          <cell r="AO115" t="e">
            <v>#N/A</v>
          </cell>
          <cell r="AP115" t="str">
            <v>FXP/2025/09/0021</v>
          </cell>
        </row>
        <row r="116">
          <cell r="E116" t="str">
            <v>F F005-00030678</v>
          </cell>
          <cell r="F116">
            <v>0</v>
          </cell>
          <cell r="H116" t="str">
            <v>N.B. TEALDO &amp; CO. S.A.</v>
          </cell>
          <cell r="I116">
            <v>45904</v>
          </cell>
          <cell r="J116">
            <v>45904</v>
          </cell>
          <cell r="K116">
            <v>45904</v>
          </cell>
          <cell r="L116" t="str">
            <v>P00199</v>
          </cell>
          <cell r="P116" t="str">
            <v>COLABORATIVA S.A.C.</v>
          </cell>
          <cell r="Q116">
            <v>-227.05</v>
          </cell>
          <cell r="R116">
            <v>-40.869999999999997</v>
          </cell>
          <cell r="S116">
            <v>-267.92</v>
          </cell>
          <cell r="T116">
            <v>-267.92</v>
          </cell>
          <cell r="V116" t="str">
            <v>PEN</v>
          </cell>
          <cell r="W116" t="b">
            <v>0</v>
          </cell>
          <cell r="X116" t="str">
            <v>Pagado</v>
          </cell>
          <cell r="AB116" t="str">
            <v>Registrado</v>
          </cell>
          <cell r="AN116">
            <v>45904</v>
          </cell>
          <cell r="AO116" t="e">
            <v>#N/A</v>
          </cell>
          <cell r="AP116" t="str">
            <v>F F005-00030678</v>
          </cell>
        </row>
        <row r="117">
          <cell r="E117" t="str">
            <v>F F004-00026751</v>
          </cell>
          <cell r="F117">
            <v>0</v>
          </cell>
          <cell r="H117" t="str">
            <v>J &amp; V MULTIUTILES PUNTO COM S.A.C.</v>
          </cell>
          <cell r="I117">
            <v>45904</v>
          </cell>
          <cell r="J117">
            <v>45904</v>
          </cell>
          <cell r="K117">
            <v>45904</v>
          </cell>
          <cell r="L117" t="str">
            <v>P00202</v>
          </cell>
          <cell r="P117" t="str">
            <v>COLABORATIVA S.A.C.</v>
          </cell>
          <cell r="Q117">
            <v>-95.34</v>
          </cell>
          <cell r="R117">
            <v>-17.16</v>
          </cell>
          <cell r="S117">
            <v>-112.5</v>
          </cell>
          <cell r="T117">
            <v>-112.5</v>
          </cell>
          <cell r="V117" t="str">
            <v>PEN</v>
          </cell>
          <cell r="W117" t="b">
            <v>0</v>
          </cell>
          <cell r="X117" t="str">
            <v>Pagado</v>
          </cell>
          <cell r="AB117" t="str">
            <v>Registrado</v>
          </cell>
          <cell r="AN117">
            <v>45904</v>
          </cell>
          <cell r="AO117" t="e">
            <v>#N/A</v>
          </cell>
          <cell r="AP117" t="str">
            <v>F F004-00026751</v>
          </cell>
        </row>
        <row r="118">
          <cell r="E118" t="str">
            <v>F F001-00009405</v>
          </cell>
          <cell r="F118">
            <v>0</v>
          </cell>
          <cell r="H118" t="str">
            <v>PROLIDER EMPRESARIAL S.AC.</v>
          </cell>
          <cell r="I118">
            <v>45904</v>
          </cell>
          <cell r="J118">
            <v>45904</v>
          </cell>
          <cell r="K118">
            <v>45905</v>
          </cell>
          <cell r="L118" t="str">
            <v>P00204</v>
          </cell>
          <cell r="P118" t="str">
            <v>COLABORATIVA S.A.C.</v>
          </cell>
          <cell r="Q118">
            <v>-650.01</v>
          </cell>
          <cell r="R118">
            <v>-116.99</v>
          </cell>
          <cell r="S118">
            <v>-767</v>
          </cell>
          <cell r="T118">
            <v>-767</v>
          </cell>
          <cell r="V118" t="str">
            <v>PEN</v>
          </cell>
          <cell r="W118" t="b">
            <v>0</v>
          </cell>
          <cell r="X118" t="str">
            <v>Pagado</v>
          </cell>
          <cell r="AB118" t="str">
            <v>Registrado</v>
          </cell>
          <cell r="AN118">
            <v>45904</v>
          </cell>
          <cell r="AO118" t="e">
            <v>#N/A</v>
          </cell>
          <cell r="AP118" t="str">
            <v>F F001-00009405</v>
          </cell>
        </row>
        <row r="119">
          <cell r="E119" t="str">
            <v>F E001-00000777</v>
          </cell>
          <cell r="F119">
            <v>0</v>
          </cell>
          <cell r="H119" t="str">
            <v>ECODYL S.A.C.</v>
          </cell>
          <cell r="I119">
            <v>45904</v>
          </cell>
          <cell r="J119">
            <v>45904</v>
          </cell>
          <cell r="K119">
            <v>45904</v>
          </cell>
          <cell r="L119" t="str">
            <v>P00206</v>
          </cell>
          <cell r="P119" t="str">
            <v>COLABORATIVA S.A.C.</v>
          </cell>
          <cell r="Q119">
            <v>-101.7</v>
          </cell>
          <cell r="R119">
            <v>-18.309999999999999</v>
          </cell>
          <cell r="S119">
            <v>-120.01</v>
          </cell>
          <cell r="T119">
            <v>-120.01</v>
          </cell>
          <cell r="V119" t="str">
            <v>PEN</v>
          </cell>
          <cell r="W119" t="b">
            <v>0</v>
          </cell>
          <cell r="X119" t="str">
            <v>Pagado</v>
          </cell>
          <cell r="AB119" t="str">
            <v>Registrado</v>
          </cell>
          <cell r="AN119">
            <v>45904</v>
          </cell>
          <cell r="AO119" t="e">
            <v>#N/A</v>
          </cell>
          <cell r="AP119" t="str">
            <v>F E001-00000777</v>
          </cell>
        </row>
        <row r="120">
          <cell r="E120" t="str">
            <v>F E001-00000037</v>
          </cell>
          <cell r="F120">
            <v>0</v>
          </cell>
          <cell r="H120" t="str">
            <v>THE ZABO COMPANY SAC</v>
          </cell>
          <cell r="I120">
            <v>45904</v>
          </cell>
          <cell r="J120">
            <v>45904</v>
          </cell>
          <cell r="K120">
            <v>45905</v>
          </cell>
          <cell r="L120" t="str">
            <v>P00203</v>
          </cell>
          <cell r="P120" t="str">
            <v>COLABORATIVA S.A.C.</v>
          </cell>
          <cell r="Q120">
            <v>-71.19</v>
          </cell>
          <cell r="R120">
            <v>-12.81</v>
          </cell>
          <cell r="S120">
            <v>-84</v>
          </cell>
          <cell r="T120">
            <v>-84</v>
          </cell>
          <cell r="V120" t="str">
            <v>PEN</v>
          </cell>
          <cell r="W120" t="b">
            <v>0</v>
          </cell>
          <cell r="X120" t="str">
            <v>Pagado</v>
          </cell>
          <cell r="AB120" t="str">
            <v>Registrado</v>
          </cell>
          <cell r="AN120">
            <v>45904</v>
          </cell>
          <cell r="AO120" t="e">
            <v>#N/A</v>
          </cell>
          <cell r="AP120" t="str">
            <v>F E001-00000037</v>
          </cell>
        </row>
        <row r="121">
          <cell r="E121" t="str">
            <v>FI37-00027698</v>
          </cell>
          <cell r="F121">
            <v>0</v>
          </cell>
          <cell r="H121" t="str">
            <v>MEMORY KINGS PERU S.A.C</v>
          </cell>
          <cell r="I121">
            <v>45903</v>
          </cell>
          <cell r="J121">
            <v>45903</v>
          </cell>
          <cell r="K121">
            <v>45903</v>
          </cell>
          <cell r="L121" t="str">
            <v>P00198</v>
          </cell>
          <cell r="P121" t="str">
            <v>COLABORATIVA S.A.C.</v>
          </cell>
          <cell r="Q121">
            <v>-3669.15</v>
          </cell>
          <cell r="R121">
            <v>-660.45</v>
          </cell>
          <cell r="S121">
            <v>-4329.6000000000004</v>
          </cell>
          <cell r="T121">
            <v>-4329.6000000000004</v>
          </cell>
          <cell r="V121" t="str">
            <v>PEN</v>
          </cell>
          <cell r="W121" t="b">
            <v>0</v>
          </cell>
          <cell r="X121" t="str">
            <v>Pagado</v>
          </cell>
          <cell r="AB121" t="str">
            <v>Registrado</v>
          </cell>
          <cell r="AN121">
            <v>45903</v>
          </cell>
          <cell r="AO121" t="e">
            <v>#N/A</v>
          </cell>
          <cell r="AP121" t="str">
            <v>FXP/2025/09/0047</v>
          </cell>
        </row>
        <row r="122">
          <cell r="E122" t="str">
            <v>R E001-49</v>
          </cell>
          <cell r="F122">
            <v>0</v>
          </cell>
          <cell r="H122" t="str">
            <v>GARRIDO ROJAS GREGORY OMAR</v>
          </cell>
          <cell r="I122">
            <v>45902</v>
          </cell>
          <cell r="J122">
            <v>45902</v>
          </cell>
          <cell r="K122">
            <v>45902</v>
          </cell>
          <cell r="L122" t="str">
            <v>P00194</v>
          </cell>
          <cell r="P122" t="str">
            <v>COLABORATIVA S.A.C.</v>
          </cell>
          <cell r="Q122">
            <v>-150</v>
          </cell>
          <cell r="S122">
            <v>-150</v>
          </cell>
          <cell r="T122">
            <v>-150</v>
          </cell>
          <cell r="V122" t="str">
            <v>PEN</v>
          </cell>
          <cell r="W122" t="b">
            <v>0</v>
          </cell>
          <cell r="X122" t="str">
            <v>Pagado</v>
          </cell>
          <cell r="AB122" t="str">
            <v>Registrado</v>
          </cell>
          <cell r="AN122">
            <v>45902</v>
          </cell>
          <cell r="AO122" t="e">
            <v>#N/A</v>
          </cell>
          <cell r="AP122" t="str">
            <v>R E001-49</v>
          </cell>
        </row>
        <row r="123">
          <cell r="E123" t="str">
            <v>R E001-35</v>
          </cell>
          <cell r="F123">
            <v>0</v>
          </cell>
          <cell r="H123" t="str">
            <v>CARMEN CRUZ MILAGROS ZONALI</v>
          </cell>
          <cell r="I123">
            <v>45902</v>
          </cell>
          <cell r="J123">
            <v>45902</v>
          </cell>
          <cell r="K123">
            <v>45902</v>
          </cell>
          <cell r="L123" t="str">
            <v>P00193</v>
          </cell>
          <cell r="P123" t="str">
            <v>COLABORATIVA S.A.C.</v>
          </cell>
          <cell r="Q123">
            <v>-135</v>
          </cell>
          <cell r="S123">
            <v>-135</v>
          </cell>
          <cell r="T123">
            <v>-135</v>
          </cell>
          <cell r="V123" t="str">
            <v>PEN</v>
          </cell>
          <cell r="W123" t="b">
            <v>0</v>
          </cell>
          <cell r="X123" t="str">
            <v>Pagado</v>
          </cell>
          <cell r="AB123" t="str">
            <v>Registrado</v>
          </cell>
          <cell r="AN123">
            <v>45902</v>
          </cell>
          <cell r="AO123" t="e">
            <v>#N/A</v>
          </cell>
          <cell r="AP123" t="str">
            <v>R E001-35</v>
          </cell>
        </row>
        <row r="124">
          <cell r="E124" t="str">
            <v>F E001-00000113</v>
          </cell>
          <cell r="F124">
            <v>0</v>
          </cell>
          <cell r="H124" t="str">
            <v>MUÑOZ VERANO JOHN BRACKSON</v>
          </cell>
          <cell r="I124">
            <v>45902</v>
          </cell>
          <cell r="J124">
            <v>45902</v>
          </cell>
          <cell r="K124">
            <v>45902</v>
          </cell>
          <cell r="L124" t="str">
            <v>P00192</v>
          </cell>
          <cell r="P124" t="str">
            <v>COLABORATIVA S.A.C.</v>
          </cell>
          <cell r="Q124">
            <v>-40</v>
          </cell>
          <cell r="R124">
            <v>-7.2</v>
          </cell>
          <cell r="S124">
            <v>-47.2</v>
          </cell>
          <cell r="T124">
            <v>-47.2</v>
          </cell>
          <cell r="V124" t="str">
            <v>PEN</v>
          </cell>
          <cell r="W124" t="b">
            <v>0</v>
          </cell>
          <cell r="X124" t="str">
            <v>Pagado</v>
          </cell>
          <cell r="AB124" t="str">
            <v>Registrado</v>
          </cell>
          <cell r="AN124">
            <v>45902</v>
          </cell>
          <cell r="AO124" t="e">
            <v>#N/A</v>
          </cell>
          <cell r="AP124" t="str">
            <v>F E001-00000113</v>
          </cell>
        </row>
        <row r="125">
          <cell r="E125" t="str">
            <v>F E001-00000057</v>
          </cell>
          <cell r="F125">
            <v>0</v>
          </cell>
          <cell r="H125" t="str">
            <v>VENTURA SABINO MIGUEL ANGEL</v>
          </cell>
          <cell r="I125">
            <v>45902</v>
          </cell>
          <cell r="J125">
            <v>45902</v>
          </cell>
          <cell r="K125">
            <v>45902</v>
          </cell>
          <cell r="L125" t="str">
            <v>P00180</v>
          </cell>
          <cell r="P125" t="str">
            <v>COLABORATIVA S.A.C.</v>
          </cell>
          <cell r="Q125">
            <v>-2450</v>
          </cell>
          <cell r="S125">
            <v>-2450</v>
          </cell>
          <cell r="T125">
            <v>-2450</v>
          </cell>
          <cell r="V125" t="str">
            <v>PEN</v>
          </cell>
          <cell r="W125" t="b">
            <v>0</v>
          </cell>
          <cell r="X125" t="str">
            <v>Pagado</v>
          </cell>
          <cell r="AB125" t="str">
            <v>Registrado</v>
          </cell>
          <cell r="AN125">
            <v>45902</v>
          </cell>
          <cell r="AO125" t="e">
            <v>#N/A</v>
          </cell>
          <cell r="AP125" t="str">
            <v>F E001-00000057</v>
          </cell>
        </row>
        <row r="126">
          <cell r="E126" t="str">
            <v>F FE29-00019866</v>
          </cell>
          <cell r="F126">
            <v>0</v>
          </cell>
          <cell r="H126" t="str">
            <v>Verisure Peru SAC</v>
          </cell>
          <cell r="I126">
            <v>45901</v>
          </cell>
          <cell r="J126">
            <v>45901</v>
          </cell>
          <cell r="K126">
            <v>45908</v>
          </cell>
          <cell r="L126" t="str">
            <v>P00210</v>
          </cell>
          <cell r="P126" t="str">
            <v>COLABORATIVA S.A.C.</v>
          </cell>
          <cell r="Q126">
            <v>-221.82</v>
          </cell>
          <cell r="R126">
            <v>-39.93</v>
          </cell>
          <cell r="S126">
            <v>-261.75</v>
          </cell>
          <cell r="T126">
            <v>-261.75</v>
          </cell>
          <cell r="V126" t="str">
            <v>PEN</v>
          </cell>
          <cell r="W126" t="b">
            <v>0</v>
          </cell>
          <cell r="X126" t="str">
            <v>Pagado</v>
          </cell>
          <cell r="AB126" t="str">
            <v>Registrado</v>
          </cell>
          <cell r="AN126">
            <v>45901</v>
          </cell>
          <cell r="AO126" t="e">
            <v>#N/A</v>
          </cell>
          <cell r="AP126" t="str">
            <v>F FE29-00019866</v>
          </cell>
        </row>
        <row r="127">
          <cell r="E127" t="str">
            <v>F E001-00000112</v>
          </cell>
          <cell r="F127">
            <v>0</v>
          </cell>
          <cell r="H127" t="str">
            <v>MUÑOZ VERANO JOHN BRACKSON</v>
          </cell>
          <cell r="I127">
            <v>45901</v>
          </cell>
          <cell r="J127">
            <v>45901</v>
          </cell>
          <cell r="K127">
            <v>45902</v>
          </cell>
          <cell r="L127" t="str">
            <v>P00191</v>
          </cell>
          <cell r="P127" t="str">
            <v>COLABORATIVA S.A.C.</v>
          </cell>
          <cell r="Q127">
            <v>-2840</v>
          </cell>
          <cell r="R127">
            <v>-511.2</v>
          </cell>
          <cell r="S127">
            <v>-3351.2</v>
          </cell>
          <cell r="T127">
            <v>-3351.2</v>
          </cell>
          <cell r="V127" t="str">
            <v>PEN</v>
          </cell>
          <cell r="W127" t="b">
            <v>0</v>
          </cell>
          <cell r="X127" t="str">
            <v>Pagado</v>
          </cell>
          <cell r="AB127" t="str">
            <v>Registrado</v>
          </cell>
          <cell r="AN127">
            <v>45901</v>
          </cell>
          <cell r="AO127" t="e">
            <v>#N/A</v>
          </cell>
          <cell r="AP127" t="str">
            <v>F E001-00000112</v>
          </cell>
        </row>
        <row r="128">
          <cell r="E128" t="str">
            <v>F204-00002733</v>
          </cell>
          <cell r="F128">
            <v>0</v>
          </cell>
          <cell r="H128" t="str">
            <v>PAPACHOS RESTAURANTES S.A.C.</v>
          </cell>
          <cell r="I128">
            <v>45871</v>
          </cell>
          <cell r="J128">
            <v>45900</v>
          </cell>
          <cell r="K128">
            <v>45871</v>
          </cell>
          <cell r="N128" t="str">
            <v>F204-00002733</v>
          </cell>
          <cell r="P128" t="str">
            <v>COLABORATIVA S.A.C.</v>
          </cell>
          <cell r="Q128">
            <v>-88</v>
          </cell>
          <cell r="S128">
            <v>-88</v>
          </cell>
          <cell r="T128">
            <v>-88</v>
          </cell>
          <cell r="V128" t="str">
            <v>PEN</v>
          </cell>
          <cell r="W128" t="b">
            <v>0</v>
          </cell>
          <cell r="X128" t="str">
            <v>Pagado</v>
          </cell>
          <cell r="AB128" t="str">
            <v>Registrado</v>
          </cell>
          <cell r="AN128">
            <v>45871</v>
          </cell>
          <cell r="AO128" t="e">
            <v>#N/A</v>
          </cell>
          <cell r="AP128" t="str">
            <v>FXP/2025/10/0071</v>
          </cell>
        </row>
        <row r="129">
          <cell r="E129" t="str">
            <v>F E001-00000527</v>
          </cell>
          <cell r="F129">
            <v>0</v>
          </cell>
          <cell r="H129" t="str">
            <v>CATORCE &amp; SEIS S.A.C.</v>
          </cell>
          <cell r="I129">
            <v>45899</v>
          </cell>
          <cell r="J129">
            <v>45899</v>
          </cell>
          <cell r="K129">
            <v>45899</v>
          </cell>
          <cell r="P129" t="str">
            <v>COLABORATIVA S.A.C.</v>
          </cell>
          <cell r="Q129">
            <v>-9765.85</v>
          </cell>
          <cell r="R129">
            <v>-1757.85</v>
          </cell>
          <cell r="S129">
            <v>-11523.7</v>
          </cell>
          <cell r="T129">
            <v>-11523.7</v>
          </cell>
          <cell r="V129" t="str">
            <v>PEN</v>
          </cell>
          <cell r="W129" t="b">
            <v>0</v>
          </cell>
          <cell r="X129" t="str">
            <v>Pagado</v>
          </cell>
          <cell r="AB129" t="str">
            <v>Registrado</v>
          </cell>
          <cell r="AN129">
            <v>45899</v>
          </cell>
          <cell r="AO129" t="e">
            <v>#N/A</v>
          </cell>
          <cell r="AP129" t="str">
            <v>F E001-00000527</v>
          </cell>
        </row>
        <row r="130">
          <cell r="E130" t="str">
            <v>F E001-00000526</v>
          </cell>
          <cell r="F130">
            <v>0</v>
          </cell>
          <cell r="H130" t="str">
            <v>CATORCE &amp; SEIS S.A.C.</v>
          </cell>
          <cell r="I130">
            <v>45899</v>
          </cell>
          <cell r="J130">
            <v>45899</v>
          </cell>
          <cell r="K130">
            <v>45899</v>
          </cell>
          <cell r="P130" t="str">
            <v>COLABORATIVA S.A.C.</v>
          </cell>
          <cell r="Q130">
            <v>-21373.68</v>
          </cell>
          <cell r="R130">
            <v>-3847.26</v>
          </cell>
          <cell r="S130">
            <v>-25220.94</v>
          </cell>
          <cell r="T130">
            <v>-25220.94</v>
          </cell>
          <cell r="V130" t="str">
            <v>PEN</v>
          </cell>
          <cell r="W130" t="b">
            <v>0</v>
          </cell>
          <cell r="X130" t="str">
            <v>Pagado</v>
          </cell>
          <cell r="AB130" t="str">
            <v>Registrado</v>
          </cell>
          <cell r="AN130">
            <v>45899</v>
          </cell>
          <cell r="AO130" t="e">
            <v>#N/A</v>
          </cell>
          <cell r="AP130" t="str">
            <v>F E001-00000526</v>
          </cell>
        </row>
        <row r="131">
          <cell r="E131" t="str">
            <v>F E001-00000073</v>
          </cell>
          <cell r="F131">
            <v>0</v>
          </cell>
          <cell r="H131" t="str">
            <v>LINARES DE LA CRUZ MARTINA</v>
          </cell>
          <cell r="I131">
            <v>45899</v>
          </cell>
          <cell r="J131">
            <v>45899</v>
          </cell>
          <cell r="K131">
            <v>45902</v>
          </cell>
          <cell r="P131" t="str">
            <v>COLABORATIVA S.A.C.</v>
          </cell>
          <cell r="V131" t="str">
            <v>PEN</v>
          </cell>
          <cell r="W131" t="b">
            <v>0</v>
          </cell>
          <cell r="X131" t="str">
            <v>Pagado</v>
          </cell>
          <cell r="AB131" t="str">
            <v>Registrado</v>
          </cell>
          <cell r="AN131">
            <v>45899</v>
          </cell>
          <cell r="AO131" t="e">
            <v>#N/A</v>
          </cell>
          <cell r="AP131" t="str">
            <v>F E001-00000073</v>
          </cell>
        </row>
        <row r="132">
          <cell r="E132" t="str">
            <v>FC01-00132402</v>
          </cell>
          <cell r="F132">
            <v>0</v>
          </cell>
          <cell r="H132" t="str">
            <v>GRIFO SAN IGNACIO S.A.C.</v>
          </cell>
          <cell r="I132">
            <v>45898</v>
          </cell>
          <cell r="J132">
            <v>45898</v>
          </cell>
          <cell r="K132">
            <v>45898</v>
          </cell>
          <cell r="N132" t="str">
            <v>FC01-0132402</v>
          </cell>
          <cell r="P132" t="str">
            <v>COLABORATIVA S.A.C.</v>
          </cell>
          <cell r="Q132">
            <v>-195.05</v>
          </cell>
          <cell r="S132">
            <v>-195.05</v>
          </cell>
          <cell r="T132">
            <v>-195.05</v>
          </cell>
          <cell r="V132" t="str">
            <v>PEN</v>
          </cell>
          <cell r="W132" t="b">
            <v>0</v>
          </cell>
          <cell r="X132" t="str">
            <v>Pagado</v>
          </cell>
          <cell r="AB132" t="str">
            <v>Registrado</v>
          </cell>
          <cell r="AN132">
            <v>45898</v>
          </cell>
          <cell r="AO132" t="e">
            <v>#N/A</v>
          </cell>
          <cell r="AP132" t="str">
            <v>FXP/2025/09/0039</v>
          </cell>
        </row>
        <row r="133">
          <cell r="E133" t="str">
            <v>F F002-00001507</v>
          </cell>
          <cell r="F133">
            <v>0</v>
          </cell>
          <cell r="H133" t="str">
            <v>PRAGMATIC S.A.C.</v>
          </cell>
          <cell r="I133">
            <v>45898</v>
          </cell>
          <cell r="J133">
            <v>45898</v>
          </cell>
          <cell r="K133">
            <v>45901</v>
          </cell>
          <cell r="L133" t="str">
            <v>P00190</v>
          </cell>
          <cell r="P133" t="str">
            <v>COLABORATIVA S.A.C.</v>
          </cell>
          <cell r="Q133">
            <v>-562.5</v>
          </cell>
          <cell r="R133">
            <v>-101.25</v>
          </cell>
          <cell r="S133">
            <v>-663.75</v>
          </cell>
          <cell r="T133">
            <v>-663.75</v>
          </cell>
          <cell r="V133" t="str">
            <v>PEN</v>
          </cell>
          <cell r="W133" t="b">
            <v>0</v>
          </cell>
          <cell r="X133" t="str">
            <v>Pagado</v>
          </cell>
          <cell r="AB133" t="str">
            <v>Registrado</v>
          </cell>
          <cell r="AN133">
            <v>45898</v>
          </cell>
          <cell r="AO133" t="e">
            <v>#N/A</v>
          </cell>
          <cell r="AP133" t="str">
            <v>F F002-00001507</v>
          </cell>
        </row>
        <row r="134">
          <cell r="E134" t="str">
            <v>F F001-00009446</v>
          </cell>
          <cell r="F134">
            <v>0</v>
          </cell>
          <cell r="H134" t="str">
            <v>PRECINTOS PERU E.I.R.L</v>
          </cell>
          <cell r="I134">
            <v>45898</v>
          </cell>
          <cell r="J134">
            <v>45898</v>
          </cell>
          <cell r="K134">
            <v>45898</v>
          </cell>
          <cell r="L134" t="str">
            <v>P00196</v>
          </cell>
          <cell r="P134" t="str">
            <v>COLABORATIVA S.A.C.</v>
          </cell>
          <cell r="Q134">
            <v>-5364.42</v>
          </cell>
          <cell r="R134">
            <v>-965.58</v>
          </cell>
          <cell r="S134">
            <v>-6330</v>
          </cell>
          <cell r="T134">
            <v>-6330</v>
          </cell>
          <cell r="V134" t="str">
            <v>PEN</v>
          </cell>
          <cell r="W134" t="b">
            <v>0</v>
          </cell>
          <cell r="X134" t="str">
            <v>Pagado</v>
          </cell>
          <cell r="AB134" t="str">
            <v>Registrado</v>
          </cell>
          <cell r="AN134">
            <v>45898</v>
          </cell>
          <cell r="AO134" t="e">
            <v>#N/A</v>
          </cell>
          <cell r="AP134" t="str">
            <v>F F001-00009446</v>
          </cell>
        </row>
        <row r="135">
          <cell r="E135" t="str">
            <v>F F001-00000432</v>
          </cell>
          <cell r="F135">
            <v>0</v>
          </cell>
          <cell r="H135" t="str">
            <v>SERVIM LOGISTIC S.A.C.</v>
          </cell>
          <cell r="I135">
            <v>45898</v>
          </cell>
          <cell r="J135">
            <v>45898</v>
          </cell>
          <cell r="K135">
            <v>45898</v>
          </cell>
          <cell r="L135" t="str">
            <v>P00188</v>
          </cell>
          <cell r="P135" t="str">
            <v>COLABORATIVA S.A.C.</v>
          </cell>
          <cell r="Q135">
            <v>-335</v>
          </cell>
          <cell r="R135">
            <v>-60.3</v>
          </cell>
          <cell r="S135">
            <v>-395.3</v>
          </cell>
          <cell r="T135">
            <v>-395.3</v>
          </cell>
          <cell r="V135" t="str">
            <v>PEN</v>
          </cell>
          <cell r="W135" t="b">
            <v>0</v>
          </cell>
          <cell r="X135" t="str">
            <v>Pagado</v>
          </cell>
          <cell r="AB135" t="str">
            <v>Registrado</v>
          </cell>
          <cell r="AN135">
            <v>45898</v>
          </cell>
          <cell r="AO135" t="e">
            <v>#N/A</v>
          </cell>
          <cell r="AP135" t="str">
            <v>F F001-00000432</v>
          </cell>
        </row>
        <row r="136">
          <cell r="E136" t="str">
            <v>F E001-00000049</v>
          </cell>
          <cell r="F136">
            <v>0</v>
          </cell>
          <cell r="H136" t="str">
            <v>DOLPHIN EVOLUTION E.I.R.L.</v>
          </cell>
          <cell r="I136">
            <v>45898</v>
          </cell>
          <cell r="J136">
            <v>45898</v>
          </cell>
          <cell r="K136">
            <v>45898</v>
          </cell>
          <cell r="L136" t="str">
            <v>P00176</v>
          </cell>
          <cell r="P136" t="str">
            <v>COLABORATIVA S.A.C.</v>
          </cell>
          <cell r="Q136">
            <v>-150</v>
          </cell>
          <cell r="R136">
            <v>-27</v>
          </cell>
          <cell r="S136">
            <v>-177</v>
          </cell>
          <cell r="T136">
            <v>-177</v>
          </cell>
          <cell r="V136" t="str">
            <v>PEN</v>
          </cell>
          <cell r="W136" t="b">
            <v>0</v>
          </cell>
          <cell r="X136" t="str">
            <v>Pagado</v>
          </cell>
          <cell r="AB136" t="str">
            <v>Registrado</v>
          </cell>
          <cell r="AN136">
            <v>45898</v>
          </cell>
          <cell r="AO136" t="e">
            <v>#N/A</v>
          </cell>
          <cell r="AP136" t="str">
            <v>F E001-00000049</v>
          </cell>
        </row>
        <row r="137">
          <cell r="E137" t="str">
            <v>FFBNÂº-8800045721</v>
          </cell>
          <cell r="F137">
            <v>0</v>
          </cell>
          <cell r="H137" t="str">
            <v>Compañía Food Retail S.A.C.</v>
          </cell>
          <cell r="I137">
            <v>45897</v>
          </cell>
          <cell r="J137">
            <v>45897</v>
          </cell>
          <cell r="K137">
            <v>45898</v>
          </cell>
          <cell r="L137" t="str">
            <v>P00189</v>
          </cell>
          <cell r="P137" t="str">
            <v>COLABORATIVA S.A.C.</v>
          </cell>
          <cell r="Q137">
            <v>-238.98</v>
          </cell>
          <cell r="R137">
            <v>-43.02</v>
          </cell>
          <cell r="S137">
            <v>-282</v>
          </cell>
          <cell r="T137">
            <v>-282</v>
          </cell>
          <cell r="V137" t="str">
            <v>PEN</v>
          </cell>
          <cell r="W137" t="b">
            <v>0</v>
          </cell>
          <cell r="X137" t="str">
            <v>Pagado</v>
          </cell>
          <cell r="AB137" t="str">
            <v>Registrado</v>
          </cell>
          <cell r="AN137">
            <v>45897</v>
          </cell>
          <cell r="AO137" t="e">
            <v>#N/A</v>
          </cell>
          <cell r="AP137" t="str">
            <v>F FB88 Nº 00045721</v>
          </cell>
        </row>
        <row r="138">
          <cell r="E138" t="str">
            <v>RE-00171</v>
          </cell>
          <cell r="F138">
            <v>0</v>
          </cell>
          <cell r="H138" t="str">
            <v>MARCAS TUPALAYA VICTOR ALBERTO</v>
          </cell>
          <cell r="I138">
            <v>45896</v>
          </cell>
          <cell r="J138">
            <v>45896</v>
          </cell>
          <cell r="K138">
            <v>45896</v>
          </cell>
          <cell r="L138" t="str">
            <v>P00184</v>
          </cell>
          <cell r="P138" t="str">
            <v>COLABORATIVA S.A.C.</v>
          </cell>
          <cell r="Q138">
            <v>-476.27</v>
          </cell>
          <cell r="R138">
            <v>-85.73</v>
          </cell>
          <cell r="S138">
            <v>-562</v>
          </cell>
          <cell r="T138">
            <v>-562</v>
          </cell>
          <cell r="V138" t="str">
            <v>PEN</v>
          </cell>
          <cell r="W138" t="b">
            <v>0</v>
          </cell>
          <cell r="X138" t="str">
            <v>Pagado</v>
          </cell>
          <cell r="AB138" t="str">
            <v>Registrado</v>
          </cell>
          <cell r="AN138">
            <v>45896</v>
          </cell>
          <cell r="AO138" t="e">
            <v>#N/A</v>
          </cell>
          <cell r="AP138" t="str">
            <v>R E001 71</v>
          </cell>
        </row>
        <row r="139">
          <cell r="E139" t="str">
            <v>F F002-00001504</v>
          </cell>
          <cell r="F139">
            <v>0</v>
          </cell>
          <cell r="H139" t="str">
            <v>PRAGMATIC S.A.C.</v>
          </cell>
          <cell r="I139">
            <v>45896</v>
          </cell>
          <cell r="J139">
            <v>45896</v>
          </cell>
          <cell r="K139">
            <v>45881</v>
          </cell>
          <cell r="L139" t="str">
            <v>P00152</v>
          </cell>
          <cell r="P139" t="str">
            <v>COLABORATIVA S.A.C.</v>
          </cell>
          <cell r="Q139">
            <v>-1950</v>
          </cell>
          <cell r="R139">
            <v>-351</v>
          </cell>
          <cell r="S139">
            <v>-2301</v>
          </cell>
          <cell r="T139">
            <v>-2301</v>
          </cell>
          <cell r="V139" t="str">
            <v>PEN</v>
          </cell>
          <cell r="W139" t="b">
            <v>0</v>
          </cell>
          <cell r="X139" t="str">
            <v>Pagado</v>
          </cell>
          <cell r="AB139" t="str">
            <v>Registrado</v>
          </cell>
          <cell r="AN139">
            <v>45896</v>
          </cell>
          <cell r="AO139" t="e">
            <v>#N/A</v>
          </cell>
          <cell r="AP139" t="str">
            <v>F F002-00001504</v>
          </cell>
        </row>
        <row r="140">
          <cell r="E140" t="str">
            <v>F F001-00025294</v>
          </cell>
          <cell r="F140">
            <v>0</v>
          </cell>
          <cell r="H140" t="str">
            <v>TECNOLOGIA FLEXOGRAFICA S.A.C - TECFLEX</v>
          </cell>
          <cell r="I140">
            <v>45896</v>
          </cell>
          <cell r="J140">
            <v>45896</v>
          </cell>
          <cell r="K140">
            <v>45898</v>
          </cell>
          <cell r="L140" t="str">
            <v>P00179</v>
          </cell>
          <cell r="P140" t="str">
            <v>COLABORATIVA S.A.C.</v>
          </cell>
          <cell r="Q140">
            <v>-2028</v>
          </cell>
          <cell r="R140">
            <v>-365.04</v>
          </cell>
          <cell r="S140">
            <v>-2393.04</v>
          </cell>
          <cell r="T140">
            <v>-2393.04</v>
          </cell>
          <cell r="V140" t="str">
            <v>PEN</v>
          </cell>
          <cell r="W140" t="b">
            <v>0</v>
          </cell>
          <cell r="X140" t="str">
            <v>Pagado</v>
          </cell>
          <cell r="AB140" t="str">
            <v>Registrado</v>
          </cell>
          <cell r="AN140">
            <v>45896</v>
          </cell>
          <cell r="AO140" t="e">
            <v>#N/A</v>
          </cell>
          <cell r="AP140" t="str">
            <v>F F001-00025294</v>
          </cell>
        </row>
        <row r="141">
          <cell r="E141" t="str">
            <v>F E001-00000280</v>
          </cell>
          <cell r="F141">
            <v>0</v>
          </cell>
          <cell r="H141" t="str">
            <v>JEMKA &amp; ASOCIADOS S.A.C.</v>
          </cell>
          <cell r="I141">
            <v>45896</v>
          </cell>
          <cell r="J141">
            <v>45896</v>
          </cell>
          <cell r="K141">
            <v>45897</v>
          </cell>
          <cell r="L141" t="str">
            <v>P00185</v>
          </cell>
          <cell r="P141" t="str">
            <v>COLABORATIVA S.A.C.</v>
          </cell>
          <cell r="Q141">
            <v>-1500</v>
          </cell>
          <cell r="R141">
            <v>-270</v>
          </cell>
          <cell r="S141">
            <v>-1770</v>
          </cell>
          <cell r="T141">
            <v>-1770</v>
          </cell>
          <cell r="V141" t="str">
            <v>PEN</v>
          </cell>
          <cell r="W141" t="b">
            <v>0</v>
          </cell>
          <cell r="X141" t="str">
            <v>Pagado</v>
          </cell>
          <cell r="AB141" t="str">
            <v>Registrado</v>
          </cell>
          <cell r="AN141">
            <v>45896</v>
          </cell>
          <cell r="AO141" t="e">
            <v>#N/A</v>
          </cell>
          <cell r="AP141" t="str">
            <v>F E001-00000280</v>
          </cell>
        </row>
        <row r="142">
          <cell r="E142" t="str">
            <v>F E001-00000110</v>
          </cell>
          <cell r="F142">
            <v>0</v>
          </cell>
          <cell r="H142" t="str">
            <v>MUÑOZ VERANO JOHN BRACKSON</v>
          </cell>
          <cell r="I142">
            <v>45896</v>
          </cell>
          <cell r="J142">
            <v>45896</v>
          </cell>
          <cell r="K142">
            <v>45896</v>
          </cell>
          <cell r="L142" t="str">
            <v>P00182</v>
          </cell>
          <cell r="P142" t="str">
            <v>COLABORATIVA S.A.C.</v>
          </cell>
          <cell r="Q142">
            <v>-1360</v>
          </cell>
          <cell r="R142">
            <v>-244.8</v>
          </cell>
          <cell r="S142">
            <v>-1604.8</v>
          </cell>
          <cell r="T142">
            <v>-1604.8</v>
          </cell>
          <cell r="V142" t="str">
            <v>PEN</v>
          </cell>
          <cell r="W142" t="b">
            <v>0</v>
          </cell>
          <cell r="X142" t="str">
            <v>Pagado</v>
          </cell>
          <cell r="AB142" t="str">
            <v>Registrado</v>
          </cell>
          <cell r="AN142">
            <v>45896</v>
          </cell>
          <cell r="AO142" t="e">
            <v>#N/A</v>
          </cell>
          <cell r="AP142" t="str">
            <v>F E001-00000110</v>
          </cell>
        </row>
        <row r="143">
          <cell r="E143" t="str">
            <v>F F002-00032725</v>
          </cell>
          <cell r="F143">
            <v>0</v>
          </cell>
          <cell r="H143" t="str">
            <v>FLINK S.A.C.</v>
          </cell>
          <cell r="I143">
            <v>45894</v>
          </cell>
          <cell r="J143">
            <v>45894</v>
          </cell>
          <cell r="K143">
            <v>45909</v>
          </cell>
          <cell r="L143" t="str">
            <v>P00197</v>
          </cell>
          <cell r="P143" t="str">
            <v>COLABORATIVA S.A.C.</v>
          </cell>
          <cell r="Q143">
            <v>-8855.8799999999992</v>
          </cell>
          <cell r="R143">
            <v>-1594.12</v>
          </cell>
          <cell r="S143">
            <v>-10450</v>
          </cell>
          <cell r="T143">
            <v>-10450</v>
          </cell>
          <cell r="V143" t="str">
            <v>PEN</v>
          </cell>
          <cell r="W143" t="b">
            <v>0</v>
          </cell>
          <cell r="X143" t="str">
            <v>Pagado</v>
          </cell>
          <cell r="AB143" t="str">
            <v>Registrado</v>
          </cell>
          <cell r="AN143">
            <v>45894</v>
          </cell>
          <cell r="AO143" t="e">
            <v>#N/A</v>
          </cell>
          <cell r="AP143" t="str">
            <v>F F002-00032725</v>
          </cell>
        </row>
        <row r="144">
          <cell r="E144" t="str">
            <v>F S002-191441554</v>
          </cell>
          <cell r="F144">
            <v>0</v>
          </cell>
          <cell r="H144" t="str">
            <v>Entel Peru S.A.</v>
          </cell>
          <cell r="I144">
            <v>45891</v>
          </cell>
          <cell r="J144">
            <v>45891</v>
          </cell>
          <cell r="K144">
            <v>45895</v>
          </cell>
          <cell r="L144" t="str">
            <v>P00181</v>
          </cell>
          <cell r="P144" t="str">
            <v>COLABORATIVA S.A.C.</v>
          </cell>
          <cell r="Q144">
            <v>-100.27</v>
          </cell>
          <cell r="R144">
            <v>-18.059999999999999</v>
          </cell>
          <cell r="S144">
            <v>-118.33</v>
          </cell>
          <cell r="T144">
            <v>-118.33</v>
          </cell>
          <cell r="V144" t="str">
            <v>PEN</v>
          </cell>
          <cell r="W144" t="b">
            <v>0</v>
          </cell>
          <cell r="X144" t="str">
            <v>Pagado</v>
          </cell>
          <cell r="AB144" t="str">
            <v>Registrado</v>
          </cell>
          <cell r="AN144">
            <v>45891</v>
          </cell>
          <cell r="AO144" t="e">
            <v>#N/A</v>
          </cell>
          <cell r="AP144" t="str">
            <v>F S002-191441554</v>
          </cell>
        </row>
        <row r="145">
          <cell r="E145" t="str">
            <v>F F581-07054538</v>
          </cell>
          <cell r="F145">
            <v>0</v>
          </cell>
          <cell r="H145" t="str">
            <v>RIMAC SEGUROS Y REASEGUROS</v>
          </cell>
          <cell r="I145">
            <v>45891</v>
          </cell>
          <cell r="J145">
            <v>45891</v>
          </cell>
          <cell r="K145">
            <v>45891</v>
          </cell>
          <cell r="L145" t="str">
            <v>P00175</v>
          </cell>
          <cell r="P145" t="str">
            <v>COLABORATIVA S.A.C.</v>
          </cell>
          <cell r="Q145">
            <v>-2081.3000000000002</v>
          </cell>
          <cell r="R145">
            <v>-374.63</v>
          </cell>
          <cell r="S145">
            <v>-2455.9299999999998</v>
          </cell>
          <cell r="T145">
            <v>-2455.9299999999998</v>
          </cell>
          <cell r="V145" t="str">
            <v>PEN</v>
          </cell>
          <cell r="W145" t="b">
            <v>0</v>
          </cell>
          <cell r="X145" t="str">
            <v>Pagado</v>
          </cell>
          <cell r="AB145" t="str">
            <v>Registrado</v>
          </cell>
          <cell r="AN145">
            <v>45891</v>
          </cell>
          <cell r="AO145" t="e">
            <v>#N/A</v>
          </cell>
          <cell r="AP145" t="str">
            <v>F F581 - 07054538</v>
          </cell>
        </row>
        <row r="146">
          <cell r="E146" t="str">
            <v>FFNÂº-00401103267</v>
          </cell>
          <cell r="F146">
            <v>0</v>
          </cell>
          <cell r="H146" t="str">
            <v>DIMERC PERU S.A.C.</v>
          </cell>
          <cell r="I146">
            <v>45891</v>
          </cell>
          <cell r="J146">
            <v>45891</v>
          </cell>
          <cell r="K146">
            <v>45896</v>
          </cell>
          <cell r="L146" t="str">
            <v>P00156</v>
          </cell>
          <cell r="P146" t="str">
            <v>COLABORATIVA S.A.C.</v>
          </cell>
          <cell r="Q146">
            <v>-176.73</v>
          </cell>
          <cell r="R146">
            <v>-31.82</v>
          </cell>
          <cell r="S146">
            <v>-208.55</v>
          </cell>
          <cell r="T146">
            <v>-208.55</v>
          </cell>
          <cell r="V146" t="str">
            <v>PEN</v>
          </cell>
          <cell r="W146" t="b">
            <v>0</v>
          </cell>
          <cell r="X146" t="str">
            <v>Pagado</v>
          </cell>
          <cell r="AB146" t="str">
            <v>Registrado</v>
          </cell>
          <cell r="AN146">
            <v>45891</v>
          </cell>
          <cell r="AO146" t="e">
            <v>#N/A</v>
          </cell>
          <cell r="AP146" t="str">
            <v>F F004 Nº 01103267</v>
          </cell>
        </row>
        <row r="147">
          <cell r="E147" t="str">
            <v>F E001-00000288</v>
          </cell>
          <cell r="F147">
            <v>0</v>
          </cell>
          <cell r="H147" t="str">
            <v>DANPRINT STUDIO (CINTHIA LISETH LOPEZ INGA)</v>
          </cell>
          <cell r="I147">
            <v>45891</v>
          </cell>
          <cell r="J147">
            <v>45891</v>
          </cell>
          <cell r="K147">
            <v>45891</v>
          </cell>
          <cell r="L147" t="str">
            <v>P00173</v>
          </cell>
          <cell r="P147" t="str">
            <v>COLABORATIVA S.A.C.</v>
          </cell>
          <cell r="Q147">
            <v>-1661.02</v>
          </cell>
          <cell r="R147">
            <v>-298.98</v>
          </cell>
          <cell r="S147">
            <v>-1960</v>
          </cell>
          <cell r="T147">
            <v>-1960</v>
          </cell>
          <cell r="V147" t="str">
            <v>PEN</v>
          </cell>
          <cell r="W147" t="b">
            <v>0</v>
          </cell>
          <cell r="X147" t="str">
            <v>Pagado</v>
          </cell>
          <cell r="AB147" t="str">
            <v>Registrado</v>
          </cell>
          <cell r="AN147">
            <v>45891</v>
          </cell>
          <cell r="AO147" t="e">
            <v>#N/A</v>
          </cell>
          <cell r="AP147" t="str">
            <v>F E001-00000288</v>
          </cell>
        </row>
        <row r="148">
          <cell r="E148" t="str">
            <v>F E001-00000056</v>
          </cell>
          <cell r="F148">
            <v>0</v>
          </cell>
          <cell r="H148" t="str">
            <v>VENTURA SABINO MIGUEL ANGEL</v>
          </cell>
          <cell r="I148">
            <v>45891</v>
          </cell>
          <cell r="J148">
            <v>45891</v>
          </cell>
          <cell r="K148">
            <v>45891</v>
          </cell>
          <cell r="L148" t="str">
            <v>P00177</v>
          </cell>
          <cell r="P148" t="str">
            <v>COLABORATIVA S.A.C.</v>
          </cell>
          <cell r="Q148">
            <v>-850</v>
          </cell>
          <cell r="S148">
            <v>-850</v>
          </cell>
          <cell r="T148">
            <v>-850</v>
          </cell>
          <cell r="V148" t="str">
            <v>PEN</v>
          </cell>
          <cell r="W148" t="b">
            <v>0</v>
          </cell>
          <cell r="X148" t="str">
            <v>Pagado</v>
          </cell>
          <cell r="AB148" t="str">
            <v>Registrado</v>
          </cell>
          <cell r="AN148">
            <v>45891</v>
          </cell>
          <cell r="AO148" t="e">
            <v>#N/A</v>
          </cell>
          <cell r="AP148" t="str">
            <v>F E001-00000056</v>
          </cell>
        </row>
        <row r="149">
          <cell r="E149" t="str">
            <v>F E001-00000055</v>
          </cell>
          <cell r="F149">
            <v>0</v>
          </cell>
          <cell r="H149" t="str">
            <v>VENTURA SABINO MIGUEL ANGEL</v>
          </cell>
          <cell r="I149">
            <v>45890</v>
          </cell>
          <cell r="J149">
            <v>45890</v>
          </cell>
          <cell r="K149">
            <v>45896</v>
          </cell>
          <cell r="L149" t="str">
            <v>P00174</v>
          </cell>
          <cell r="P149" t="str">
            <v>COLABORATIVA S.A.C.</v>
          </cell>
          <cell r="Q149">
            <v>-2450</v>
          </cell>
          <cell r="S149">
            <v>-2450</v>
          </cell>
          <cell r="T149">
            <v>-2450</v>
          </cell>
          <cell r="V149" t="str">
            <v>PEN</v>
          </cell>
          <cell r="W149" t="b">
            <v>0</v>
          </cell>
          <cell r="X149" t="str">
            <v>Pagado</v>
          </cell>
          <cell r="AB149" t="str">
            <v>Registrado</v>
          </cell>
          <cell r="AN149">
            <v>45890</v>
          </cell>
          <cell r="AO149" t="e">
            <v>#N/A</v>
          </cell>
          <cell r="AP149" t="str">
            <v>F E001-00000055</v>
          </cell>
        </row>
        <row r="150">
          <cell r="E150" t="str">
            <v>R S106-0013191099</v>
          </cell>
          <cell r="F150">
            <v>0</v>
          </cell>
          <cell r="H150" t="str">
            <v>SERVICIO DE AGUA POTABLE Y ALCANTARILLADO DE LIMA</v>
          </cell>
          <cell r="I150">
            <v>45889</v>
          </cell>
          <cell r="J150">
            <v>45889</v>
          </cell>
          <cell r="K150">
            <v>45898</v>
          </cell>
          <cell r="L150" t="str">
            <v>P00183</v>
          </cell>
          <cell r="P150" t="str">
            <v>COLABORATIVA S.A.C.</v>
          </cell>
          <cell r="Q150">
            <v>-6.27</v>
          </cell>
          <cell r="R150">
            <v>-1.1299999999999999</v>
          </cell>
          <cell r="S150">
            <v>-7.4</v>
          </cell>
          <cell r="T150">
            <v>-7.4</v>
          </cell>
          <cell r="V150" t="str">
            <v>PEN</v>
          </cell>
          <cell r="W150" t="b">
            <v>0</v>
          </cell>
          <cell r="X150" t="str">
            <v>Pagado</v>
          </cell>
          <cell r="AB150" t="str">
            <v>Registrado</v>
          </cell>
          <cell r="AN150">
            <v>45889</v>
          </cell>
          <cell r="AO150" t="e">
            <v>#N/A</v>
          </cell>
          <cell r="AP150" t="str">
            <v>R S106-0013191099</v>
          </cell>
        </row>
        <row r="151">
          <cell r="E151" t="str">
            <v>F E001-00000044</v>
          </cell>
          <cell r="F151">
            <v>0</v>
          </cell>
          <cell r="H151" t="str">
            <v>GARRIDO ROJAS MARISABEL</v>
          </cell>
          <cell r="I151">
            <v>45889</v>
          </cell>
          <cell r="J151">
            <v>45889</v>
          </cell>
          <cell r="K151">
            <v>45899</v>
          </cell>
          <cell r="P151" t="str">
            <v>COLABORATIVA S.A.C.</v>
          </cell>
          <cell r="Q151">
            <v>-5255.82</v>
          </cell>
          <cell r="R151">
            <v>-946.05</v>
          </cell>
          <cell r="S151">
            <v>-6201.87</v>
          </cell>
          <cell r="T151">
            <v>-6201.87</v>
          </cell>
          <cell r="V151" t="str">
            <v>PEN</v>
          </cell>
          <cell r="W151" t="b">
            <v>0</v>
          </cell>
          <cell r="X151" t="str">
            <v>Pagado</v>
          </cell>
          <cell r="AB151" t="str">
            <v>Registrado</v>
          </cell>
          <cell r="AN151">
            <v>45889</v>
          </cell>
          <cell r="AO151" t="e">
            <v>#N/A</v>
          </cell>
          <cell r="AP151" t="str">
            <v>F E001-00000044</v>
          </cell>
        </row>
        <row r="152">
          <cell r="E152" t="str">
            <v>R E001-14</v>
          </cell>
          <cell r="F152">
            <v>0</v>
          </cell>
          <cell r="H152" t="str">
            <v>SALVADOR ARNALDO REYES CHUECAS</v>
          </cell>
          <cell r="I152">
            <v>45888</v>
          </cell>
          <cell r="J152">
            <v>45888</v>
          </cell>
          <cell r="K152">
            <v>45888</v>
          </cell>
          <cell r="L152" t="str">
            <v>P00171</v>
          </cell>
          <cell r="P152" t="str">
            <v>COLABORATIVA S.A.C.</v>
          </cell>
          <cell r="Q152">
            <v>-120</v>
          </cell>
          <cell r="S152">
            <v>-120</v>
          </cell>
          <cell r="T152">
            <v>-120</v>
          </cell>
          <cell r="V152" t="str">
            <v>PEN</v>
          </cell>
          <cell r="W152" t="b">
            <v>0</v>
          </cell>
          <cell r="X152" t="str">
            <v>Pagado</v>
          </cell>
          <cell r="AB152" t="str">
            <v>Registrado</v>
          </cell>
          <cell r="AN152">
            <v>45888</v>
          </cell>
          <cell r="AO152" t="e">
            <v>#N/A</v>
          </cell>
          <cell r="AP152" t="str">
            <v>R E001-14</v>
          </cell>
        </row>
        <row r="153">
          <cell r="E153" t="str">
            <v>F620-00033046</v>
          </cell>
          <cell r="F153">
            <v>0</v>
          </cell>
          <cell r="H153" t="str">
            <v>COESTI SA</v>
          </cell>
          <cell r="I153">
            <v>45888</v>
          </cell>
          <cell r="J153">
            <v>45888</v>
          </cell>
          <cell r="K153">
            <v>45888</v>
          </cell>
          <cell r="N153" t="str">
            <v>F620-00033046</v>
          </cell>
          <cell r="P153" t="str">
            <v>COLABORATIVA S.A.C.</v>
          </cell>
          <cell r="Q153">
            <v>-190.41</v>
          </cell>
          <cell r="S153">
            <v>-190.41</v>
          </cell>
          <cell r="T153">
            <v>-190.41</v>
          </cell>
          <cell r="V153" t="str">
            <v>PEN</v>
          </cell>
          <cell r="W153" t="b">
            <v>0</v>
          </cell>
          <cell r="X153" t="str">
            <v>Pagado</v>
          </cell>
          <cell r="AB153" t="str">
            <v>Registrado</v>
          </cell>
          <cell r="AN153">
            <v>45888</v>
          </cell>
          <cell r="AO153" t="e">
            <v>#N/A</v>
          </cell>
          <cell r="AP153" t="str">
            <v>FXP/2025/09/0031</v>
          </cell>
        </row>
        <row r="154">
          <cell r="E154" t="str">
            <v>F F004-01101419</v>
          </cell>
          <cell r="F154">
            <v>0</v>
          </cell>
          <cell r="H154" t="str">
            <v>DIMERC PERU S.A.C.</v>
          </cell>
          <cell r="I154">
            <v>45888</v>
          </cell>
          <cell r="J154">
            <v>45888</v>
          </cell>
          <cell r="K154">
            <v>45889</v>
          </cell>
          <cell r="L154" t="str">
            <v>P00172</v>
          </cell>
          <cell r="P154" t="str">
            <v>COLABORATIVA S.A.C.</v>
          </cell>
          <cell r="Q154">
            <v>-366.1</v>
          </cell>
          <cell r="R154">
            <v>-65.89</v>
          </cell>
          <cell r="S154">
            <v>-431.99</v>
          </cell>
          <cell r="T154">
            <v>-431.99</v>
          </cell>
          <cell r="V154" t="str">
            <v>PEN</v>
          </cell>
          <cell r="W154" t="b">
            <v>0</v>
          </cell>
          <cell r="X154" t="str">
            <v>Pagado</v>
          </cell>
          <cell r="AB154" t="str">
            <v>Registrado</v>
          </cell>
          <cell r="AN154">
            <v>45888</v>
          </cell>
          <cell r="AO154" t="e">
            <v>#N/A</v>
          </cell>
          <cell r="AP154" t="str">
            <v>F F004-01101419</v>
          </cell>
        </row>
        <row r="155">
          <cell r="E155" t="str">
            <v>F F002-00057777</v>
          </cell>
          <cell r="F155">
            <v>0</v>
          </cell>
          <cell r="H155" t="str">
            <v>ESET - NOD32</v>
          </cell>
          <cell r="I155">
            <v>45887</v>
          </cell>
          <cell r="J155">
            <v>45888</v>
          </cell>
          <cell r="K155">
            <v>45888</v>
          </cell>
          <cell r="L155" t="str">
            <v>P00167</v>
          </cell>
          <cell r="P155" t="str">
            <v>COLABORATIVA S.A.C.</v>
          </cell>
          <cell r="Q155">
            <v>-214.9</v>
          </cell>
          <cell r="R155">
            <v>-38.68</v>
          </cell>
          <cell r="S155">
            <v>-253.58</v>
          </cell>
          <cell r="T155">
            <v>-253.58</v>
          </cell>
          <cell r="V155" t="str">
            <v>PEN</v>
          </cell>
          <cell r="W155" t="b">
            <v>0</v>
          </cell>
          <cell r="X155" t="str">
            <v>Pagado</v>
          </cell>
          <cell r="AB155" t="str">
            <v>Registrado</v>
          </cell>
          <cell r="AN155">
            <v>45887</v>
          </cell>
          <cell r="AO155" t="e">
            <v>#N/A</v>
          </cell>
          <cell r="AP155" t="str">
            <v>F F002-00057777</v>
          </cell>
        </row>
        <row r="156">
          <cell r="E156" t="str">
            <v>F E001-00000106</v>
          </cell>
          <cell r="F156">
            <v>0</v>
          </cell>
          <cell r="H156" t="str">
            <v>MUÑOZ VERANO JOHN BRACKSON</v>
          </cell>
          <cell r="I156">
            <v>45888</v>
          </cell>
          <cell r="J156">
            <v>45888</v>
          </cell>
          <cell r="K156">
            <v>45888</v>
          </cell>
          <cell r="L156" t="str">
            <v>P00170</v>
          </cell>
          <cell r="P156" t="str">
            <v>COLABORATIVA S.A.C.</v>
          </cell>
          <cell r="Q156">
            <v>-1200</v>
          </cell>
          <cell r="R156">
            <v>-216</v>
          </cell>
          <cell r="S156">
            <v>-1416</v>
          </cell>
          <cell r="T156">
            <v>-1416</v>
          </cell>
          <cell r="V156" t="str">
            <v>PEN</v>
          </cell>
          <cell r="W156" t="b">
            <v>0</v>
          </cell>
          <cell r="X156" t="str">
            <v>Pagado</v>
          </cell>
          <cell r="AB156" t="str">
            <v>Registrado</v>
          </cell>
          <cell r="AN156">
            <v>45888</v>
          </cell>
          <cell r="AO156" t="e">
            <v>#N/A</v>
          </cell>
          <cell r="AP156" t="str">
            <v>F E001-00000106</v>
          </cell>
        </row>
        <row r="157">
          <cell r="E157" t="str">
            <v>R E001-24</v>
          </cell>
          <cell r="F157">
            <v>0</v>
          </cell>
          <cell r="H157" t="str">
            <v>ESPINO MORI LEANDRO JOAQUIN</v>
          </cell>
          <cell r="I157">
            <v>45887</v>
          </cell>
          <cell r="J157">
            <v>45887</v>
          </cell>
          <cell r="K157">
            <v>45888</v>
          </cell>
          <cell r="L157" t="str">
            <v>P00168</v>
          </cell>
          <cell r="P157" t="str">
            <v>COLABORATIVA S.A.C.</v>
          </cell>
          <cell r="Q157">
            <v>-570</v>
          </cell>
          <cell r="S157">
            <v>-570</v>
          </cell>
          <cell r="T157">
            <v>-570</v>
          </cell>
          <cell r="V157" t="str">
            <v>PEN</v>
          </cell>
          <cell r="W157" t="b">
            <v>0</v>
          </cell>
          <cell r="X157" t="str">
            <v>Pagado</v>
          </cell>
          <cell r="AB157" t="str">
            <v>Registrado</v>
          </cell>
          <cell r="AN157">
            <v>45887</v>
          </cell>
          <cell r="AO157" t="e">
            <v>#N/A</v>
          </cell>
          <cell r="AP157" t="str">
            <v>R E001-24</v>
          </cell>
        </row>
        <row r="158">
          <cell r="E158" t="str">
            <v>F NÂ° F001-00009370</v>
          </cell>
          <cell r="F158">
            <v>0</v>
          </cell>
          <cell r="H158" t="str">
            <v>PRECINTOS PERU E.I.R.L</v>
          </cell>
          <cell r="I158">
            <v>45887</v>
          </cell>
          <cell r="J158">
            <v>45887</v>
          </cell>
          <cell r="K158">
            <v>45887</v>
          </cell>
          <cell r="L158" t="str">
            <v>P00165</v>
          </cell>
          <cell r="P158" t="str">
            <v>COLABORATIVA S.A.C.</v>
          </cell>
          <cell r="Q158">
            <v>-2894.05</v>
          </cell>
          <cell r="R158">
            <v>-520.95000000000005</v>
          </cell>
          <cell r="S158">
            <v>-3415</v>
          </cell>
          <cell r="T158">
            <v>-3415</v>
          </cell>
          <cell r="V158" t="str">
            <v>PEN</v>
          </cell>
          <cell r="W158" t="b">
            <v>0</v>
          </cell>
          <cell r="X158" t="str">
            <v>Pagado</v>
          </cell>
          <cell r="AB158" t="str">
            <v>Registrado</v>
          </cell>
          <cell r="AN158">
            <v>45887</v>
          </cell>
          <cell r="AO158" t="e">
            <v>#N/A</v>
          </cell>
          <cell r="AP158" t="str">
            <v>F N° F001-00009370</v>
          </cell>
        </row>
        <row r="159">
          <cell r="E159" t="str">
            <v>F F001-00025171</v>
          </cell>
          <cell r="F159">
            <v>0</v>
          </cell>
          <cell r="H159" t="str">
            <v>TECNOLOGIA FLEXOGRAFICA S.A.C - TECFLEX</v>
          </cell>
          <cell r="I159">
            <v>45887</v>
          </cell>
          <cell r="J159">
            <v>45887</v>
          </cell>
          <cell r="K159">
            <v>45889</v>
          </cell>
          <cell r="L159" t="str">
            <v>P00164</v>
          </cell>
          <cell r="P159" t="str">
            <v>COLABORATIVA S.A.C.</v>
          </cell>
          <cell r="Q159">
            <v>-820</v>
          </cell>
          <cell r="R159">
            <v>-147.6</v>
          </cell>
          <cell r="S159">
            <v>-967.6</v>
          </cell>
          <cell r="T159">
            <v>-967.6</v>
          </cell>
          <cell r="V159" t="str">
            <v>PEN</v>
          </cell>
          <cell r="W159" t="b">
            <v>0</v>
          </cell>
          <cell r="X159" t="str">
            <v>Pagado</v>
          </cell>
          <cell r="AB159" t="str">
            <v>Registrado</v>
          </cell>
          <cell r="AN159">
            <v>45887</v>
          </cell>
          <cell r="AO159" t="e">
            <v>#N/A</v>
          </cell>
          <cell r="AP159" t="str">
            <v>F F001-00025171</v>
          </cell>
        </row>
        <row r="160">
          <cell r="E160" t="str">
            <v>RE-0013</v>
          </cell>
          <cell r="F160">
            <v>0</v>
          </cell>
          <cell r="H160" t="str">
            <v>CHUECA OSTOLAZA MARIA PATRICIA MILAGROS</v>
          </cell>
          <cell r="I160">
            <v>45884</v>
          </cell>
          <cell r="J160">
            <v>45884</v>
          </cell>
          <cell r="K160">
            <v>45885</v>
          </cell>
          <cell r="L160" t="str">
            <v>P00163</v>
          </cell>
          <cell r="P160" t="str">
            <v>COLABORATIVA S.A.C.</v>
          </cell>
          <cell r="Q160">
            <v>-3750</v>
          </cell>
          <cell r="R160">
            <v>300</v>
          </cell>
          <cell r="S160">
            <v>-3450</v>
          </cell>
          <cell r="T160">
            <v>-3450</v>
          </cell>
          <cell r="V160" t="str">
            <v>PEN</v>
          </cell>
          <cell r="W160" t="b">
            <v>0</v>
          </cell>
          <cell r="X160" t="str">
            <v>Pagado</v>
          </cell>
          <cell r="AB160" t="str">
            <v>Registrado</v>
          </cell>
          <cell r="AN160">
            <v>45884</v>
          </cell>
          <cell r="AO160" t="e">
            <v>#N/A</v>
          </cell>
          <cell r="AP160" t="str">
            <v>R E001 3</v>
          </cell>
        </row>
        <row r="161">
          <cell r="E161" t="str">
            <v>F FI40-00015738</v>
          </cell>
          <cell r="F161">
            <v>0</v>
          </cell>
          <cell r="H161" t="str">
            <v>MEMORY KINGS PERU S.A.C</v>
          </cell>
          <cell r="I161">
            <v>45884</v>
          </cell>
          <cell r="J161">
            <v>45884</v>
          </cell>
          <cell r="K161">
            <v>45888</v>
          </cell>
          <cell r="L161" t="str">
            <v>P00159</v>
          </cell>
          <cell r="P161" t="str">
            <v>COLABORATIVA S.A.C.</v>
          </cell>
          <cell r="Q161">
            <v>-273.73</v>
          </cell>
          <cell r="R161">
            <v>-49.27</v>
          </cell>
          <cell r="S161">
            <v>-323</v>
          </cell>
          <cell r="T161">
            <v>-323</v>
          </cell>
          <cell r="V161" t="str">
            <v>PEN</v>
          </cell>
          <cell r="W161" t="b">
            <v>0</v>
          </cell>
          <cell r="X161" t="str">
            <v>Pagado</v>
          </cell>
          <cell r="AB161" t="str">
            <v>Registrado</v>
          </cell>
          <cell r="AN161">
            <v>45884</v>
          </cell>
          <cell r="AO161" t="e">
            <v>#N/A</v>
          </cell>
          <cell r="AP161" t="str">
            <v>F FI40-00015738</v>
          </cell>
        </row>
        <row r="162">
          <cell r="E162" t="str">
            <v>F F002-00015013</v>
          </cell>
          <cell r="F162">
            <v>0</v>
          </cell>
          <cell r="H162" t="str">
            <v>TECNOLOGIA FLEXOGRAFICA S.A.C - TECFLEX</v>
          </cell>
          <cell r="I162">
            <v>45884</v>
          </cell>
          <cell r="J162">
            <v>45884</v>
          </cell>
          <cell r="K162">
            <v>45884</v>
          </cell>
          <cell r="L162" t="str">
            <v>P00160</v>
          </cell>
          <cell r="P162" t="str">
            <v>COLABORATIVA S.A.C.</v>
          </cell>
          <cell r="Q162">
            <v>-1240</v>
          </cell>
          <cell r="R162">
            <v>-223.2</v>
          </cell>
          <cell r="S162">
            <v>-1463.2</v>
          </cell>
          <cell r="T162">
            <v>-1463.2</v>
          </cell>
          <cell r="V162" t="str">
            <v>PEN</v>
          </cell>
          <cell r="W162" t="b">
            <v>0</v>
          </cell>
          <cell r="X162" t="str">
            <v>Pagado</v>
          </cell>
          <cell r="AB162" t="str">
            <v>Registrado</v>
          </cell>
          <cell r="AN162">
            <v>45884</v>
          </cell>
          <cell r="AO162" t="e">
            <v>#N/A</v>
          </cell>
          <cell r="AP162" t="str">
            <v>F F002-00015013</v>
          </cell>
        </row>
        <row r="163">
          <cell r="E163" t="str">
            <v>F E001-00000012</v>
          </cell>
          <cell r="F163">
            <v>0</v>
          </cell>
          <cell r="H163" t="str">
            <v>MENDOZA GUERRA FELIX ANTONIO</v>
          </cell>
          <cell r="I163">
            <v>45884</v>
          </cell>
          <cell r="J163">
            <v>45884</v>
          </cell>
          <cell r="K163">
            <v>45884</v>
          </cell>
          <cell r="L163" t="str">
            <v>P00161</v>
          </cell>
          <cell r="P163" t="str">
            <v>COLABORATIVA S.A.C.</v>
          </cell>
          <cell r="Q163">
            <v>-570</v>
          </cell>
          <cell r="R163">
            <v>-102.6</v>
          </cell>
          <cell r="S163">
            <v>-672.6</v>
          </cell>
          <cell r="T163">
            <v>-672.6</v>
          </cell>
          <cell r="V163" t="str">
            <v>PEN</v>
          </cell>
          <cell r="W163" t="b">
            <v>0</v>
          </cell>
          <cell r="X163" t="str">
            <v>Pagado</v>
          </cell>
          <cell r="AB163" t="str">
            <v>Registrado</v>
          </cell>
          <cell r="AN163">
            <v>45884</v>
          </cell>
          <cell r="AO163" t="e">
            <v>#N/A</v>
          </cell>
          <cell r="AP163" t="str">
            <v>F E001-00000012</v>
          </cell>
        </row>
        <row r="164">
          <cell r="E164" t="str">
            <v>R S001-17516879</v>
          </cell>
          <cell r="F164">
            <v>0</v>
          </cell>
          <cell r="H164" t="str">
            <v>WI-NET TELECOM S.A.C.</v>
          </cell>
          <cell r="I164">
            <v>45883</v>
          </cell>
          <cell r="J164">
            <v>45883</v>
          </cell>
          <cell r="K164">
            <v>45888</v>
          </cell>
          <cell r="L164" t="str">
            <v>P00166</v>
          </cell>
          <cell r="P164" t="str">
            <v>COLABORATIVA S.A.C.</v>
          </cell>
          <cell r="Q164">
            <v>-109.32</v>
          </cell>
          <cell r="R164">
            <v>-19.68</v>
          </cell>
          <cell r="S164">
            <v>-129</v>
          </cell>
          <cell r="T164">
            <v>-129</v>
          </cell>
          <cell r="V164" t="str">
            <v>PEN</v>
          </cell>
          <cell r="W164" t="b">
            <v>0</v>
          </cell>
          <cell r="X164" t="str">
            <v>Pagado</v>
          </cell>
          <cell r="AB164" t="str">
            <v>Registrado</v>
          </cell>
          <cell r="AN164">
            <v>45883</v>
          </cell>
          <cell r="AO164" t="e">
            <v>#N/A</v>
          </cell>
          <cell r="AP164" t="str">
            <v>R S001-17516879</v>
          </cell>
        </row>
        <row r="165">
          <cell r="E165" t="str">
            <v>F FI40-00015675</v>
          </cell>
          <cell r="F165">
            <v>0</v>
          </cell>
          <cell r="H165" t="str">
            <v>MEMORY KINGS PERU S.A.C</v>
          </cell>
          <cell r="I165">
            <v>45883</v>
          </cell>
          <cell r="J165">
            <v>45883</v>
          </cell>
          <cell r="K165">
            <v>45888</v>
          </cell>
          <cell r="L165" t="str">
            <v>P00154</v>
          </cell>
          <cell r="P165" t="str">
            <v>COLABORATIVA S.A.C.</v>
          </cell>
          <cell r="Q165">
            <v>-16.95</v>
          </cell>
          <cell r="R165">
            <v>-3.05</v>
          </cell>
          <cell r="S165">
            <v>-20</v>
          </cell>
          <cell r="T165">
            <v>-20</v>
          </cell>
          <cell r="V165" t="str">
            <v>PEN</v>
          </cell>
          <cell r="W165" t="b">
            <v>0</v>
          </cell>
          <cell r="X165" t="str">
            <v>Pagado</v>
          </cell>
          <cell r="AB165" t="str">
            <v>Registrado</v>
          </cell>
          <cell r="AN165">
            <v>45883</v>
          </cell>
          <cell r="AO165" t="e">
            <v>#N/A</v>
          </cell>
          <cell r="AP165" t="str">
            <v>F FI40-00015675</v>
          </cell>
        </row>
        <row r="166">
          <cell r="E166" t="str">
            <v>F E001-00000152</v>
          </cell>
          <cell r="F166">
            <v>0</v>
          </cell>
          <cell r="H166" t="str">
            <v>REUSCHE CALLUPE ANTHONY ALAN</v>
          </cell>
          <cell r="I166">
            <v>45883</v>
          </cell>
          <cell r="J166">
            <v>45883</v>
          </cell>
          <cell r="K166">
            <v>45883</v>
          </cell>
          <cell r="L166" t="str">
            <v>P00158</v>
          </cell>
          <cell r="P166" t="str">
            <v>COLABORATIVA S.A.C.</v>
          </cell>
          <cell r="Q166">
            <v>-950</v>
          </cell>
          <cell r="R166">
            <v>-171</v>
          </cell>
          <cell r="S166">
            <v>-1121</v>
          </cell>
          <cell r="T166">
            <v>-1121</v>
          </cell>
          <cell r="V166" t="str">
            <v>PEN</v>
          </cell>
          <cell r="W166" t="b">
            <v>0</v>
          </cell>
          <cell r="X166" t="str">
            <v>Pagado</v>
          </cell>
          <cell r="AB166" t="str">
            <v>Registrado</v>
          </cell>
          <cell r="AN166">
            <v>45883</v>
          </cell>
          <cell r="AO166" t="e">
            <v>#N/A</v>
          </cell>
          <cell r="AP166" t="str">
            <v>F E001-00000152</v>
          </cell>
        </row>
        <row r="167">
          <cell r="E167" t="str">
            <v>F F004-00102454</v>
          </cell>
          <cell r="F167">
            <v>0</v>
          </cell>
          <cell r="H167" t="str">
            <v>DIMERC PERU S.A.C.</v>
          </cell>
          <cell r="I167">
            <v>45882</v>
          </cell>
          <cell r="J167">
            <v>45882</v>
          </cell>
          <cell r="K167">
            <v>45888</v>
          </cell>
          <cell r="L167" t="str">
            <v>P00150</v>
          </cell>
          <cell r="P167" t="str">
            <v>COLABORATIVA S.A.C.</v>
          </cell>
          <cell r="Q167">
            <v>-142</v>
          </cell>
          <cell r="R167">
            <v>-25.55</v>
          </cell>
          <cell r="S167">
            <v>-167.55</v>
          </cell>
          <cell r="T167">
            <v>-167.55</v>
          </cell>
          <cell r="V167" t="str">
            <v>PEN</v>
          </cell>
          <cell r="W167" t="b">
            <v>0</v>
          </cell>
          <cell r="X167" t="str">
            <v>Pagado</v>
          </cell>
          <cell r="AB167" t="str">
            <v>Registrado</v>
          </cell>
          <cell r="AN167">
            <v>45882</v>
          </cell>
          <cell r="AO167" t="e">
            <v>#N/A</v>
          </cell>
          <cell r="AP167" t="str">
            <v>F F004-00102454</v>
          </cell>
        </row>
        <row r="168">
          <cell r="E168" t="str">
            <v>R S108-313395-N-BV-04149</v>
          </cell>
          <cell r="F168">
            <v>0</v>
          </cell>
          <cell r="H168" t="str">
            <v>LUZ DEL SUR S.A.A.</v>
          </cell>
          <cell r="I168">
            <v>45881</v>
          </cell>
          <cell r="J168">
            <v>45881</v>
          </cell>
          <cell r="K168">
            <v>45888</v>
          </cell>
          <cell r="L168" t="str">
            <v>P00169</v>
          </cell>
          <cell r="P168" t="str">
            <v>COLABORATIVA S.A.C.</v>
          </cell>
          <cell r="Q168">
            <v>-697.9</v>
          </cell>
          <cell r="S168">
            <v>-697.9</v>
          </cell>
          <cell r="T168">
            <v>-697.9</v>
          </cell>
          <cell r="V168" t="str">
            <v>PEN</v>
          </cell>
          <cell r="W168" t="b">
            <v>0</v>
          </cell>
          <cell r="X168" t="str">
            <v>Pagado</v>
          </cell>
          <cell r="AB168" t="str">
            <v>Registrado</v>
          </cell>
          <cell r="AN168">
            <v>45881</v>
          </cell>
          <cell r="AO168" t="e">
            <v>#N/A</v>
          </cell>
          <cell r="AP168" t="str">
            <v>R S108-313395-N-BV-04149</v>
          </cell>
        </row>
        <row r="169">
          <cell r="E169" t="str">
            <v>F FI40-00015605</v>
          </cell>
          <cell r="F169">
            <v>0</v>
          </cell>
          <cell r="H169" t="str">
            <v>MEMORY KINGS PERU S.A.C</v>
          </cell>
          <cell r="I169">
            <v>45881</v>
          </cell>
          <cell r="J169">
            <v>45881</v>
          </cell>
          <cell r="K169">
            <v>45888</v>
          </cell>
          <cell r="L169" t="str">
            <v>P00148</v>
          </cell>
          <cell r="P169" t="str">
            <v>COLABORATIVA S.A.C.</v>
          </cell>
          <cell r="Q169">
            <v>-224.15</v>
          </cell>
          <cell r="R169">
            <v>-40.35</v>
          </cell>
          <cell r="S169">
            <v>-264.5</v>
          </cell>
          <cell r="T169">
            <v>-264.5</v>
          </cell>
          <cell r="V169" t="str">
            <v>PEN</v>
          </cell>
          <cell r="W169" t="b">
            <v>0</v>
          </cell>
          <cell r="X169" t="str">
            <v>Pagado</v>
          </cell>
          <cell r="AB169" t="str">
            <v>Registrado</v>
          </cell>
          <cell r="AN169">
            <v>45881</v>
          </cell>
          <cell r="AO169" t="e">
            <v>#N/A</v>
          </cell>
          <cell r="AP169" t="str">
            <v>F FI40-00015605</v>
          </cell>
        </row>
        <row r="170">
          <cell r="E170" t="str">
            <v>F F052-01625979</v>
          </cell>
          <cell r="F170">
            <v>0</v>
          </cell>
          <cell r="H170" t="str">
            <v>MAPFRE PERU COMPAÑIA DE SEGUROS Y REASEGUROS</v>
          </cell>
          <cell r="I170">
            <v>45881</v>
          </cell>
          <cell r="J170">
            <v>45881</v>
          </cell>
          <cell r="K170">
            <v>45881</v>
          </cell>
          <cell r="L170" t="str">
            <v>P00153</v>
          </cell>
          <cell r="P170" t="str">
            <v>COLABORATIVA S.A.C.</v>
          </cell>
          <cell r="Q170">
            <v>-100</v>
          </cell>
          <cell r="R170">
            <v>-18</v>
          </cell>
          <cell r="S170">
            <v>-118</v>
          </cell>
          <cell r="T170">
            <v>-118</v>
          </cell>
          <cell r="V170" t="str">
            <v>PEN</v>
          </cell>
          <cell r="W170" t="b">
            <v>0</v>
          </cell>
          <cell r="X170" t="str">
            <v>Pagado</v>
          </cell>
          <cell r="AB170" t="str">
            <v>Registrado</v>
          </cell>
          <cell r="AN170">
            <v>45881</v>
          </cell>
          <cell r="AO170" t="e">
            <v>#N/A</v>
          </cell>
          <cell r="AP170" t="str">
            <v>F F052 - 01625979</v>
          </cell>
        </row>
        <row r="171">
          <cell r="E171" t="str">
            <v>R E001-13</v>
          </cell>
          <cell r="F171">
            <v>0</v>
          </cell>
          <cell r="H171" t="str">
            <v>SALVADOR ARNALDO REYES CHUECAS</v>
          </cell>
          <cell r="I171">
            <v>45880</v>
          </cell>
          <cell r="J171">
            <v>45880</v>
          </cell>
          <cell r="K171">
            <v>45880</v>
          </cell>
          <cell r="L171" t="str">
            <v>P00151</v>
          </cell>
          <cell r="P171" t="str">
            <v>COLABORATIVA S.A.C.</v>
          </cell>
          <cell r="Q171">
            <v>-846.09</v>
          </cell>
          <cell r="S171">
            <v>-846.09</v>
          </cell>
          <cell r="T171">
            <v>-846.09</v>
          </cell>
          <cell r="V171" t="str">
            <v>PEN</v>
          </cell>
          <cell r="W171" t="b">
            <v>0</v>
          </cell>
          <cell r="X171" t="str">
            <v>Pagado</v>
          </cell>
          <cell r="AB171" t="str">
            <v>Registrado</v>
          </cell>
          <cell r="AN171">
            <v>45880</v>
          </cell>
          <cell r="AO171" t="e">
            <v>#N/A</v>
          </cell>
          <cell r="AP171" t="str">
            <v>R E001-13</v>
          </cell>
        </row>
        <row r="172">
          <cell r="E172" t="str">
            <v>F F52U-00022257</v>
          </cell>
          <cell r="F172">
            <v>0</v>
          </cell>
          <cell r="H172" t="str">
            <v>COESTI SA</v>
          </cell>
          <cell r="I172">
            <v>45880</v>
          </cell>
          <cell r="J172">
            <v>45880</v>
          </cell>
          <cell r="K172">
            <v>45919</v>
          </cell>
          <cell r="P172" t="str">
            <v>COLABORATIVA S.A.C.</v>
          </cell>
          <cell r="Q172">
            <v>-64.41</v>
          </cell>
          <cell r="R172">
            <v>-11.59</v>
          </cell>
          <cell r="S172">
            <v>-76</v>
          </cell>
          <cell r="T172">
            <v>-76</v>
          </cell>
          <cell r="V172" t="str">
            <v>PEN</v>
          </cell>
          <cell r="W172" t="b">
            <v>0</v>
          </cell>
          <cell r="X172" t="str">
            <v>Pagado</v>
          </cell>
          <cell r="AB172" t="str">
            <v>Registrado</v>
          </cell>
          <cell r="AN172">
            <v>45880</v>
          </cell>
          <cell r="AO172" t="e">
            <v>#N/A</v>
          </cell>
          <cell r="AP172" t="str">
            <v>F F52U-00022257</v>
          </cell>
        </row>
        <row r="173">
          <cell r="E173" t="str">
            <v>FF-00200032368</v>
          </cell>
          <cell r="F173">
            <v>0</v>
          </cell>
          <cell r="H173" t="str">
            <v>FLINK S.A.C.</v>
          </cell>
          <cell r="I173">
            <v>45876</v>
          </cell>
          <cell r="J173">
            <v>45876</v>
          </cell>
          <cell r="K173">
            <v>45891</v>
          </cell>
          <cell r="L173" t="str">
            <v>P00162</v>
          </cell>
          <cell r="P173" t="str">
            <v>COLABORATIVA S.A.C.</v>
          </cell>
          <cell r="Q173">
            <v>-805.08</v>
          </cell>
          <cell r="R173">
            <v>-144.91999999999999</v>
          </cell>
          <cell r="S173">
            <v>-950</v>
          </cell>
          <cell r="T173">
            <v>-950</v>
          </cell>
          <cell r="V173" t="str">
            <v>PEN</v>
          </cell>
          <cell r="W173" t="b">
            <v>0</v>
          </cell>
          <cell r="X173" t="str">
            <v>Pagado</v>
          </cell>
          <cell r="AB173" t="str">
            <v>Registrado</v>
          </cell>
          <cell r="AN173">
            <v>45876</v>
          </cell>
          <cell r="AO173" t="e">
            <v>#N/A</v>
          </cell>
          <cell r="AP173" t="str">
            <v>F F002 00032368</v>
          </cell>
        </row>
        <row r="174">
          <cell r="E174" t="str">
            <v>F E001-00000441</v>
          </cell>
          <cell r="F174">
            <v>0</v>
          </cell>
          <cell r="H174" t="str">
            <v>JL ELECTRICIDAD S.A.C.</v>
          </cell>
          <cell r="I174">
            <v>45876</v>
          </cell>
          <cell r="J174">
            <v>45876</v>
          </cell>
          <cell r="K174">
            <v>45877</v>
          </cell>
          <cell r="L174" t="str">
            <v>P00149</v>
          </cell>
          <cell r="P174" t="str">
            <v>COLABORATIVA S.A.C.</v>
          </cell>
          <cell r="Q174">
            <v>-130</v>
          </cell>
          <cell r="R174">
            <v>-23.4</v>
          </cell>
          <cell r="S174">
            <v>-153.4</v>
          </cell>
          <cell r="T174">
            <v>-153.4</v>
          </cell>
          <cell r="V174" t="str">
            <v>PEN</v>
          </cell>
          <cell r="W174" t="b">
            <v>0</v>
          </cell>
          <cell r="X174" t="str">
            <v>Pagado</v>
          </cell>
          <cell r="AB174" t="str">
            <v>Registrado</v>
          </cell>
          <cell r="AN174">
            <v>45876</v>
          </cell>
          <cell r="AO174" t="e">
            <v>#N/A</v>
          </cell>
          <cell r="AP174" t="str">
            <v>F E001-00000441</v>
          </cell>
        </row>
        <row r="175">
          <cell r="E175" t="str">
            <v>R SB 02-0 232062063</v>
          </cell>
          <cell r="F175">
            <v>0</v>
          </cell>
          <cell r="H175" t="str">
            <v>America Móvil Perú S.A.C.</v>
          </cell>
          <cell r="I175">
            <v>45873</v>
          </cell>
          <cell r="J175">
            <v>45873</v>
          </cell>
          <cell r="K175">
            <v>45898</v>
          </cell>
          <cell r="L175" t="str">
            <v>P00187</v>
          </cell>
          <cell r="P175" t="str">
            <v>COLABORATIVA S.A.C.</v>
          </cell>
          <cell r="Q175">
            <v>-51.98</v>
          </cell>
          <cell r="R175">
            <v>-9.36</v>
          </cell>
          <cell r="S175">
            <v>-61.34</v>
          </cell>
          <cell r="T175">
            <v>-61.34</v>
          </cell>
          <cell r="V175" t="str">
            <v>PEN</v>
          </cell>
          <cell r="W175" t="b">
            <v>0</v>
          </cell>
          <cell r="X175" t="str">
            <v>Pagado</v>
          </cell>
          <cell r="AB175" t="str">
            <v>Registrado</v>
          </cell>
          <cell r="AN175">
            <v>45873</v>
          </cell>
          <cell r="AO175" t="e">
            <v>#N/A</v>
          </cell>
          <cell r="AP175" t="str">
            <v>R SB 02-0 232062063</v>
          </cell>
        </row>
        <row r="176">
          <cell r="E176" t="str">
            <v>R E001-23</v>
          </cell>
          <cell r="F176">
            <v>0</v>
          </cell>
          <cell r="H176" t="str">
            <v>GIURA MORI GABRIELA NORIKO</v>
          </cell>
          <cell r="I176">
            <v>45873</v>
          </cell>
          <cell r="J176">
            <v>45873</v>
          </cell>
          <cell r="K176">
            <v>45873</v>
          </cell>
          <cell r="L176" t="str">
            <v>P00136</v>
          </cell>
          <cell r="P176" t="str">
            <v>COLABORATIVA S.A.C.</v>
          </cell>
          <cell r="Q176">
            <v>-2090</v>
          </cell>
          <cell r="S176">
            <v>-2090</v>
          </cell>
          <cell r="T176">
            <v>-2090</v>
          </cell>
          <cell r="V176" t="str">
            <v>PEN</v>
          </cell>
          <cell r="W176" t="b">
            <v>0</v>
          </cell>
          <cell r="X176" t="str">
            <v>Pagado</v>
          </cell>
          <cell r="AB176" t="str">
            <v>Registrado</v>
          </cell>
          <cell r="AN176">
            <v>45873</v>
          </cell>
          <cell r="AO176" t="e">
            <v>#N/A</v>
          </cell>
          <cell r="AP176" t="str">
            <v>R E001-23</v>
          </cell>
        </row>
        <row r="177">
          <cell r="E177" t="str">
            <v>F F002-00032310</v>
          </cell>
          <cell r="F177">
            <v>0</v>
          </cell>
          <cell r="H177" t="str">
            <v>FLINK S.A.C.</v>
          </cell>
          <cell r="I177">
            <v>45873</v>
          </cell>
          <cell r="J177">
            <v>45873</v>
          </cell>
          <cell r="K177">
            <v>45888</v>
          </cell>
          <cell r="L177" t="str">
            <v>P00147</v>
          </cell>
          <cell r="P177" t="str">
            <v>COLABORATIVA S.A.C.</v>
          </cell>
          <cell r="Q177">
            <v>-6440.64</v>
          </cell>
          <cell r="R177">
            <v>-1159.3599999999999</v>
          </cell>
          <cell r="S177">
            <v>-7600</v>
          </cell>
          <cell r="T177">
            <v>-7600</v>
          </cell>
          <cell r="V177" t="str">
            <v>PEN</v>
          </cell>
          <cell r="W177" t="b">
            <v>0</v>
          </cell>
          <cell r="X177" t="str">
            <v>Pagado</v>
          </cell>
          <cell r="AB177" t="str">
            <v>Registrado</v>
          </cell>
          <cell r="AN177">
            <v>45873</v>
          </cell>
          <cell r="AO177" t="e">
            <v>#N/A</v>
          </cell>
          <cell r="AP177" t="str">
            <v>F F002-00032310</v>
          </cell>
        </row>
        <row r="178">
          <cell r="E178" t="str">
            <v>F E001-00000101</v>
          </cell>
          <cell r="F178">
            <v>0</v>
          </cell>
          <cell r="H178" t="str">
            <v>MUÑOZ VERANO JOHN BRACKSON</v>
          </cell>
          <cell r="I178">
            <v>45873</v>
          </cell>
          <cell r="J178">
            <v>45873</v>
          </cell>
          <cell r="K178">
            <v>45873</v>
          </cell>
          <cell r="L178" t="str">
            <v>P00145</v>
          </cell>
          <cell r="P178" t="str">
            <v>COLABORATIVA S.A.C.</v>
          </cell>
          <cell r="Q178">
            <v>-600</v>
          </cell>
          <cell r="R178">
            <v>-108</v>
          </cell>
          <cell r="S178">
            <v>-708</v>
          </cell>
          <cell r="T178">
            <v>-708</v>
          </cell>
          <cell r="V178" t="str">
            <v>PEN</v>
          </cell>
          <cell r="W178" t="b">
            <v>0</v>
          </cell>
          <cell r="X178" t="str">
            <v>Pagado</v>
          </cell>
          <cell r="AB178" t="str">
            <v>Registrado</v>
          </cell>
          <cell r="AN178">
            <v>45873</v>
          </cell>
          <cell r="AO178" t="e">
            <v>#N/A</v>
          </cell>
          <cell r="AP178" t="str">
            <v>F E001-00000101</v>
          </cell>
        </row>
        <row r="179">
          <cell r="E179" t="str">
            <v>F E001-00000057</v>
          </cell>
          <cell r="F179">
            <v>0</v>
          </cell>
          <cell r="H179" t="str">
            <v>ROJAS CASTILLO SUSANA</v>
          </cell>
          <cell r="I179">
            <v>45873</v>
          </cell>
          <cell r="J179">
            <v>45873</v>
          </cell>
          <cell r="K179">
            <v>45874</v>
          </cell>
          <cell r="L179" t="str">
            <v>P00146</v>
          </cell>
          <cell r="P179" t="str">
            <v>COLABORATIVA S.A.C.</v>
          </cell>
          <cell r="Q179">
            <v>-1350</v>
          </cell>
          <cell r="R179">
            <v>-243</v>
          </cell>
          <cell r="S179">
            <v>-1593</v>
          </cell>
          <cell r="T179">
            <v>-1593</v>
          </cell>
          <cell r="V179" t="str">
            <v>PEN</v>
          </cell>
          <cell r="W179" t="b">
            <v>0</v>
          </cell>
          <cell r="X179" t="str">
            <v>Pagado</v>
          </cell>
          <cell r="AB179" t="str">
            <v>Registrado</v>
          </cell>
          <cell r="AN179">
            <v>45873</v>
          </cell>
          <cell r="AO179" t="e">
            <v>#N/A</v>
          </cell>
          <cell r="AP179" t="str">
            <v>F E001-00000057</v>
          </cell>
        </row>
        <row r="180">
          <cell r="E180" t="str">
            <v>F E001-00001138</v>
          </cell>
          <cell r="F180">
            <v>0</v>
          </cell>
          <cell r="H180" t="str">
            <v>IVANKAA HOSTEL TRAVEL E.I.R.L.</v>
          </cell>
          <cell r="I180">
            <v>45872</v>
          </cell>
          <cell r="J180">
            <v>45872</v>
          </cell>
          <cell r="K180">
            <v>45873</v>
          </cell>
          <cell r="L180" t="str">
            <v>P00121</v>
          </cell>
          <cell r="P180" t="str">
            <v>COLABORATIVA S.A.C.</v>
          </cell>
          <cell r="Q180">
            <v>-101.69</v>
          </cell>
          <cell r="R180">
            <v>-18.309999999999999</v>
          </cell>
          <cell r="S180">
            <v>-120</v>
          </cell>
          <cell r="T180">
            <v>-120</v>
          </cell>
          <cell r="V180" t="str">
            <v>PEN</v>
          </cell>
          <cell r="W180" t="b">
            <v>0</v>
          </cell>
          <cell r="X180" t="str">
            <v>Pagado</v>
          </cell>
          <cell r="AB180" t="str">
            <v>Registrado</v>
          </cell>
          <cell r="AN180">
            <v>45872</v>
          </cell>
          <cell r="AO180" t="e">
            <v>#N/A</v>
          </cell>
          <cell r="AP180" t="str">
            <v>F E001-00001138</v>
          </cell>
        </row>
        <row r="181">
          <cell r="E181" t="str">
            <v>F201-00012170</v>
          </cell>
          <cell r="F181">
            <v>0</v>
          </cell>
          <cell r="H181" t="str">
            <v>LA CROSSARIOLE S.A.C.</v>
          </cell>
          <cell r="I181">
            <v>45871</v>
          </cell>
          <cell r="J181">
            <v>45871</v>
          </cell>
          <cell r="K181">
            <v>45871</v>
          </cell>
          <cell r="N181" t="str">
            <v>F201-00012170</v>
          </cell>
          <cell r="P181" t="str">
            <v>COLABORATIVA S.A.C.</v>
          </cell>
          <cell r="Q181">
            <v>-61</v>
          </cell>
          <cell r="S181">
            <v>-61</v>
          </cell>
          <cell r="T181">
            <v>-61</v>
          </cell>
          <cell r="V181" t="str">
            <v>PEN</v>
          </cell>
          <cell r="W181" t="b">
            <v>0</v>
          </cell>
          <cell r="X181" t="str">
            <v>Pagado</v>
          </cell>
          <cell r="AB181" t="str">
            <v>Registrado</v>
          </cell>
          <cell r="AN181">
            <v>45871</v>
          </cell>
          <cell r="AO181" t="e">
            <v>#N/A</v>
          </cell>
          <cell r="AP181" t="str">
            <v>FXP/2025/10/0070</v>
          </cell>
        </row>
        <row r="182">
          <cell r="E182" t="str">
            <v>F F001-00004435</v>
          </cell>
          <cell r="F182">
            <v>0</v>
          </cell>
          <cell r="H182" t="str">
            <v>MATUTE DIAZ VASTI VANESA</v>
          </cell>
          <cell r="I182">
            <v>45871</v>
          </cell>
          <cell r="J182">
            <v>45871</v>
          </cell>
          <cell r="K182">
            <v>45896</v>
          </cell>
          <cell r="P182" t="str">
            <v>COLABORATIVA S.A.C.</v>
          </cell>
          <cell r="Q182">
            <v>-112.71</v>
          </cell>
          <cell r="R182">
            <v>-20.29</v>
          </cell>
          <cell r="S182">
            <v>-133</v>
          </cell>
          <cell r="T182">
            <v>-133</v>
          </cell>
          <cell r="V182" t="str">
            <v>PEN</v>
          </cell>
          <cell r="W182" t="b">
            <v>0</v>
          </cell>
          <cell r="X182" t="str">
            <v>Pagado</v>
          </cell>
          <cell r="AB182" t="str">
            <v>Registrado</v>
          </cell>
          <cell r="AN182">
            <v>45871</v>
          </cell>
          <cell r="AO182" t="e">
            <v>#N/A</v>
          </cell>
          <cell r="AP182" t="str">
            <v>F F001-00004435</v>
          </cell>
        </row>
        <row r="183">
          <cell r="E183" t="str">
            <v>F FE28-00009926</v>
          </cell>
          <cell r="F183">
            <v>0</v>
          </cell>
          <cell r="H183" t="str">
            <v>Verisure Peru SAC</v>
          </cell>
          <cell r="I183">
            <v>45870</v>
          </cell>
          <cell r="J183">
            <v>45870</v>
          </cell>
          <cell r="K183">
            <v>45870</v>
          </cell>
          <cell r="L183" t="str">
            <v>P00133</v>
          </cell>
          <cell r="P183" t="str">
            <v>COLABORATIVA S.A.C.</v>
          </cell>
          <cell r="Q183">
            <v>-261.75</v>
          </cell>
          <cell r="S183">
            <v>-261.75</v>
          </cell>
          <cell r="T183">
            <v>-261.75</v>
          </cell>
          <cell r="V183" t="str">
            <v>PEN</v>
          </cell>
          <cell r="W183" t="b">
            <v>0</v>
          </cell>
          <cell r="X183" t="str">
            <v>Pagado</v>
          </cell>
          <cell r="AB183" t="str">
            <v>Registrado</v>
          </cell>
          <cell r="AN183">
            <v>45870</v>
          </cell>
          <cell r="AO183" t="e">
            <v>#N/A</v>
          </cell>
          <cell r="AP183" t="str">
            <v>F FE28-00009926</v>
          </cell>
        </row>
        <row r="184">
          <cell r="E184" t="str">
            <v>F F101-00014405</v>
          </cell>
          <cell r="F184">
            <v>0</v>
          </cell>
          <cell r="H184" t="str">
            <v>L &amp; R TURISMO Y COMERCIO SAC</v>
          </cell>
          <cell r="I184">
            <v>45870</v>
          </cell>
          <cell r="J184">
            <v>45870</v>
          </cell>
          <cell r="K184">
            <v>45890</v>
          </cell>
          <cell r="L184" t="str">
            <v>P00123</v>
          </cell>
          <cell r="P184" t="str">
            <v>COLABORATIVA S.A.C.</v>
          </cell>
          <cell r="Q184">
            <v>-355.93</v>
          </cell>
          <cell r="R184">
            <v>-64.069999999999993</v>
          </cell>
          <cell r="S184">
            <v>-420</v>
          </cell>
          <cell r="T184">
            <v>-420</v>
          </cell>
          <cell r="V184" t="str">
            <v>PEN</v>
          </cell>
          <cell r="W184" t="b">
            <v>0</v>
          </cell>
          <cell r="X184" t="str">
            <v>Pagado</v>
          </cell>
          <cell r="AB184" t="str">
            <v>Registrado</v>
          </cell>
          <cell r="AN184">
            <v>45870</v>
          </cell>
          <cell r="AO184" t="e">
            <v>#N/A</v>
          </cell>
          <cell r="AP184" t="str">
            <v>F F101-00014405</v>
          </cell>
        </row>
        <row r="185">
          <cell r="E185" t="str">
            <v>F F003-0001115</v>
          </cell>
          <cell r="F185">
            <v>0</v>
          </cell>
          <cell r="H185" t="str">
            <v>EVIDENT S.A - Ruc: 20389601137</v>
          </cell>
          <cell r="I185">
            <v>45870</v>
          </cell>
          <cell r="J185">
            <v>45870</v>
          </cell>
          <cell r="K185">
            <v>45870</v>
          </cell>
          <cell r="L185" t="str">
            <v>P00120</v>
          </cell>
          <cell r="P185" t="str">
            <v>COLABORATIVA S.A.C.</v>
          </cell>
          <cell r="Q185">
            <v>-124</v>
          </cell>
          <cell r="R185">
            <v>-22.32</v>
          </cell>
          <cell r="S185">
            <v>-146.32</v>
          </cell>
          <cell r="T185">
            <v>-146.32</v>
          </cell>
          <cell r="V185" t="str">
            <v>PEN</v>
          </cell>
          <cell r="W185" t="b">
            <v>0</v>
          </cell>
          <cell r="X185" t="str">
            <v>Pagado</v>
          </cell>
          <cell r="AB185" t="str">
            <v>Registrado</v>
          </cell>
          <cell r="AN185">
            <v>45870</v>
          </cell>
          <cell r="AO185" t="e">
            <v>#N/A</v>
          </cell>
          <cell r="AP185" t="str">
            <v>F F003 - 0001115</v>
          </cell>
        </row>
        <row r="186">
          <cell r="E186" t="str">
            <v>F F001-00024991</v>
          </cell>
          <cell r="F186">
            <v>0</v>
          </cell>
          <cell r="H186" t="str">
            <v>TECNOLOGIA FLEXOGRAFICA S.A.C - TECFLEX</v>
          </cell>
          <cell r="I186">
            <v>45870</v>
          </cell>
          <cell r="J186">
            <v>45870</v>
          </cell>
          <cell r="K186">
            <v>45870</v>
          </cell>
          <cell r="L186" t="str">
            <v>P00119</v>
          </cell>
          <cell r="P186" t="str">
            <v>COLABORATIVA S.A.C.</v>
          </cell>
          <cell r="Q186">
            <v>-2261.8000000000002</v>
          </cell>
          <cell r="R186">
            <v>-407.12</v>
          </cell>
          <cell r="S186">
            <v>-2668.92</v>
          </cell>
          <cell r="T186">
            <v>-2668.92</v>
          </cell>
          <cell r="V186" t="str">
            <v>PEN</v>
          </cell>
          <cell r="W186" t="b">
            <v>0</v>
          </cell>
          <cell r="X186" t="str">
            <v>Pagado</v>
          </cell>
          <cell r="AB186" t="str">
            <v>Registrado</v>
          </cell>
          <cell r="AN186">
            <v>45870</v>
          </cell>
          <cell r="AO186" t="e">
            <v>#N/A</v>
          </cell>
          <cell r="AP186" t="str">
            <v>F F001-00024991</v>
          </cell>
        </row>
        <row r="187">
          <cell r="E187" t="str">
            <v>F E001-00000437</v>
          </cell>
          <cell r="F187">
            <v>0</v>
          </cell>
          <cell r="H187" t="str">
            <v>JL ELECTRICIDAD S.A.C.</v>
          </cell>
          <cell r="I187">
            <v>45870</v>
          </cell>
          <cell r="J187">
            <v>45870</v>
          </cell>
          <cell r="K187">
            <v>45876</v>
          </cell>
          <cell r="L187" t="str">
            <v>P00128</v>
          </cell>
          <cell r="P187" t="str">
            <v>COLABORATIVA S.A.C.</v>
          </cell>
          <cell r="Q187">
            <v>-310</v>
          </cell>
          <cell r="R187">
            <v>-55.8</v>
          </cell>
          <cell r="S187">
            <v>-365.8</v>
          </cell>
          <cell r="T187">
            <v>-365.8</v>
          </cell>
          <cell r="V187" t="str">
            <v>PEN</v>
          </cell>
          <cell r="W187" t="b">
            <v>0</v>
          </cell>
          <cell r="X187" t="str">
            <v>Pagado</v>
          </cell>
          <cell r="AB187" t="str">
            <v>Registrado</v>
          </cell>
          <cell r="AN187">
            <v>45870</v>
          </cell>
          <cell r="AO187" t="e">
            <v>#N/A</v>
          </cell>
          <cell r="AP187" t="str">
            <v>F E001-00000437</v>
          </cell>
        </row>
        <row r="188">
          <cell r="E188" t="str">
            <v>BLAHWUJ-5448205</v>
          </cell>
          <cell r="F188">
            <v>0</v>
          </cell>
          <cell r="H188" t="str">
            <v>LATAM AIRLINES PERU S.A.</v>
          </cell>
          <cell r="I188">
            <v>45870</v>
          </cell>
          <cell r="J188">
            <v>45870</v>
          </cell>
          <cell r="K188">
            <v>45890</v>
          </cell>
          <cell r="L188" t="str">
            <v>P00126</v>
          </cell>
          <cell r="P188" t="str">
            <v>COLABORATIVA S.A.C.</v>
          </cell>
          <cell r="Q188">
            <v>-519.92999999999995</v>
          </cell>
          <cell r="R188">
            <v>-93.59</v>
          </cell>
          <cell r="S188">
            <v>-613.52</v>
          </cell>
          <cell r="T188">
            <v>-613.52</v>
          </cell>
          <cell r="V188" t="str">
            <v>PEN</v>
          </cell>
          <cell r="W188" t="b">
            <v>0</v>
          </cell>
          <cell r="X188" t="str">
            <v>Pagado</v>
          </cell>
          <cell r="AB188" t="str">
            <v>Registrado</v>
          </cell>
          <cell r="AN188">
            <v>45870</v>
          </cell>
          <cell r="AO188" t="e">
            <v>#N/A</v>
          </cell>
          <cell r="AP188" t="str">
            <v>B LA5448205HWUJ</v>
          </cell>
        </row>
        <row r="189">
          <cell r="E189" t="str">
            <v>BLAAHNZ-5447857</v>
          </cell>
          <cell r="F189">
            <v>0</v>
          </cell>
          <cell r="H189" t="str">
            <v>LATAM AIRLINES PERU S.A.</v>
          </cell>
          <cell r="I189">
            <v>45870</v>
          </cell>
          <cell r="J189">
            <v>45870</v>
          </cell>
          <cell r="K189">
            <v>45890</v>
          </cell>
          <cell r="L189" t="str">
            <v>P00125</v>
          </cell>
          <cell r="P189" t="str">
            <v>COLABORATIVA S.A.C.</v>
          </cell>
          <cell r="Q189">
            <v>-576.57000000000005</v>
          </cell>
          <cell r="R189">
            <v>-103.78</v>
          </cell>
          <cell r="S189">
            <v>-680.35</v>
          </cell>
          <cell r="T189">
            <v>-680.35</v>
          </cell>
          <cell r="U189">
            <v>-680.35</v>
          </cell>
          <cell r="V189" t="str">
            <v>PEN</v>
          </cell>
          <cell r="W189" t="b">
            <v>0</v>
          </cell>
          <cell r="X189" t="str">
            <v>Sin pagar</v>
          </cell>
          <cell r="AB189" t="str">
            <v>Registrado</v>
          </cell>
          <cell r="AN189">
            <v>45870</v>
          </cell>
          <cell r="AO189" t="e">
            <v>#N/A</v>
          </cell>
          <cell r="AP189" t="str">
            <v>B LA5447857AHNZ</v>
          </cell>
        </row>
        <row r="190">
          <cell r="E190" t="str">
            <v>R E001-44</v>
          </cell>
          <cell r="F190">
            <v>0</v>
          </cell>
          <cell r="H190" t="str">
            <v>GARRIDO ROJAS GREGORY OMAR</v>
          </cell>
          <cell r="I190">
            <v>45869</v>
          </cell>
          <cell r="J190">
            <v>45869</v>
          </cell>
          <cell r="K190">
            <v>45869</v>
          </cell>
          <cell r="L190" t="str">
            <v>P00129</v>
          </cell>
          <cell r="P190" t="str">
            <v>COLABORATIVA S.A.C.</v>
          </cell>
          <cell r="Q190">
            <v>-150</v>
          </cell>
          <cell r="S190">
            <v>-150</v>
          </cell>
          <cell r="T190">
            <v>-150</v>
          </cell>
          <cell r="V190" t="str">
            <v>PEN</v>
          </cell>
          <cell r="W190" t="b">
            <v>0</v>
          </cell>
          <cell r="X190" t="str">
            <v>Pagado</v>
          </cell>
          <cell r="AB190" t="str">
            <v>Registrado</v>
          </cell>
          <cell r="AN190">
            <v>45869</v>
          </cell>
          <cell r="AO190" t="e">
            <v>#N/A</v>
          </cell>
          <cell r="AP190" t="str">
            <v>R E001-44</v>
          </cell>
        </row>
        <row r="191">
          <cell r="E191" t="str">
            <v>RE-00158</v>
          </cell>
          <cell r="F191">
            <v>0</v>
          </cell>
          <cell r="H191" t="str">
            <v>VASQUEZ SANTILLAN ETTY JHOSELLING</v>
          </cell>
          <cell r="I191">
            <v>45869</v>
          </cell>
          <cell r="J191">
            <v>45869</v>
          </cell>
          <cell r="K191">
            <v>45871</v>
          </cell>
          <cell r="L191" t="str">
            <v>P00135</v>
          </cell>
          <cell r="P191" t="str">
            <v>COLABORATIVA S.A.C.</v>
          </cell>
          <cell r="Q191">
            <v>-565</v>
          </cell>
          <cell r="S191">
            <v>-565</v>
          </cell>
          <cell r="T191">
            <v>-565</v>
          </cell>
          <cell r="V191" t="str">
            <v>PEN</v>
          </cell>
          <cell r="W191" t="b">
            <v>0</v>
          </cell>
          <cell r="X191" t="str">
            <v>Pagado</v>
          </cell>
          <cell r="AB191" t="str">
            <v>Registrado</v>
          </cell>
          <cell r="AN191">
            <v>45869</v>
          </cell>
          <cell r="AO191" t="e">
            <v>#N/A</v>
          </cell>
          <cell r="AP191" t="str">
            <v>R E001 58</v>
          </cell>
        </row>
        <row r="192">
          <cell r="E192" t="str">
            <v>F907-00030714</v>
          </cell>
          <cell r="F192">
            <v>0</v>
          </cell>
          <cell r="H192" t="str">
            <v>Repsol Comercial S.A.C.</v>
          </cell>
          <cell r="I192">
            <v>45841</v>
          </cell>
          <cell r="J192">
            <v>45869</v>
          </cell>
          <cell r="K192">
            <v>45841</v>
          </cell>
          <cell r="P192" t="str">
            <v>COLABORATIVA S.A.C.</v>
          </cell>
          <cell r="Q192">
            <v>-250.03</v>
          </cell>
          <cell r="S192">
            <v>-250.03</v>
          </cell>
          <cell r="T192">
            <v>-250.03</v>
          </cell>
          <cell r="V192" t="str">
            <v>PEN</v>
          </cell>
          <cell r="W192" t="b">
            <v>0</v>
          </cell>
          <cell r="X192" t="str">
            <v>Pagado</v>
          </cell>
          <cell r="AB192" t="str">
            <v>Registrado</v>
          </cell>
          <cell r="AN192">
            <v>45841</v>
          </cell>
          <cell r="AO192" t="e">
            <v>#N/A</v>
          </cell>
          <cell r="AP192" t="str">
            <v>FXP/2025/10/0060</v>
          </cell>
        </row>
        <row r="193">
          <cell r="E193" t="str">
            <v>F FF01-00041462</v>
          </cell>
          <cell r="F193">
            <v>0</v>
          </cell>
          <cell r="H193" t="str">
            <v>ORBIS VENTURES S.A.C</v>
          </cell>
          <cell r="I193">
            <v>45869</v>
          </cell>
          <cell r="J193">
            <v>45869</v>
          </cell>
          <cell r="K193">
            <v>45873</v>
          </cell>
          <cell r="L193" t="str">
            <v>P00144</v>
          </cell>
          <cell r="P193" t="str">
            <v>COLABORATIVA S.A.C.</v>
          </cell>
          <cell r="Q193">
            <v>-9627.19</v>
          </cell>
          <cell r="S193">
            <v>-9627.19</v>
          </cell>
          <cell r="T193">
            <v>-9627.19</v>
          </cell>
          <cell r="V193" t="str">
            <v>PEN</v>
          </cell>
          <cell r="W193" t="b">
            <v>0</v>
          </cell>
          <cell r="X193" t="str">
            <v>Pagado</v>
          </cell>
          <cell r="AB193" t="str">
            <v>Registrado</v>
          </cell>
          <cell r="AN193">
            <v>45869</v>
          </cell>
          <cell r="AO193" t="e">
            <v>#N/A</v>
          </cell>
          <cell r="AP193" t="str">
            <v>F FF01-00041462</v>
          </cell>
        </row>
        <row r="194">
          <cell r="E194" t="str">
            <v>F F101-00026143</v>
          </cell>
          <cell r="F194">
            <v>0</v>
          </cell>
          <cell r="H194" t="str">
            <v>INSTITUTO PACIFICO S.A.C</v>
          </cell>
          <cell r="I194">
            <v>45869</v>
          </cell>
          <cell r="J194">
            <v>45869</v>
          </cell>
          <cell r="K194">
            <v>45873</v>
          </cell>
          <cell r="L194" t="str">
            <v>P00142</v>
          </cell>
          <cell r="P194" t="str">
            <v>COLABORATIVA S.A.C.</v>
          </cell>
          <cell r="Q194">
            <v>-150</v>
          </cell>
          <cell r="S194">
            <v>-150</v>
          </cell>
          <cell r="T194">
            <v>-150</v>
          </cell>
          <cell r="V194" t="str">
            <v>PEN</v>
          </cell>
          <cell r="W194" t="b">
            <v>0</v>
          </cell>
          <cell r="X194" t="str">
            <v>Pagado</v>
          </cell>
          <cell r="AB194" t="str">
            <v>Registrado</v>
          </cell>
          <cell r="AN194">
            <v>45869</v>
          </cell>
          <cell r="AO194" t="e">
            <v>#N/A</v>
          </cell>
          <cell r="AP194" t="str">
            <v>F F101-00026143</v>
          </cell>
        </row>
        <row r="195">
          <cell r="E195" t="str">
            <v>F F001-00009250</v>
          </cell>
          <cell r="F195">
            <v>0</v>
          </cell>
          <cell r="H195" t="str">
            <v>PRECINTOS PERU E.I.R.L</v>
          </cell>
          <cell r="I195">
            <v>45869</v>
          </cell>
          <cell r="J195">
            <v>45869</v>
          </cell>
          <cell r="K195">
            <v>45869</v>
          </cell>
          <cell r="L195" t="str">
            <v>P00141</v>
          </cell>
          <cell r="P195" t="str">
            <v>COLABORATIVA S.A.C.</v>
          </cell>
          <cell r="Q195">
            <v>-6004.25</v>
          </cell>
          <cell r="R195">
            <v>-1080.75</v>
          </cell>
          <cell r="S195">
            <v>-7085</v>
          </cell>
          <cell r="T195">
            <v>-7085</v>
          </cell>
          <cell r="V195" t="str">
            <v>PEN</v>
          </cell>
          <cell r="W195" t="b">
            <v>0</v>
          </cell>
          <cell r="X195" t="str">
            <v>Pagado</v>
          </cell>
          <cell r="AB195" t="str">
            <v>Registrado</v>
          </cell>
          <cell r="AN195">
            <v>45869</v>
          </cell>
          <cell r="AO195" t="e">
            <v>#N/A</v>
          </cell>
          <cell r="AP195" t="str">
            <v>F F001-00009250</v>
          </cell>
        </row>
        <row r="196">
          <cell r="E196" t="str">
            <v>F E001-00000286</v>
          </cell>
          <cell r="F196">
            <v>0</v>
          </cell>
          <cell r="H196" t="str">
            <v>DANPRINT STUDIO (CINTHIA LISETH LOPEZ INGA)</v>
          </cell>
          <cell r="I196">
            <v>45869</v>
          </cell>
          <cell r="J196">
            <v>45869</v>
          </cell>
          <cell r="K196">
            <v>45870</v>
          </cell>
          <cell r="L196" t="str">
            <v>P00111</v>
          </cell>
          <cell r="P196" t="str">
            <v>COLABORATIVA S.A.C.</v>
          </cell>
          <cell r="Q196">
            <v>-2076.25</v>
          </cell>
          <cell r="R196">
            <v>-373.75</v>
          </cell>
          <cell r="S196">
            <v>-2450</v>
          </cell>
          <cell r="T196">
            <v>-2450</v>
          </cell>
          <cell r="V196" t="str">
            <v>PEN</v>
          </cell>
          <cell r="W196" t="b">
            <v>0</v>
          </cell>
          <cell r="X196" t="str">
            <v>Pagado</v>
          </cell>
          <cell r="AB196" t="str">
            <v>Registrado</v>
          </cell>
          <cell r="AN196">
            <v>45869</v>
          </cell>
          <cell r="AO196" t="e">
            <v>#N/A</v>
          </cell>
          <cell r="AP196" t="str">
            <v>F E001-00000286</v>
          </cell>
        </row>
        <row r="197">
          <cell r="E197" t="str">
            <v>F E001-00000097</v>
          </cell>
          <cell r="F197">
            <v>0</v>
          </cell>
          <cell r="H197" t="str">
            <v>MUÑOZ VERANO JOHN BRACKSON</v>
          </cell>
          <cell r="I197">
            <v>45869</v>
          </cell>
          <cell r="J197">
            <v>45869</v>
          </cell>
          <cell r="K197">
            <v>45869</v>
          </cell>
          <cell r="L197" t="str">
            <v>P00127</v>
          </cell>
          <cell r="P197" t="str">
            <v>COLABORATIVA S.A.C.</v>
          </cell>
          <cell r="Q197">
            <v>-3520</v>
          </cell>
          <cell r="R197">
            <v>-633.6</v>
          </cell>
          <cell r="S197">
            <v>-4153.6000000000004</v>
          </cell>
          <cell r="T197">
            <v>-4153.6000000000004</v>
          </cell>
          <cell r="V197" t="str">
            <v>PEN</v>
          </cell>
          <cell r="W197" t="b">
            <v>0</v>
          </cell>
          <cell r="X197" t="str">
            <v>Pagado</v>
          </cell>
          <cell r="AB197" t="str">
            <v>Registrado</v>
          </cell>
          <cell r="AN197">
            <v>45869</v>
          </cell>
          <cell r="AO197" t="e">
            <v>#N/A</v>
          </cell>
          <cell r="AP197" t="str">
            <v>F E001-00000097</v>
          </cell>
        </row>
        <row r="198">
          <cell r="E198" t="str">
            <v>BLATYXS-5446143</v>
          </cell>
          <cell r="F198">
            <v>0</v>
          </cell>
          <cell r="H198" t="str">
            <v>LATAM AIRLINES PERU S.A.</v>
          </cell>
          <cell r="I198">
            <v>45869</v>
          </cell>
          <cell r="J198">
            <v>45869</v>
          </cell>
          <cell r="K198">
            <v>45890</v>
          </cell>
          <cell r="L198" t="str">
            <v>P00124</v>
          </cell>
          <cell r="P198" t="str">
            <v>COLABORATIVA S.A.C.</v>
          </cell>
          <cell r="Q198">
            <v>-1186.02</v>
          </cell>
          <cell r="R198">
            <v>-213.48</v>
          </cell>
          <cell r="S198">
            <v>-1399.5</v>
          </cell>
          <cell r="T198">
            <v>-1399.5</v>
          </cell>
          <cell r="V198" t="str">
            <v>PEN</v>
          </cell>
          <cell r="W198" t="b">
            <v>0</v>
          </cell>
          <cell r="X198" t="str">
            <v>Pagado</v>
          </cell>
          <cell r="AB198" t="str">
            <v>Registrado</v>
          </cell>
          <cell r="AN198">
            <v>45869</v>
          </cell>
          <cell r="AO198" t="e">
            <v>#N/A</v>
          </cell>
          <cell r="AP198" t="str">
            <v>B LA5446143TYXS</v>
          </cell>
        </row>
        <row r="199">
          <cell r="E199" t="str">
            <v>B B100-00052538</v>
          </cell>
          <cell r="F199">
            <v>0</v>
          </cell>
          <cell r="H199" t="str">
            <v>NEGOCIOS GASTRONOMICOS SANTOS EIRL</v>
          </cell>
          <cell r="I199">
            <v>45869</v>
          </cell>
          <cell r="J199">
            <v>45869</v>
          </cell>
          <cell r="K199">
            <v>45896</v>
          </cell>
          <cell r="P199" t="str">
            <v>COLABORATIVA S.A.C.</v>
          </cell>
          <cell r="Q199">
            <v>-272.02999999999997</v>
          </cell>
          <cell r="R199">
            <v>-48.97</v>
          </cell>
          <cell r="S199">
            <v>-321</v>
          </cell>
          <cell r="T199">
            <v>-321</v>
          </cell>
          <cell r="V199" t="str">
            <v>PEN</v>
          </cell>
          <cell r="W199" t="b">
            <v>0</v>
          </cell>
          <cell r="X199" t="str">
            <v>Pagado</v>
          </cell>
          <cell r="AB199" t="str">
            <v>Registrado</v>
          </cell>
          <cell r="AN199">
            <v>45869</v>
          </cell>
          <cell r="AO199" t="e">
            <v>#N/A</v>
          </cell>
          <cell r="AP199" t="str">
            <v>B B100-00052538</v>
          </cell>
        </row>
        <row r="200">
          <cell r="E200" t="str">
            <v>F E001-00000518</v>
          </cell>
          <cell r="F200">
            <v>0</v>
          </cell>
          <cell r="H200" t="str">
            <v>CATORCE &amp; SEIS S.A.C.</v>
          </cell>
          <cell r="I200">
            <v>45868</v>
          </cell>
          <cell r="J200">
            <v>45868</v>
          </cell>
          <cell r="K200">
            <v>45868</v>
          </cell>
          <cell r="P200" t="str">
            <v>COLABORATIVA S.A.C.</v>
          </cell>
          <cell r="Q200">
            <v>-34498.81</v>
          </cell>
          <cell r="R200">
            <v>-6209.78</v>
          </cell>
          <cell r="S200">
            <v>-40708.589999999997</v>
          </cell>
          <cell r="T200">
            <v>-40708.589999999997</v>
          </cell>
          <cell r="V200" t="str">
            <v>PEN</v>
          </cell>
          <cell r="W200" t="b">
            <v>0</v>
          </cell>
          <cell r="X200" t="str">
            <v>Pagado</v>
          </cell>
          <cell r="AB200" t="str">
            <v>Registrado</v>
          </cell>
          <cell r="AN200">
            <v>45868</v>
          </cell>
          <cell r="AO200" t="e">
            <v>#N/A</v>
          </cell>
          <cell r="AP200" t="str">
            <v>F E001-00000518</v>
          </cell>
        </row>
        <row r="201">
          <cell r="E201" t="str">
            <v>F E001-00000097</v>
          </cell>
          <cell r="F201">
            <v>0</v>
          </cell>
          <cell r="H201" t="str">
            <v>GRUPO MAUVE E.I.R.L</v>
          </cell>
          <cell r="I201">
            <v>45868</v>
          </cell>
          <cell r="J201">
            <v>45868</v>
          </cell>
          <cell r="K201">
            <v>45869</v>
          </cell>
          <cell r="L201" t="str">
            <v>P00114</v>
          </cell>
          <cell r="P201" t="str">
            <v>COLABORATIVA S.A.C.</v>
          </cell>
          <cell r="Q201">
            <v>-593.22</v>
          </cell>
          <cell r="R201">
            <v>-106.78</v>
          </cell>
          <cell r="S201">
            <v>-700</v>
          </cell>
          <cell r="T201">
            <v>-700</v>
          </cell>
          <cell r="V201" t="str">
            <v>PEN</v>
          </cell>
          <cell r="W201" t="b">
            <v>0</v>
          </cell>
          <cell r="X201" t="str">
            <v>Pagado</v>
          </cell>
          <cell r="AB201" t="str">
            <v>Registrado</v>
          </cell>
          <cell r="AN201">
            <v>45868</v>
          </cell>
          <cell r="AO201" t="e">
            <v>#N/A</v>
          </cell>
          <cell r="AP201" t="str">
            <v>F E001-00000097</v>
          </cell>
        </row>
        <row r="202">
          <cell r="E202" t="str">
            <v>F E001-00000017</v>
          </cell>
          <cell r="F202">
            <v>0</v>
          </cell>
          <cell r="H202" t="str">
            <v>UPWARDS STUDIO S.A.C.</v>
          </cell>
          <cell r="I202">
            <v>45868</v>
          </cell>
          <cell r="J202">
            <v>45868</v>
          </cell>
          <cell r="K202">
            <v>45871</v>
          </cell>
          <cell r="L202" t="str">
            <v>P00134</v>
          </cell>
          <cell r="P202" t="str">
            <v>COLABORATIVA S.A.C.</v>
          </cell>
          <cell r="Q202">
            <v>-390</v>
          </cell>
          <cell r="R202">
            <v>-70.2</v>
          </cell>
          <cell r="S202">
            <v>-460.2</v>
          </cell>
          <cell r="T202">
            <v>-460.2</v>
          </cell>
          <cell r="V202" t="str">
            <v>PEN</v>
          </cell>
          <cell r="W202" t="b">
            <v>0</v>
          </cell>
          <cell r="X202" t="str">
            <v>Pagado</v>
          </cell>
          <cell r="AB202" t="str">
            <v>Registrado</v>
          </cell>
          <cell r="AN202">
            <v>45868</v>
          </cell>
          <cell r="AO202" t="e">
            <v>#N/A</v>
          </cell>
          <cell r="AP202" t="str">
            <v>F E001-00000017</v>
          </cell>
        </row>
        <row r="203">
          <cell r="E203" t="str">
            <v>F F008-00006896</v>
          </cell>
          <cell r="F203">
            <v>0</v>
          </cell>
          <cell r="H203" t="str">
            <v>COCINA TRUJILLANA SAC</v>
          </cell>
          <cell r="I203">
            <v>45866</v>
          </cell>
          <cell r="J203">
            <v>45866</v>
          </cell>
          <cell r="K203">
            <v>45896</v>
          </cell>
          <cell r="P203" t="str">
            <v>COLABORATIVA S.A.C.</v>
          </cell>
          <cell r="Q203">
            <v>-261.86</v>
          </cell>
          <cell r="R203">
            <v>-47.14</v>
          </cell>
          <cell r="S203">
            <v>-309</v>
          </cell>
          <cell r="T203">
            <v>-309</v>
          </cell>
          <cell r="V203" t="str">
            <v>PEN</v>
          </cell>
          <cell r="W203" t="b">
            <v>0</v>
          </cell>
          <cell r="X203" t="str">
            <v>Pagado</v>
          </cell>
          <cell r="AB203" t="str">
            <v>Registrado</v>
          </cell>
          <cell r="AN203">
            <v>45866</v>
          </cell>
          <cell r="AO203" t="e">
            <v>#N/A</v>
          </cell>
          <cell r="AP203" t="str">
            <v>F F008-00006896</v>
          </cell>
        </row>
        <row r="204">
          <cell r="E204" t="str">
            <v>F F002-00009971</v>
          </cell>
          <cell r="F204">
            <v>0</v>
          </cell>
          <cell r="H204" t="str">
            <v>INVERSIONES BGG ORIENTE S.A.C.</v>
          </cell>
          <cell r="I204">
            <v>45866</v>
          </cell>
          <cell r="J204">
            <v>45866</v>
          </cell>
          <cell r="K204">
            <v>45896</v>
          </cell>
          <cell r="P204" t="str">
            <v>COLABORATIVA S.A.C.</v>
          </cell>
          <cell r="Q204">
            <v>-211.86</v>
          </cell>
          <cell r="R204">
            <v>-38.14</v>
          </cell>
          <cell r="S204">
            <v>-250</v>
          </cell>
          <cell r="T204">
            <v>-250</v>
          </cell>
          <cell r="V204" t="str">
            <v>PEN</v>
          </cell>
          <cell r="W204" t="b">
            <v>0</v>
          </cell>
          <cell r="X204" t="str">
            <v>Pagado</v>
          </cell>
          <cell r="AB204" t="str">
            <v>Registrado</v>
          </cell>
          <cell r="AN204">
            <v>45866</v>
          </cell>
          <cell r="AO204" t="e">
            <v>#N/A</v>
          </cell>
          <cell r="AP204" t="str">
            <v>F F002-00009971</v>
          </cell>
        </row>
        <row r="205">
          <cell r="E205" t="str">
            <v>R E001-33</v>
          </cell>
          <cell r="F205">
            <v>0</v>
          </cell>
          <cell r="H205" t="str">
            <v>CARMEN CRUZ MILAGROS ZONALI</v>
          </cell>
          <cell r="I205">
            <v>45865</v>
          </cell>
          <cell r="J205">
            <v>45865</v>
          </cell>
          <cell r="K205">
            <v>45868</v>
          </cell>
          <cell r="L205" t="str">
            <v>P00118</v>
          </cell>
          <cell r="P205" t="str">
            <v>COLABORATIVA S.A.C.</v>
          </cell>
          <cell r="Q205">
            <v>-292.37</v>
          </cell>
          <cell r="R205">
            <v>-52.63</v>
          </cell>
          <cell r="S205">
            <v>-345</v>
          </cell>
          <cell r="T205">
            <v>-345</v>
          </cell>
          <cell r="V205" t="str">
            <v>PEN</v>
          </cell>
          <cell r="W205" t="b">
            <v>0</v>
          </cell>
          <cell r="X205" t="str">
            <v>Pagado</v>
          </cell>
          <cell r="AB205" t="str">
            <v>Registrado</v>
          </cell>
          <cell r="AN205">
            <v>45865</v>
          </cell>
          <cell r="AO205" t="e">
            <v>#N/A</v>
          </cell>
          <cell r="AP205" t="str">
            <v>R E001-33</v>
          </cell>
        </row>
        <row r="206">
          <cell r="E206" t="str">
            <v>F FI37-00026962</v>
          </cell>
          <cell r="F206">
            <v>0</v>
          </cell>
          <cell r="H206" t="str">
            <v>MEMORY KINGS PERU S.A.C</v>
          </cell>
          <cell r="I206">
            <v>45864</v>
          </cell>
          <cell r="J206">
            <v>45864</v>
          </cell>
          <cell r="K206">
            <v>45869</v>
          </cell>
          <cell r="L206" t="str">
            <v>P00116</v>
          </cell>
          <cell r="P206" t="str">
            <v>COLABORATIVA S.A.C.</v>
          </cell>
          <cell r="Q206">
            <v>-59.32</v>
          </cell>
          <cell r="R206">
            <v>-10.68</v>
          </cell>
          <cell r="S206">
            <v>-70</v>
          </cell>
          <cell r="T206">
            <v>-70</v>
          </cell>
          <cell r="V206" t="str">
            <v>PEN</v>
          </cell>
          <cell r="W206" t="b">
            <v>0</v>
          </cell>
          <cell r="X206" t="str">
            <v>Pagado</v>
          </cell>
          <cell r="AB206" t="str">
            <v>Registrado</v>
          </cell>
          <cell r="AN206">
            <v>45864</v>
          </cell>
          <cell r="AO206" t="e">
            <v>#N/A</v>
          </cell>
          <cell r="AP206" t="str">
            <v>F FI37-00026962</v>
          </cell>
        </row>
        <row r="207">
          <cell r="E207" t="str">
            <v>R E001-69</v>
          </cell>
          <cell r="F207">
            <v>0</v>
          </cell>
          <cell r="H207" t="str">
            <v>MARCAS TUPALAYA VICTOR ALBERTO</v>
          </cell>
          <cell r="I207">
            <v>45863</v>
          </cell>
          <cell r="J207">
            <v>45863</v>
          </cell>
          <cell r="K207">
            <v>45864</v>
          </cell>
          <cell r="L207" t="str">
            <v>P00117</v>
          </cell>
          <cell r="P207" t="str">
            <v>COLABORATIVA S.A.C.</v>
          </cell>
          <cell r="Q207">
            <v>-381.36</v>
          </cell>
          <cell r="R207">
            <v>-68.64</v>
          </cell>
          <cell r="S207">
            <v>-450</v>
          </cell>
          <cell r="T207">
            <v>-450</v>
          </cell>
          <cell r="V207" t="str">
            <v>PEN</v>
          </cell>
          <cell r="W207" t="b">
            <v>0</v>
          </cell>
          <cell r="X207" t="str">
            <v>Pagado</v>
          </cell>
          <cell r="AB207" t="str">
            <v>Registrado</v>
          </cell>
          <cell r="AN207">
            <v>45863</v>
          </cell>
          <cell r="AO207" t="e">
            <v>#N/A</v>
          </cell>
          <cell r="AP207" t="str">
            <v>R E001- 69</v>
          </cell>
        </row>
        <row r="208">
          <cell r="E208" t="str">
            <v>R SB01-0557237787</v>
          </cell>
          <cell r="F208">
            <v>0</v>
          </cell>
          <cell r="H208" t="str">
            <v>America Móvil Perú S.A.C.</v>
          </cell>
          <cell r="I208">
            <v>45862</v>
          </cell>
          <cell r="J208">
            <v>45862</v>
          </cell>
          <cell r="K208">
            <v>45873</v>
          </cell>
          <cell r="L208" t="str">
            <v>P00139</v>
          </cell>
          <cell r="P208" t="str">
            <v>COLABORATIVA S.A.C.</v>
          </cell>
          <cell r="Q208">
            <v>-23.69</v>
          </cell>
          <cell r="R208">
            <v>-4.26</v>
          </cell>
          <cell r="S208">
            <v>-27.95</v>
          </cell>
          <cell r="T208">
            <v>-27.95</v>
          </cell>
          <cell r="V208" t="str">
            <v>PEN</v>
          </cell>
          <cell r="W208" t="b">
            <v>0</v>
          </cell>
          <cell r="X208" t="str">
            <v>Pagado</v>
          </cell>
          <cell r="AB208" t="str">
            <v>Registrado</v>
          </cell>
          <cell r="AN208">
            <v>45862</v>
          </cell>
          <cell r="AO208" t="e">
            <v>#N/A</v>
          </cell>
          <cell r="AP208" t="str">
            <v>R SB01-0557237787</v>
          </cell>
        </row>
        <row r="209">
          <cell r="E209" t="str">
            <v>R SB01-0557184643</v>
          </cell>
          <cell r="F209">
            <v>0</v>
          </cell>
          <cell r="H209" t="str">
            <v>America Móvil Perú S.A.C.</v>
          </cell>
          <cell r="I209">
            <v>45862</v>
          </cell>
          <cell r="J209">
            <v>45862</v>
          </cell>
          <cell r="K209">
            <v>45873</v>
          </cell>
          <cell r="L209" t="str">
            <v>P00138</v>
          </cell>
          <cell r="P209" t="str">
            <v>COLABORATIVA S.A.C.</v>
          </cell>
          <cell r="Q209">
            <v>-47.37</v>
          </cell>
          <cell r="R209">
            <v>-8.5299999999999994</v>
          </cell>
          <cell r="S209">
            <v>-55.9</v>
          </cell>
          <cell r="T209">
            <v>-55.9</v>
          </cell>
          <cell r="V209" t="str">
            <v>PEN</v>
          </cell>
          <cell r="W209" t="b">
            <v>0</v>
          </cell>
          <cell r="X209" t="str">
            <v>Pagado</v>
          </cell>
          <cell r="AB209" t="str">
            <v>Registrado</v>
          </cell>
          <cell r="AN209">
            <v>45862</v>
          </cell>
          <cell r="AO209" t="e">
            <v>#N/A</v>
          </cell>
          <cell r="AP209" t="str">
            <v>R SB01-0557184643</v>
          </cell>
        </row>
        <row r="210">
          <cell r="E210" t="str">
            <v>R SB01-0557184229</v>
          </cell>
          <cell r="F210">
            <v>0</v>
          </cell>
          <cell r="H210" t="str">
            <v>America Móvil Perú S.A.C.</v>
          </cell>
          <cell r="I210">
            <v>45862</v>
          </cell>
          <cell r="J210">
            <v>45862</v>
          </cell>
          <cell r="K210">
            <v>45873</v>
          </cell>
          <cell r="L210" t="str">
            <v>P00137</v>
          </cell>
          <cell r="P210" t="str">
            <v>COLABORATIVA S.A.C.</v>
          </cell>
          <cell r="Q210">
            <v>-25.33</v>
          </cell>
          <cell r="R210">
            <v>-4.5599999999999996</v>
          </cell>
          <cell r="S210">
            <v>-29.89</v>
          </cell>
          <cell r="T210">
            <v>-29.89</v>
          </cell>
          <cell r="V210" t="str">
            <v>PEN</v>
          </cell>
          <cell r="W210" t="b">
            <v>0</v>
          </cell>
          <cell r="X210" t="str">
            <v>Pagado</v>
          </cell>
          <cell r="AB210" t="str">
            <v>Registrado</v>
          </cell>
          <cell r="AN210">
            <v>45862</v>
          </cell>
          <cell r="AO210" t="e">
            <v>#N/A</v>
          </cell>
          <cell r="AP210" t="str">
            <v>R SB01-0557184229</v>
          </cell>
        </row>
        <row r="211">
          <cell r="E211" t="str">
            <v>F FRE1-00004528</v>
          </cell>
          <cell r="F211">
            <v>0</v>
          </cell>
          <cell r="H211" t="str">
            <v>RASH PERU S.R.L</v>
          </cell>
          <cell r="I211">
            <v>45862</v>
          </cell>
          <cell r="J211">
            <v>45862</v>
          </cell>
          <cell r="K211">
            <v>45862</v>
          </cell>
          <cell r="L211" t="str">
            <v>P00115</v>
          </cell>
          <cell r="P211" t="str">
            <v>COLABORATIVA S.A.C.</v>
          </cell>
          <cell r="Q211">
            <v>-644.75</v>
          </cell>
          <cell r="R211">
            <v>-116.05</v>
          </cell>
          <cell r="S211">
            <v>-760.8</v>
          </cell>
          <cell r="T211">
            <v>-760.8</v>
          </cell>
          <cell r="V211" t="str">
            <v>PEN</v>
          </cell>
          <cell r="W211" t="b">
            <v>0</v>
          </cell>
          <cell r="X211" t="str">
            <v>Pagado</v>
          </cell>
          <cell r="AB211" t="str">
            <v>Registrado</v>
          </cell>
          <cell r="AN211">
            <v>45862</v>
          </cell>
          <cell r="AO211" t="e">
            <v>#N/A</v>
          </cell>
          <cell r="AP211" t="str">
            <v>F FRE1-00004528</v>
          </cell>
        </row>
        <row r="212">
          <cell r="E212" t="str">
            <v>F FC03-00000218</v>
          </cell>
          <cell r="F212">
            <v>0</v>
          </cell>
          <cell r="H212" t="str">
            <v>TODA TECNOLOGIA PERU S.A.C.</v>
          </cell>
          <cell r="I212">
            <v>45862</v>
          </cell>
          <cell r="J212">
            <v>45862</v>
          </cell>
          <cell r="K212">
            <v>45869</v>
          </cell>
          <cell r="L212" t="str">
            <v>P00113</v>
          </cell>
          <cell r="P212" t="str">
            <v>COLABORATIVA S.A.C.</v>
          </cell>
          <cell r="Q212">
            <v>-58.47</v>
          </cell>
          <cell r="R212">
            <v>-10.53</v>
          </cell>
          <cell r="S212">
            <v>-69</v>
          </cell>
          <cell r="T212">
            <v>-69</v>
          </cell>
          <cell r="V212" t="str">
            <v>PEN</v>
          </cell>
          <cell r="W212" t="b">
            <v>0</v>
          </cell>
          <cell r="X212" t="str">
            <v>Pagado</v>
          </cell>
          <cell r="AB212" t="str">
            <v>Registrado</v>
          </cell>
          <cell r="AN212">
            <v>45862</v>
          </cell>
          <cell r="AO212" t="e">
            <v>#N/A</v>
          </cell>
          <cell r="AP212" t="str">
            <v>F FC03-00000218</v>
          </cell>
        </row>
        <row r="213">
          <cell r="E213" t="str">
            <v>FF-00200032178</v>
          </cell>
          <cell r="F213">
            <v>0</v>
          </cell>
          <cell r="H213" t="str">
            <v>FLINK S.A.C.</v>
          </cell>
          <cell r="I213">
            <v>45862</v>
          </cell>
          <cell r="J213">
            <v>45862</v>
          </cell>
          <cell r="K213">
            <v>45877</v>
          </cell>
          <cell r="L213" t="str">
            <v>P00143</v>
          </cell>
          <cell r="P213" t="str">
            <v>COLABORATIVA S.A.C.</v>
          </cell>
          <cell r="Q213">
            <v>-2415.25</v>
          </cell>
          <cell r="R213">
            <v>-434.75</v>
          </cell>
          <cell r="S213">
            <v>-2850</v>
          </cell>
          <cell r="T213">
            <v>-2850</v>
          </cell>
          <cell r="V213" t="str">
            <v>PEN</v>
          </cell>
          <cell r="W213" t="b">
            <v>0</v>
          </cell>
          <cell r="X213" t="str">
            <v>Pagado</v>
          </cell>
          <cell r="AB213" t="str">
            <v>Registrado</v>
          </cell>
          <cell r="AN213">
            <v>45862</v>
          </cell>
          <cell r="AO213" t="e">
            <v>#N/A</v>
          </cell>
          <cell r="AP213" t="str">
            <v>F F002 00032178</v>
          </cell>
        </row>
        <row r="214">
          <cell r="E214" t="str">
            <v>R S106-0011552637</v>
          </cell>
          <cell r="F214">
            <v>0</v>
          </cell>
          <cell r="H214" t="str">
            <v>SERVICIO DE AGUA POTABLE Y ALCANTARILLADO DE LIMA</v>
          </cell>
          <cell r="I214">
            <v>45860</v>
          </cell>
          <cell r="J214">
            <v>45860</v>
          </cell>
          <cell r="K214">
            <v>45869</v>
          </cell>
          <cell r="L214" t="str">
            <v>P00122</v>
          </cell>
          <cell r="P214" t="str">
            <v>COLABORATIVA S.A.C.</v>
          </cell>
          <cell r="Q214">
            <v>-6.27</v>
          </cell>
          <cell r="R214">
            <v>-1.1299999999999999</v>
          </cell>
          <cell r="S214">
            <v>-7.4</v>
          </cell>
          <cell r="T214">
            <v>-7.4</v>
          </cell>
          <cell r="V214" t="str">
            <v>PEN</v>
          </cell>
          <cell r="W214" t="b">
            <v>0</v>
          </cell>
          <cell r="X214" t="str">
            <v>Pagado</v>
          </cell>
          <cell r="AB214" t="str">
            <v>Registrado</v>
          </cell>
          <cell r="AN214">
            <v>45860</v>
          </cell>
          <cell r="AO214" t="e">
            <v>#N/A</v>
          </cell>
          <cell r="AP214" t="str">
            <v>R S106-0011552637</v>
          </cell>
        </row>
        <row r="215">
          <cell r="E215" t="str">
            <v>RE-00142</v>
          </cell>
          <cell r="F215">
            <v>0</v>
          </cell>
          <cell r="H215" t="str">
            <v>GARRIDO ROJAS GREGORY OMAR</v>
          </cell>
          <cell r="I215">
            <v>45860</v>
          </cell>
          <cell r="J215">
            <v>45860</v>
          </cell>
          <cell r="K215">
            <v>45860</v>
          </cell>
          <cell r="L215" t="str">
            <v>P00112</v>
          </cell>
          <cell r="P215" t="str">
            <v>COLABORATIVA S.A.C.</v>
          </cell>
          <cell r="Q215">
            <v>-100</v>
          </cell>
          <cell r="S215">
            <v>-100</v>
          </cell>
          <cell r="T215">
            <v>-100</v>
          </cell>
          <cell r="V215" t="str">
            <v>PEN</v>
          </cell>
          <cell r="W215" t="b">
            <v>0</v>
          </cell>
          <cell r="X215" t="str">
            <v>Pagado</v>
          </cell>
          <cell r="AB215" t="str">
            <v>Registrado</v>
          </cell>
          <cell r="AN215">
            <v>45860</v>
          </cell>
          <cell r="AO215" t="e">
            <v>#N/A</v>
          </cell>
          <cell r="AP215" t="str">
            <v>R E001 42</v>
          </cell>
        </row>
        <row r="216">
          <cell r="E216" t="str">
            <v>F E001-00000277</v>
          </cell>
          <cell r="F216">
            <v>0</v>
          </cell>
          <cell r="H216" t="str">
            <v>JEMKA &amp; ASOCIADOS S.A.C.</v>
          </cell>
          <cell r="I216">
            <v>45860</v>
          </cell>
          <cell r="J216">
            <v>45860</v>
          </cell>
          <cell r="K216">
            <v>45869</v>
          </cell>
          <cell r="L216" t="str">
            <v>P00130</v>
          </cell>
          <cell r="P216" t="str">
            <v>COLABORATIVA S.A.C.</v>
          </cell>
          <cell r="Q216">
            <v>-1500</v>
          </cell>
          <cell r="R216">
            <v>-270</v>
          </cell>
          <cell r="S216">
            <v>-1770</v>
          </cell>
          <cell r="T216">
            <v>-1770</v>
          </cell>
          <cell r="V216" t="str">
            <v>PEN</v>
          </cell>
          <cell r="W216" t="b">
            <v>0</v>
          </cell>
          <cell r="X216" t="str">
            <v>Pagado</v>
          </cell>
          <cell r="AB216" t="str">
            <v>Registrado</v>
          </cell>
          <cell r="AN216">
            <v>45860</v>
          </cell>
          <cell r="AO216" t="e">
            <v>#N/A</v>
          </cell>
          <cell r="AP216" t="str">
            <v>F E001-00000277</v>
          </cell>
        </row>
        <row r="217">
          <cell r="E217" t="str">
            <v>F F004-01090808</v>
          </cell>
          <cell r="F217">
            <v>0</v>
          </cell>
          <cell r="H217" t="str">
            <v>DIMERC PERU S.A.C.</v>
          </cell>
          <cell r="I217">
            <v>45859</v>
          </cell>
          <cell r="J217">
            <v>45859</v>
          </cell>
          <cell r="K217">
            <v>45870</v>
          </cell>
          <cell r="L217" t="str">
            <v>P00101</v>
          </cell>
          <cell r="P217" t="str">
            <v>COLABORATIVA S.A.C.</v>
          </cell>
          <cell r="Q217">
            <v>-309.63</v>
          </cell>
          <cell r="R217">
            <v>-55.7</v>
          </cell>
          <cell r="S217">
            <v>-365.33</v>
          </cell>
          <cell r="T217">
            <v>-365.33</v>
          </cell>
          <cell r="U217">
            <v>-365.33</v>
          </cell>
          <cell r="V217" t="str">
            <v>PEN</v>
          </cell>
          <cell r="W217" t="b">
            <v>0</v>
          </cell>
          <cell r="X217" t="str">
            <v>Sin pagar</v>
          </cell>
          <cell r="AB217" t="str">
            <v>Registrado</v>
          </cell>
          <cell r="AN217">
            <v>45859</v>
          </cell>
          <cell r="AO217" t="e">
            <v>#N/A</v>
          </cell>
          <cell r="AP217" t="str">
            <v>F F004-01090808</v>
          </cell>
        </row>
        <row r="218">
          <cell r="E218" t="str">
            <v>F F002-00034865</v>
          </cell>
          <cell r="F218">
            <v>0</v>
          </cell>
          <cell r="H218" t="str">
            <v>PUERTO MADERO S.A.C.</v>
          </cell>
          <cell r="I218">
            <v>45859</v>
          </cell>
          <cell r="J218">
            <v>45859</v>
          </cell>
          <cell r="K218">
            <v>45896</v>
          </cell>
          <cell r="P218" t="str">
            <v>COLABORATIVA S.A.C.</v>
          </cell>
          <cell r="Q218">
            <v>-870.59</v>
          </cell>
          <cell r="R218">
            <v>-156.71</v>
          </cell>
          <cell r="S218">
            <v>-1027.3</v>
          </cell>
          <cell r="T218">
            <v>-1027.3</v>
          </cell>
          <cell r="V218" t="str">
            <v>PEN</v>
          </cell>
          <cell r="W218" t="b">
            <v>0</v>
          </cell>
          <cell r="X218" t="str">
            <v>Pagado</v>
          </cell>
          <cell r="AB218" t="str">
            <v>Registrado</v>
          </cell>
          <cell r="AN218">
            <v>45859</v>
          </cell>
          <cell r="AO218" t="e">
            <v>#N/A</v>
          </cell>
          <cell r="AP218" t="str">
            <v>F F002-00034865</v>
          </cell>
        </row>
        <row r="219">
          <cell r="E219" t="str">
            <v>F E001-00001362</v>
          </cell>
          <cell r="F219">
            <v>0</v>
          </cell>
          <cell r="H219" t="str">
            <v>MARFIL GRANADOS BEAS ESTHER</v>
          </cell>
          <cell r="I219">
            <v>45859</v>
          </cell>
          <cell r="J219">
            <v>45859</v>
          </cell>
          <cell r="K219">
            <v>45859</v>
          </cell>
          <cell r="L219" t="str">
            <v>P00109</v>
          </cell>
          <cell r="P219" t="str">
            <v>COLABORATIVA S.A.C.</v>
          </cell>
          <cell r="Q219">
            <v>-50</v>
          </cell>
          <cell r="R219">
            <v>-9</v>
          </cell>
          <cell r="S219">
            <v>-59</v>
          </cell>
          <cell r="T219">
            <v>-59</v>
          </cell>
          <cell r="V219" t="str">
            <v>PEN</v>
          </cell>
          <cell r="W219" t="b">
            <v>0</v>
          </cell>
          <cell r="X219" t="str">
            <v>Pagado</v>
          </cell>
          <cell r="AB219" t="str">
            <v>Registrado</v>
          </cell>
          <cell r="AN219">
            <v>45859</v>
          </cell>
          <cell r="AO219" t="e">
            <v>#N/A</v>
          </cell>
          <cell r="AP219" t="str">
            <v>F E001-00001362</v>
          </cell>
        </row>
        <row r="220">
          <cell r="E220" t="str">
            <v>F E001-00000282</v>
          </cell>
          <cell r="F220">
            <v>0</v>
          </cell>
          <cell r="H220" t="str">
            <v>DANPRINT STUDIO (CINTHIA LISETH LOPEZ INGA)</v>
          </cell>
          <cell r="I220">
            <v>45859</v>
          </cell>
          <cell r="J220">
            <v>45859</v>
          </cell>
          <cell r="K220">
            <v>45859</v>
          </cell>
          <cell r="L220" t="str">
            <v>P00107</v>
          </cell>
          <cell r="P220" t="str">
            <v>COLABORATIVA S.A.C.</v>
          </cell>
          <cell r="Q220">
            <v>-279.66000000000003</v>
          </cell>
          <cell r="R220">
            <v>-50.34</v>
          </cell>
          <cell r="S220">
            <v>-330</v>
          </cell>
          <cell r="T220">
            <v>-330</v>
          </cell>
          <cell r="V220" t="str">
            <v>PEN</v>
          </cell>
          <cell r="W220" t="b">
            <v>0</v>
          </cell>
          <cell r="X220" t="str">
            <v>Pagado</v>
          </cell>
          <cell r="AB220" t="str">
            <v>Registrado</v>
          </cell>
          <cell r="AN220">
            <v>45859</v>
          </cell>
          <cell r="AO220" t="e">
            <v>#N/A</v>
          </cell>
          <cell r="AP220" t="str">
            <v>F E001-00000282</v>
          </cell>
        </row>
        <row r="221">
          <cell r="E221" t="str">
            <v>F E001-00000090</v>
          </cell>
          <cell r="F221">
            <v>0</v>
          </cell>
          <cell r="H221" t="str">
            <v>MUÑOZ VERANO JOHN BRACKSON</v>
          </cell>
          <cell r="I221">
            <v>45859</v>
          </cell>
          <cell r="J221">
            <v>45859</v>
          </cell>
          <cell r="K221">
            <v>45860</v>
          </cell>
          <cell r="P221" t="str">
            <v>COLABORATIVA S.A.C.</v>
          </cell>
          <cell r="Q221">
            <v>-240</v>
          </cell>
          <cell r="R221">
            <v>-43.2</v>
          </cell>
          <cell r="S221">
            <v>-283.2</v>
          </cell>
          <cell r="T221">
            <v>-283.2</v>
          </cell>
          <cell r="V221" t="str">
            <v>PEN</v>
          </cell>
          <cell r="W221" t="b">
            <v>0</v>
          </cell>
          <cell r="X221" t="str">
            <v>Pagado</v>
          </cell>
          <cell r="AB221" t="str">
            <v>Registrado</v>
          </cell>
          <cell r="AN221">
            <v>45859</v>
          </cell>
          <cell r="AO221" t="e">
            <v>#N/A</v>
          </cell>
          <cell r="AP221" t="str">
            <v>F E001-00000090</v>
          </cell>
        </row>
        <row r="222">
          <cell r="E222" t="str">
            <v>F E001-00000089</v>
          </cell>
          <cell r="F222">
            <v>0</v>
          </cell>
          <cell r="H222" t="str">
            <v>MUÑOZ VERANO JOHN BRACKSON</v>
          </cell>
          <cell r="I222">
            <v>45859</v>
          </cell>
          <cell r="J222">
            <v>45859</v>
          </cell>
          <cell r="K222">
            <v>45860</v>
          </cell>
          <cell r="P222" t="str">
            <v>COLABORATIVA S.A.C.</v>
          </cell>
          <cell r="Q222">
            <v>-900</v>
          </cell>
          <cell r="R222">
            <v>-162</v>
          </cell>
          <cell r="S222">
            <v>-1062</v>
          </cell>
          <cell r="T222">
            <v>-1062</v>
          </cell>
          <cell r="V222" t="str">
            <v>PEN</v>
          </cell>
          <cell r="W222" t="b">
            <v>0</v>
          </cell>
          <cell r="X222" t="str">
            <v>Pagado</v>
          </cell>
          <cell r="AB222" t="str">
            <v>Registrado</v>
          </cell>
          <cell r="AN222">
            <v>45859</v>
          </cell>
          <cell r="AO222" t="e">
            <v>#N/A</v>
          </cell>
          <cell r="AP222" t="str">
            <v>F E001-00000089</v>
          </cell>
        </row>
        <row r="223">
          <cell r="E223" t="str">
            <v>F E001-00000011</v>
          </cell>
          <cell r="F223">
            <v>0</v>
          </cell>
          <cell r="H223" t="str">
            <v>MENDOZA GUERRA FELIX ANTONIO</v>
          </cell>
          <cell r="I223">
            <v>45859</v>
          </cell>
          <cell r="J223">
            <v>45859</v>
          </cell>
          <cell r="K223">
            <v>45859</v>
          </cell>
          <cell r="P223" t="str">
            <v>COLABORATIVA S.A.C.</v>
          </cell>
          <cell r="Q223">
            <v>-500</v>
          </cell>
          <cell r="R223">
            <v>-90</v>
          </cell>
          <cell r="S223">
            <v>-590</v>
          </cell>
          <cell r="T223">
            <v>-590</v>
          </cell>
          <cell r="V223" t="str">
            <v>PEN</v>
          </cell>
          <cell r="W223" t="b">
            <v>0</v>
          </cell>
          <cell r="X223" t="str">
            <v>Pagado</v>
          </cell>
          <cell r="AB223" t="str">
            <v>Registrado</v>
          </cell>
          <cell r="AN223">
            <v>45859</v>
          </cell>
          <cell r="AO223" t="e">
            <v>#N/A</v>
          </cell>
          <cell r="AP223" t="str">
            <v>F E001-00000011</v>
          </cell>
        </row>
        <row r="224">
          <cell r="E224" t="str">
            <v>F E001-00001200</v>
          </cell>
          <cell r="F224">
            <v>0</v>
          </cell>
          <cell r="H224" t="str">
            <v>MEGA HARD INVERSIONES S.A.C.</v>
          </cell>
          <cell r="I224">
            <v>45857</v>
          </cell>
          <cell r="J224">
            <v>45857</v>
          </cell>
          <cell r="K224">
            <v>45859</v>
          </cell>
          <cell r="L224" t="str">
            <v>P00108</v>
          </cell>
          <cell r="P224" t="str">
            <v>COLABORATIVA S.A.C.</v>
          </cell>
          <cell r="Q224">
            <v>-101.69</v>
          </cell>
          <cell r="R224">
            <v>-18.309999999999999</v>
          </cell>
          <cell r="S224">
            <v>-120</v>
          </cell>
          <cell r="T224">
            <v>-120</v>
          </cell>
          <cell r="V224" t="str">
            <v>PEN</v>
          </cell>
          <cell r="W224" t="b">
            <v>0</v>
          </cell>
          <cell r="X224" t="str">
            <v>Pagado</v>
          </cell>
          <cell r="AB224" t="str">
            <v>Registrado</v>
          </cell>
          <cell r="AN224">
            <v>45857</v>
          </cell>
          <cell r="AO224" t="e">
            <v>#N/A</v>
          </cell>
          <cell r="AP224" t="str">
            <v>F E001-00001200</v>
          </cell>
        </row>
        <row r="225">
          <cell r="E225" t="str">
            <v>F F004-00025461</v>
          </cell>
          <cell r="F225">
            <v>0</v>
          </cell>
          <cell r="H225" t="str">
            <v>J &amp; V MULTIUTILES PUNTO COM S.A.C.</v>
          </cell>
          <cell r="I225">
            <v>45856</v>
          </cell>
          <cell r="J225">
            <v>45856</v>
          </cell>
          <cell r="K225">
            <v>45856</v>
          </cell>
          <cell r="L225" t="str">
            <v>P00106</v>
          </cell>
          <cell r="P225" t="str">
            <v>COLABORATIVA S.A.C.</v>
          </cell>
          <cell r="Q225">
            <v>-75.849999999999994</v>
          </cell>
          <cell r="R225">
            <v>-13.65</v>
          </cell>
          <cell r="S225">
            <v>-89.5</v>
          </cell>
          <cell r="T225">
            <v>-89.5</v>
          </cell>
          <cell r="V225" t="str">
            <v>PEN</v>
          </cell>
          <cell r="W225" t="b">
            <v>0</v>
          </cell>
          <cell r="X225" t="str">
            <v>Pagado</v>
          </cell>
          <cell r="AB225" t="str">
            <v>Registrado</v>
          </cell>
          <cell r="AN225">
            <v>45856</v>
          </cell>
          <cell r="AO225" t="e">
            <v>#N/A</v>
          </cell>
          <cell r="AP225" t="str">
            <v>F F004-00025461</v>
          </cell>
        </row>
        <row r="226">
          <cell r="E226" t="str">
            <v>F F002-00000001</v>
          </cell>
          <cell r="F226">
            <v>0</v>
          </cell>
          <cell r="H226" t="str">
            <v>BOTIFARMA PERU E.I.R.L.</v>
          </cell>
          <cell r="I226">
            <v>45856</v>
          </cell>
          <cell r="J226">
            <v>45856</v>
          </cell>
          <cell r="K226">
            <v>45856</v>
          </cell>
          <cell r="L226" t="str">
            <v>P00103</v>
          </cell>
          <cell r="P226" t="str">
            <v>COLABORATIVA S.A.C.</v>
          </cell>
          <cell r="Q226">
            <v>-145.24</v>
          </cell>
          <cell r="R226">
            <v>-26.16</v>
          </cell>
          <cell r="S226">
            <v>-171.4</v>
          </cell>
          <cell r="T226">
            <v>-171.4</v>
          </cell>
          <cell r="U226">
            <v>-171.4</v>
          </cell>
          <cell r="V226" t="str">
            <v>PEN</v>
          </cell>
          <cell r="W226" t="b">
            <v>0</v>
          </cell>
          <cell r="X226" t="str">
            <v>Sin pagar</v>
          </cell>
          <cell r="AB226" t="str">
            <v>Registrado</v>
          </cell>
          <cell r="AN226">
            <v>45856</v>
          </cell>
          <cell r="AO226" t="e">
            <v>#N/A</v>
          </cell>
          <cell r="AP226" t="str">
            <v>F F002-00000001</v>
          </cell>
        </row>
        <row r="227">
          <cell r="E227" t="str">
            <v>F F002-00032036</v>
          </cell>
          <cell r="F227">
            <v>0</v>
          </cell>
          <cell r="H227" t="str">
            <v>FLINK S.A.C.</v>
          </cell>
          <cell r="I227">
            <v>45855</v>
          </cell>
          <cell r="J227">
            <v>45855</v>
          </cell>
          <cell r="K227">
            <v>45855</v>
          </cell>
          <cell r="L227" t="str">
            <v>P00105</v>
          </cell>
          <cell r="P227" t="str">
            <v>COLABORATIVA S.A.C.</v>
          </cell>
          <cell r="Q227">
            <v>-1127.1400000000001</v>
          </cell>
          <cell r="R227">
            <v>-202.86</v>
          </cell>
          <cell r="S227">
            <v>-1330</v>
          </cell>
          <cell r="T227">
            <v>-1330</v>
          </cell>
          <cell r="V227" t="str">
            <v>PEN</v>
          </cell>
          <cell r="W227" t="b">
            <v>0</v>
          </cell>
          <cell r="X227" t="str">
            <v>Pagado</v>
          </cell>
          <cell r="AB227" t="str">
            <v>Registrado</v>
          </cell>
          <cell r="AN227">
            <v>45855</v>
          </cell>
          <cell r="AO227" t="e">
            <v>#N/A</v>
          </cell>
          <cell r="AP227" t="str">
            <v>F F002-00032036</v>
          </cell>
        </row>
        <row r="228">
          <cell r="E228" t="str">
            <v>F F001-00002033</v>
          </cell>
          <cell r="F228">
            <v>0</v>
          </cell>
          <cell r="H228" t="str">
            <v>REPRESENTACIONES ALEXIA S.A.C.</v>
          </cell>
          <cell r="I228">
            <v>45855</v>
          </cell>
          <cell r="J228">
            <v>45855</v>
          </cell>
          <cell r="K228">
            <v>45896</v>
          </cell>
          <cell r="P228" t="str">
            <v>COLABORATIVA S.A.C.</v>
          </cell>
          <cell r="Q228">
            <v>-81.36</v>
          </cell>
          <cell r="R228">
            <v>-14.64</v>
          </cell>
          <cell r="S228">
            <v>-96</v>
          </cell>
          <cell r="T228">
            <v>-96</v>
          </cell>
          <cell r="V228" t="str">
            <v>PEN</v>
          </cell>
          <cell r="W228" t="b">
            <v>0</v>
          </cell>
          <cell r="X228" t="str">
            <v>Pagado</v>
          </cell>
          <cell r="AB228" t="str">
            <v>Registrado</v>
          </cell>
          <cell r="AN228">
            <v>45855</v>
          </cell>
          <cell r="AO228" t="e">
            <v>#N/A</v>
          </cell>
          <cell r="AP228" t="str">
            <v>F F001-00002033</v>
          </cell>
        </row>
        <row r="229">
          <cell r="E229" t="str">
            <v>F E001-00000246</v>
          </cell>
          <cell r="F229">
            <v>0</v>
          </cell>
          <cell r="H229" t="str">
            <v>FALABELLA.COM S.A.C. - COMERCIAL REMAR</v>
          </cell>
          <cell r="I229">
            <v>45855</v>
          </cell>
          <cell r="J229">
            <v>45855</v>
          </cell>
          <cell r="K229">
            <v>45856</v>
          </cell>
          <cell r="L229" t="str">
            <v>P00095</v>
          </cell>
          <cell r="P229" t="str">
            <v>COLABORATIVA S.A.C.</v>
          </cell>
          <cell r="Q229">
            <v>-58.39</v>
          </cell>
          <cell r="R229">
            <v>-10.51</v>
          </cell>
          <cell r="S229">
            <v>-68.900000000000006</v>
          </cell>
          <cell r="T229">
            <v>-68.900000000000006</v>
          </cell>
          <cell r="V229" t="str">
            <v>PEN</v>
          </cell>
          <cell r="W229" t="b">
            <v>0</v>
          </cell>
          <cell r="X229" t="str">
            <v>Pagado</v>
          </cell>
          <cell r="AB229" t="str">
            <v>Registrado</v>
          </cell>
          <cell r="AN229">
            <v>45855</v>
          </cell>
          <cell r="AO229" t="e">
            <v>#N/A</v>
          </cell>
          <cell r="AP229" t="str">
            <v>F E001-00000246</v>
          </cell>
        </row>
        <row r="230">
          <cell r="E230" t="str">
            <v>F E001-00000010</v>
          </cell>
          <cell r="F230">
            <v>0</v>
          </cell>
          <cell r="H230" t="str">
            <v>MENDOZA GUERRA FELIX ANTONIO</v>
          </cell>
          <cell r="I230">
            <v>45855</v>
          </cell>
          <cell r="J230">
            <v>45855</v>
          </cell>
          <cell r="K230">
            <v>45855</v>
          </cell>
          <cell r="L230" t="str">
            <v>P00102</v>
          </cell>
          <cell r="P230" t="str">
            <v>COLABORATIVA S.A.C.</v>
          </cell>
          <cell r="Q230">
            <v>-900</v>
          </cell>
          <cell r="R230">
            <v>-162</v>
          </cell>
          <cell r="S230">
            <v>-1062</v>
          </cell>
          <cell r="T230">
            <v>-1062</v>
          </cell>
          <cell r="V230" t="str">
            <v>PEN</v>
          </cell>
          <cell r="W230" t="b">
            <v>0</v>
          </cell>
          <cell r="X230" t="str">
            <v>Pagado</v>
          </cell>
          <cell r="AB230" t="str">
            <v>Registrado</v>
          </cell>
          <cell r="AN230">
            <v>45855</v>
          </cell>
          <cell r="AO230" t="e">
            <v>#N/A</v>
          </cell>
          <cell r="AP230" t="str">
            <v>F E001-00000010</v>
          </cell>
        </row>
        <row r="231">
          <cell r="E231" t="str">
            <v>F SB01-0555279995</v>
          </cell>
          <cell r="F231">
            <v>0</v>
          </cell>
          <cell r="H231" t="str">
            <v>America Móvil Perú S.A.C.</v>
          </cell>
          <cell r="I231">
            <v>45854</v>
          </cell>
          <cell r="J231">
            <v>45854</v>
          </cell>
          <cell r="K231">
            <v>45873</v>
          </cell>
          <cell r="L231" t="str">
            <v>P00140</v>
          </cell>
          <cell r="P231" t="str">
            <v>COLABORATIVA S.A.C.</v>
          </cell>
          <cell r="Q231">
            <v>-25.33</v>
          </cell>
          <cell r="R231">
            <v>-4.5599999999999996</v>
          </cell>
          <cell r="S231">
            <v>-29.89</v>
          </cell>
          <cell r="T231">
            <v>-29.89</v>
          </cell>
          <cell r="V231" t="str">
            <v>PEN</v>
          </cell>
          <cell r="W231" t="b">
            <v>0</v>
          </cell>
          <cell r="X231" t="str">
            <v>Pagado</v>
          </cell>
          <cell r="AB231" t="str">
            <v>Registrado</v>
          </cell>
          <cell r="AN231">
            <v>45854</v>
          </cell>
          <cell r="AO231" t="e">
            <v>#N/A</v>
          </cell>
          <cell r="AP231" t="str">
            <v>F SB01-0555279995</v>
          </cell>
        </row>
        <row r="232">
          <cell r="E232" t="str">
            <v>F F021-00004869</v>
          </cell>
          <cell r="F232">
            <v>0</v>
          </cell>
          <cell r="H232" t="str">
            <v>YOPO S.A.C.</v>
          </cell>
          <cell r="I232">
            <v>45854</v>
          </cell>
          <cell r="J232">
            <v>45854</v>
          </cell>
          <cell r="K232">
            <v>45896</v>
          </cell>
          <cell r="P232" t="str">
            <v>COLABORATIVA S.A.C.</v>
          </cell>
          <cell r="Q232">
            <v>-86.44</v>
          </cell>
          <cell r="R232">
            <v>-15.56</v>
          </cell>
          <cell r="S232">
            <v>-102</v>
          </cell>
          <cell r="T232">
            <v>-102</v>
          </cell>
          <cell r="V232" t="str">
            <v>PEN</v>
          </cell>
          <cell r="W232" t="b">
            <v>0</v>
          </cell>
          <cell r="X232" t="str">
            <v>Pagado</v>
          </cell>
          <cell r="AB232" t="str">
            <v>Registrado</v>
          </cell>
          <cell r="AN232">
            <v>45854</v>
          </cell>
          <cell r="AO232" t="e">
            <v>#N/A</v>
          </cell>
          <cell r="AP232" t="str">
            <v>F F021-00004869</v>
          </cell>
        </row>
        <row r="233">
          <cell r="E233" t="str">
            <v>F E001-00000279</v>
          </cell>
          <cell r="F233">
            <v>0</v>
          </cell>
          <cell r="H233" t="str">
            <v>DANPRINT STUDIO (CINTHIA LISETH LOPEZ INGA)</v>
          </cell>
          <cell r="I233">
            <v>45854</v>
          </cell>
          <cell r="J233">
            <v>45854</v>
          </cell>
          <cell r="K233">
            <v>45854</v>
          </cell>
          <cell r="L233" t="str">
            <v>P00100</v>
          </cell>
          <cell r="P233" t="str">
            <v>COLABORATIVA S.A.C.</v>
          </cell>
          <cell r="Q233">
            <v>-364.41</v>
          </cell>
          <cell r="R233">
            <v>-65.59</v>
          </cell>
          <cell r="S233">
            <v>-430</v>
          </cell>
          <cell r="T233">
            <v>-430</v>
          </cell>
          <cell r="V233" t="str">
            <v>PEN</v>
          </cell>
          <cell r="W233" t="b">
            <v>0</v>
          </cell>
          <cell r="X233" t="str">
            <v>Pagado</v>
          </cell>
          <cell r="AB233" t="str">
            <v>Registrado</v>
          </cell>
          <cell r="AN233">
            <v>45854</v>
          </cell>
          <cell r="AO233" t="e">
            <v>#N/A</v>
          </cell>
          <cell r="AP233" t="str">
            <v>F E001-00000279</v>
          </cell>
        </row>
        <row r="234">
          <cell r="E234" t="str">
            <v>F E001-00000169</v>
          </cell>
          <cell r="F234">
            <v>0</v>
          </cell>
          <cell r="H234" t="str">
            <v>VILCA SILVA JOHAN ALDAIR</v>
          </cell>
          <cell r="I234">
            <v>45854</v>
          </cell>
          <cell r="J234">
            <v>45854</v>
          </cell>
          <cell r="K234">
            <v>45854</v>
          </cell>
          <cell r="L234" t="str">
            <v>P00099</v>
          </cell>
          <cell r="P234" t="str">
            <v>COLABORATIVA S.A.C.</v>
          </cell>
          <cell r="Q234">
            <v>-220</v>
          </cell>
          <cell r="R234">
            <v>-39.6</v>
          </cell>
          <cell r="S234">
            <v>-259.60000000000002</v>
          </cell>
          <cell r="T234">
            <v>-259.60000000000002</v>
          </cell>
          <cell r="V234" t="str">
            <v>PEN</v>
          </cell>
          <cell r="W234" t="b">
            <v>0</v>
          </cell>
          <cell r="X234" t="str">
            <v>Pagado</v>
          </cell>
          <cell r="AB234" t="str">
            <v>Registrado</v>
          </cell>
          <cell r="AN234">
            <v>45854</v>
          </cell>
          <cell r="AO234" t="e">
            <v>#N/A</v>
          </cell>
          <cell r="AP234" t="str">
            <v>F E001-00000169</v>
          </cell>
        </row>
        <row r="235">
          <cell r="E235" t="str">
            <v>F E001-00000008</v>
          </cell>
          <cell r="F235">
            <v>0</v>
          </cell>
          <cell r="H235" t="str">
            <v>KUNTUR PRO S.A.C.</v>
          </cell>
          <cell r="I235">
            <v>45854</v>
          </cell>
          <cell r="J235">
            <v>45854</v>
          </cell>
          <cell r="K235">
            <v>45854</v>
          </cell>
          <cell r="P235" t="str">
            <v>COLABORATIVA S.A.C.</v>
          </cell>
          <cell r="Q235">
            <v>-5050</v>
          </cell>
          <cell r="R235">
            <v>-909</v>
          </cell>
          <cell r="S235">
            <v>-5959</v>
          </cell>
          <cell r="T235">
            <v>-5959</v>
          </cell>
          <cell r="V235" t="str">
            <v>PEN</v>
          </cell>
          <cell r="W235" t="b">
            <v>0</v>
          </cell>
          <cell r="X235" t="str">
            <v>Pagado</v>
          </cell>
          <cell r="AB235" t="str">
            <v>Registrado</v>
          </cell>
          <cell r="AN235">
            <v>45854</v>
          </cell>
          <cell r="AO235" t="e">
            <v>#N/A</v>
          </cell>
          <cell r="AP235" t="str">
            <v>F E001-00000008</v>
          </cell>
        </row>
        <row r="236">
          <cell r="E236" t="str">
            <v>F E001-00000559</v>
          </cell>
          <cell r="F236">
            <v>0</v>
          </cell>
          <cell r="H236" t="str">
            <v>TECACTUS S.A.C.</v>
          </cell>
          <cell r="I236">
            <v>45853</v>
          </cell>
          <cell r="J236">
            <v>45853</v>
          </cell>
          <cell r="K236">
            <v>45856</v>
          </cell>
          <cell r="L236" t="str">
            <v>P00104</v>
          </cell>
          <cell r="P236" t="str">
            <v>COLABORATIVA S.A.C.</v>
          </cell>
          <cell r="Q236">
            <v>-2676.75</v>
          </cell>
          <cell r="R236">
            <v>-481.82</v>
          </cell>
          <cell r="S236">
            <v>-3158.57</v>
          </cell>
          <cell r="T236">
            <v>-3158.57</v>
          </cell>
          <cell r="V236" t="str">
            <v>PEN</v>
          </cell>
          <cell r="W236" t="b">
            <v>0</v>
          </cell>
          <cell r="X236" t="str">
            <v>Pagado</v>
          </cell>
          <cell r="AB236" t="str">
            <v>Registrado</v>
          </cell>
          <cell r="AN236">
            <v>45853</v>
          </cell>
          <cell r="AO236" t="e">
            <v>#N/A</v>
          </cell>
          <cell r="AP236" t="str">
            <v>F E001-00000559</v>
          </cell>
        </row>
        <row r="237">
          <cell r="E237" t="str">
            <v>F E001-00000085</v>
          </cell>
          <cell r="F237">
            <v>0</v>
          </cell>
          <cell r="H237" t="str">
            <v>MUÑOZ VERANO JOHN BRACKSON</v>
          </cell>
          <cell r="I237">
            <v>45853</v>
          </cell>
          <cell r="J237">
            <v>45853</v>
          </cell>
          <cell r="K237">
            <v>45853</v>
          </cell>
          <cell r="P237" t="str">
            <v>COLABORATIVA S.A.C.</v>
          </cell>
          <cell r="Q237">
            <v>-600</v>
          </cell>
          <cell r="R237">
            <v>-108</v>
          </cell>
          <cell r="S237">
            <v>-708</v>
          </cell>
          <cell r="T237">
            <v>-708</v>
          </cell>
          <cell r="V237" t="str">
            <v>PEN</v>
          </cell>
          <cell r="W237" t="b">
            <v>0</v>
          </cell>
          <cell r="X237" t="str">
            <v>Pagado</v>
          </cell>
          <cell r="AB237" t="str">
            <v>Registrado</v>
          </cell>
          <cell r="AN237">
            <v>45853</v>
          </cell>
          <cell r="AO237" t="e">
            <v>#N/A</v>
          </cell>
          <cell r="AP237" t="str">
            <v>F E001-00000085</v>
          </cell>
        </row>
        <row r="238">
          <cell r="E238" t="str">
            <v>F E001-00001195</v>
          </cell>
          <cell r="F238">
            <v>0</v>
          </cell>
          <cell r="H238" t="str">
            <v>MEGA HARD INVERSIONES S.A.C.</v>
          </cell>
          <cell r="I238">
            <v>45852</v>
          </cell>
          <cell r="J238">
            <v>45852</v>
          </cell>
          <cell r="K238">
            <v>45852</v>
          </cell>
          <cell r="L238" t="str">
            <v>P00097</v>
          </cell>
          <cell r="P238" t="str">
            <v>COLABORATIVA S.A.C.</v>
          </cell>
          <cell r="Q238">
            <v>-211.87</v>
          </cell>
          <cell r="R238">
            <v>-38.14</v>
          </cell>
          <cell r="S238">
            <v>-250.01</v>
          </cell>
          <cell r="T238">
            <v>-250.01</v>
          </cell>
          <cell r="V238" t="str">
            <v>PEN</v>
          </cell>
          <cell r="W238" t="b">
            <v>0</v>
          </cell>
          <cell r="X238" t="str">
            <v>Pagado</v>
          </cell>
          <cell r="AB238" t="str">
            <v>Registrado</v>
          </cell>
          <cell r="AN238">
            <v>45852</v>
          </cell>
          <cell r="AO238" t="e">
            <v>#N/A</v>
          </cell>
          <cell r="AP238" t="str">
            <v>F E001-00001195</v>
          </cell>
        </row>
        <row r="239">
          <cell r="E239" t="str">
            <v>F E001-00000507</v>
          </cell>
          <cell r="F239">
            <v>0</v>
          </cell>
          <cell r="H239" t="str">
            <v>CATORCE &amp; SEIS S.A.C.</v>
          </cell>
          <cell r="I239">
            <v>45850</v>
          </cell>
          <cell r="J239">
            <v>45850</v>
          </cell>
          <cell r="K239">
            <v>45854</v>
          </cell>
          <cell r="P239" t="str">
            <v>COLABORATIVA S.A.C.</v>
          </cell>
          <cell r="Q239">
            <v>-16000</v>
          </cell>
          <cell r="R239">
            <v>-2880</v>
          </cell>
          <cell r="S239">
            <v>-18880</v>
          </cell>
          <cell r="T239">
            <v>-18880</v>
          </cell>
          <cell r="V239" t="str">
            <v>PEN</v>
          </cell>
          <cell r="W239" t="b">
            <v>0</v>
          </cell>
          <cell r="X239" t="str">
            <v>Pagado</v>
          </cell>
          <cell r="AB239" t="str">
            <v>Registrado</v>
          </cell>
          <cell r="AN239">
            <v>45850</v>
          </cell>
          <cell r="AO239" t="e">
            <v>#N/A</v>
          </cell>
          <cell r="AP239" t="str">
            <v>F E001-00000507</v>
          </cell>
        </row>
        <row r="240">
          <cell r="E240" t="str">
            <v>F E001-00000506</v>
          </cell>
          <cell r="F240">
            <v>0</v>
          </cell>
          <cell r="H240" t="str">
            <v>CATORCE &amp; SEIS S.A.C.</v>
          </cell>
          <cell r="I240">
            <v>45850</v>
          </cell>
          <cell r="J240">
            <v>45850</v>
          </cell>
          <cell r="K240">
            <v>45850</v>
          </cell>
          <cell r="P240" t="str">
            <v>COLABORATIVA S.A.C.</v>
          </cell>
          <cell r="Q240">
            <v>-24621.97</v>
          </cell>
          <cell r="R240">
            <v>-4431.95</v>
          </cell>
          <cell r="S240">
            <v>-29053.919999999998</v>
          </cell>
          <cell r="T240">
            <v>-29053.919999999998</v>
          </cell>
          <cell r="V240" t="str">
            <v>PEN</v>
          </cell>
          <cell r="W240" t="b">
            <v>0</v>
          </cell>
          <cell r="X240" t="str">
            <v>Pagado</v>
          </cell>
          <cell r="AB240" t="str">
            <v>Registrado</v>
          </cell>
          <cell r="AN240">
            <v>45850</v>
          </cell>
          <cell r="AO240" t="e">
            <v>#N/A</v>
          </cell>
          <cell r="AP240" t="str">
            <v>F E001-00000506</v>
          </cell>
        </row>
        <row r="241">
          <cell r="E241" t="str">
            <v>R S108-237482</v>
          </cell>
          <cell r="F241">
            <v>0</v>
          </cell>
          <cell r="H241" t="str">
            <v>LUZ DEL SUR S.A.A.</v>
          </cell>
          <cell r="I241">
            <v>45849</v>
          </cell>
          <cell r="J241">
            <v>45849</v>
          </cell>
          <cell r="K241">
            <v>45860</v>
          </cell>
          <cell r="L241" t="str">
            <v>P00110</v>
          </cell>
          <cell r="P241" t="str">
            <v>COLABORATIVA S.A.C.</v>
          </cell>
          <cell r="Q241">
            <v>-590.76</v>
          </cell>
          <cell r="R241">
            <v>-106.34</v>
          </cell>
          <cell r="S241">
            <v>-697.1</v>
          </cell>
          <cell r="T241">
            <v>-697.1</v>
          </cell>
          <cell r="V241" t="str">
            <v>PEN</v>
          </cell>
          <cell r="W241" t="b">
            <v>0</v>
          </cell>
          <cell r="X241" t="str">
            <v>Pagado</v>
          </cell>
          <cell r="AB241" t="str">
            <v>Registrado</v>
          </cell>
          <cell r="AN241">
            <v>45849</v>
          </cell>
          <cell r="AO241" t="e">
            <v>#N/A</v>
          </cell>
          <cell r="AP241" t="str">
            <v>R S108-237482</v>
          </cell>
        </row>
        <row r="242">
          <cell r="E242" t="str">
            <v>F NÂ° F001-00009163</v>
          </cell>
          <cell r="F242">
            <v>0</v>
          </cell>
          <cell r="H242" t="str">
            <v>PRECINTOS PERU E.I.R.L</v>
          </cell>
          <cell r="I242">
            <v>45849</v>
          </cell>
          <cell r="J242">
            <v>45849</v>
          </cell>
          <cell r="K242">
            <v>45849</v>
          </cell>
          <cell r="L242" t="str">
            <v>P00098</v>
          </cell>
          <cell r="P242" t="str">
            <v>COLABORATIVA S.A.C.</v>
          </cell>
          <cell r="Q242">
            <v>-7504.19</v>
          </cell>
          <cell r="R242">
            <v>-1350.81</v>
          </cell>
          <cell r="S242">
            <v>-8855</v>
          </cell>
          <cell r="T242">
            <v>-8855</v>
          </cell>
          <cell r="V242" t="str">
            <v>PEN</v>
          </cell>
          <cell r="W242" t="b">
            <v>0</v>
          </cell>
          <cell r="X242" t="str">
            <v>Pagado</v>
          </cell>
          <cell r="AB242" t="str">
            <v>Registrado</v>
          </cell>
          <cell r="AN242">
            <v>45849</v>
          </cell>
          <cell r="AO242" t="e">
            <v>#N/A</v>
          </cell>
          <cell r="AP242" t="str">
            <v>F N° F001-00009163</v>
          </cell>
        </row>
        <row r="243">
          <cell r="E243" t="str">
            <v>F F052-01597353</v>
          </cell>
          <cell r="F243">
            <v>0</v>
          </cell>
          <cell r="H243" t="str">
            <v>MAPFRE PERU S.A.</v>
          </cell>
          <cell r="I243">
            <v>45849</v>
          </cell>
          <cell r="J243">
            <v>45849</v>
          </cell>
          <cell r="K243">
            <v>45852</v>
          </cell>
          <cell r="L243" t="str">
            <v>P00096</v>
          </cell>
          <cell r="P243" t="str">
            <v>COLABORATIVA S.A.C.</v>
          </cell>
          <cell r="Q243">
            <v>-100</v>
          </cell>
          <cell r="R243">
            <v>-18</v>
          </cell>
          <cell r="S243">
            <v>-118</v>
          </cell>
          <cell r="T243">
            <v>-118</v>
          </cell>
          <cell r="V243" t="str">
            <v>PEN</v>
          </cell>
          <cell r="W243" t="b">
            <v>0</v>
          </cell>
          <cell r="X243" t="str">
            <v>Pagado</v>
          </cell>
          <cell r="AB243" t="str">
            <v>Registrado</v>
          </cell>
          <cell r="AN243">
            <v>45849</v>
          </cell>
          <cell r="AO243" t="e">
            <v>#N/A</v>
          </cell>
          <cell r="AP243" t="str">
            <v>F F052-01597353</v>
          </cell>
        </row>
        <row r="244">
          <cell r="E244" t="str">
            <v>F FI37-00026643</v>
          </cell>
          <cell r="F244">
            <v>0</v>
          </cell>
          <cell r="H244" t="str">
            <v>MEMORY KINGS PERU S.A.C</v>
          </cell>
          <cell r="I244">
            <v>45848</v>
          </cell>
          <cell r="J244">
            <v>45848</v>
          </cell>
          <cell r="K244">
            <v>45869</v>
          </cell>
          <cell r="L244" t="str">
            <v>P00094</v>
          </cell>
          <cell r="P244" t="str">
            <v>COLABORATIVA S.A.C.</v>
          </cell>
          <cell r="Q244">
            <v>-1907.63</v>
          </cell>
          <cell r="R244">
            <v>-343.37</v>
          </cell>
          <cell r="S244">
            <v>-2251</v>
          </cell>
          <cell r="T244">
            <v>-2251</v>
          </cell>
          <cell r="V244" t="str">
            <v>PEN</v>
          </cell>
          <cell r="W244" t="b">
            <v>0</v>
          </cell>
          <cell r="X244" t="str">
            <v>Pagado</v>
          </cell>
          <cell r="AB244" t="str">
            <v>Registrado</v>
          </cell>
          <cell r="AN244">
            <v>45848</v>
          </cell>
          <cell r="AO244" t="e">
            <v>#N/A</v>
          </cell>
          <cell r="AP244" t="str">
            <v>F FI37-00026643</v>
          </cell>
        </row>
        <row r="245">
          <cell r="E245" t="str">
            <v>B B002-00224626</v>
          </cell>
          <cell r="F245">
            <v>0</v>
          </cell>
          <cell r="H245" t="str">
            <v>INVERSIONES GASTRONÓMICAS ARAMBURÚ S.A.C.</v>
          </cell>
          <cell r="I245">
            <v>45848</v>
          </cell>
          <cell r="J245">
            <v>45848</v>
          </cell>
          <cell r="K245">
            <v>45896</v>
          </cell>
          <cell r="P245" t="str">
            <v>COLABORATIVA S.A.C.</v>
          </cell>
          <cell r="Q245">
            <v>-82.2</v>
          </cell>
          <cell r="R245">
            <v>-14.8</v>
          </cell>
          <cell r="S245">
            <v>-97</v>
          </cell>
          <cell r="T245">
            <v>-97</v>
          </cell>
          <cell r="V245" t="str">
            <v>PEN</v>
          </cell>
          <cell r="W245" t="b">
            <v>0</v>
          </cell>
          <cell r="X245" t="str">
            <v>Pagado</v>
          </cell>
          <cell r="AB245" t="str">
            <v>Registrado</v>
          </cell>
          <cell r="AN245">
            <v>45848</v>
          </cell>
          <cell r="AO245" t="e">
            <v>#N/A</v>
          </cell>
          <cell r="AP245" t="str">
            <v>B B002-00224626</v>
          </cell>
        </row>
        <row r="246">
          <cell r="E246" t="str">
            <v>RE-00120</v>
          </cell>
          <cell r="F246">
            <v>0</v>
          </cell>
          <cell r="H246" t="str">
            <v>PALOMINO VALLE ADRIANA</v>
          </cell>
          <cell r="I246">
            <v>45845</v>
          </cell>
          <cell r="J246">
            <v>45845</v>
          </cell>
          <cell r="K246">
            <v>45846</v>
          </cell>
          <cell r="P246" t="str">
            <v>COLABORATIVA S.A.C.</v>
          </cell>
          <cell r="Q246">
            <v>-847.46</v>
          </cell>
          <cell r="R246">
            <v>-152.54</v>
          </cell>
          <cell r="S246">
            <v>-1000</v>
          </cell>
          <cell r="T246">
            <v>-1000</v>
          </cell>
          <cell r="V246" t="str">
            <v>PEN</v>
          </cell>
          <cell r="W246" t="b">
            <v>0</v>
          </cell>
          <cell r="X246" t="str">
            <v>Pagado</v>
          </cell>
          <cell r="AB246" t="str">
            <v>Registrado</v>
          </cell>
          <cell r="AN246">
            <v>45845</v>
          </cell>
          <cell r="AO246" t="e">
            <v>#N/A</v>
          </cell>
          <cell r="AP246" t="str">
            <v>R E001 20</v>
          </cell>
        </row>
        <row r="247">
          <cell r="E247" t="str">
            <v>RE-0011</v>
          </cell>
          <cell r="F247">
            <v>0</v>
          </cell>
          <cell r="H247" t="str">
            <v>DE LA TORRE CHUQUISTA CELESTE</v>
          </cell>
          <cell r="I247">
            <v>45845</v>
          </cell>
          <cell r="J247">
            <v>45845</v>
          </cell>
          <cell r="K247">
            <v>45845</v>
          </cell>
          <cell r="L247" t="str">
            <v>P00091</v>
          </cell>
          <cell r="P247" t="str">
            <v>COLABORATIVA S.A.C.</v>
          </cell>
          <cell r="Q247">
            <v>-254.24</v>
          </cell>
          <cell r="R247">
            <v>-45.76</v>
          </cell>
          <cell r="S247">
            <v>-300</v>
          </cell>
          <cell r="T247">
            <v>-300</v>
          </cell>
          <cell r="V247" t="str">
            <v>PEN</v>
          </cell>
          <cell r="W247" t="b">
            <v>0</v>
          </cell>
          <cell r="X247" t="str">
            <v>Pagado</v>
          </cell>
          <cell r="AB247" t="str">
            <v>Registrado</v>
          </cell>
          <cell r="AN247">
            <v>45845</v>
          </cell>
          <cell r="AO247" t="e">
            <v>#N/A</v>
          </cell>
          <cell r="AP247" t="str">
            <v>R E001 1</v>
          </cell>
        </row>
        <row r="248">
          <cell r="E248" t="str">
            <v>F F500-00038780</v>
          </cell>
          <cell r="F248">
            <v>0</v>
          </cell>
          <cell r="H248" t="str">
            <v>DOLCE CAPRICCIO SAC</v>
          </cell>
          <cell r="I248">
            <v>45845</v>
          </cell>
          <cell r="J248">
            <v>45845</v>
          </cell>
          <cell r="K248">
            <v>45869</v>
          </cell>
          <cell r="L248" t="str">
            <v>P00090</v>
          </cell>
          <cell r="P248" t="str">
            <v>COLABORATIVA S.A.C.</v>
          </cell>
          <cell r="Q248">
            <v>-95</v>
          </cell>
          <cell r="S248">
            <v>-95</v>
          </cell>
          <cell r="T248">
            <v>-95</v>
          </cell>
          <cell r="V248" t="str">
            <v>PEN</v>
          </cell>
          <cell r="W248" t="b">
            <v>0</v>
          </cell>
          <cell r="X248" t="str">
            <v>Pagado</v>
          </cell>
          <cell r="AB248" t="str">
            <v>Registrado</v>
          </cell>
          <cell r="AN248">
            <v>45845</v>
          </cell>
          <cell r="AO248" t="e">
            <v>#N/A</v>
          </cell>
          <cell r="AP248" t="str">
            <v>F F500-00038780</v>
          </cell>
        </row>
        <row r="249">
          <cell r="E249" t="str">
            <v>F F037-00038714</v>
          </cell>
          <cell r="F249">
            <v>0</v>
          </cell>
          <cell r="H249" t="str">
            <v>LUCHA PARTNERS S.A.C.</v>
          </cell>
          <cell r="I249">
            <v>45845</v>
          </cell>
          <cell r="J249">
            <v>45845</v>
          </cell>
          <cell r="K249">
            <v>45896</v>
          </cell>
          <cell r="P249" t="str">
            <v>COLABORATIVA S.A.C.</v>
          </cell>
          <cell r="Q249">
            <v>-92.8</v>
          </cell>
          <cell r="R249">
            <v>-16.7</v>
          </cell>
          <cell r="S249">
            <v>-109.5</v>
          </cell>
          <cell r="T249">
            <v>-109.5</v>
          </cell>
          <cell r="V249" t="str">
            <v>PEN</v>
          </cell>
          <cell r="W249" t="b">
            <v>0</v>
          </cell>
          <cell r="X249" t="str">
            <v>Pagado</v>
          </cell>
          <cell r="AB249" t="str">
            <v>Registrado</v>
          </cell>
          <cell r="AN249">
            <v>45845</v>
          </cell>
          <cell r="AO249" t="e">
            <v>#N/A</v>
          </cell>
          <cell r="AP249" t="str">
            <v>F F037-00038714</v>
          </cell>
        </row>
        <row r="250">
          <cell r="E250" t="str">
            <v>F E001-00000557</v>
          </cell>
          <cell r="F250">
            <v>0</v>
          </cell>
          <cell r="H250" t="str">
            <v>TECACTUS S.A.C.</v>
          </cell>
          <cell r="I250">
            <v>45845</v>
          </cell>
          <cell r="J250">
            <v>45845</v>
          </cell>
          <cell r="K250">
            <v>45846</v>
          </cell>
          <cell r="P250" t="str">
            <v>COLABORATIVA S.A.C.</v>
          </cell>
          <cell r="Q250">
            <v>-2667</v>
          </cell>
          <cell r="R250">
            <v>-480.06</v>
          </cell>
          <cell r="S250">
            <v>-3147.06</v>
          </cell>
          <cell r="T250">
            <v>-3147.06</v>
          </cell>
          <cell r="U250">
            <v>-3147.06</v>
          </cell>
          <cell r="V250" t="str">
            <v>PEN</v>
          </cell>
          <cell r="W250" t="b">
            <v>0</v>
          </cell>
          <cell r="X250" t="str">
            <v>Sin pagar</v>
          </cell>
          <cell r="AB250" t="str">
            <v>Registrado</v>
          </cell>
          <cell r="AN250">
            <v>45845</v>
          </cell>
          <cell r="AO250" t="e">
            <v>#N/A</v>
          </cell>
          <cell r="AP250" t="str">
            <v>F E001-00000557</v>
          </cell>
        </row>
        <row r="251">
          <cell r="E251" t="str">
            <v>F E001-00000079</v>
          </cell>
          <cell r="F251">
            <v>0</v>
          </cell>
          <cell r="H251" t="str">
            <v>MUÑOZ VERANO JOHN BRACKSON</v>
          </cell>
          <cell r="I251">
            <v>45845</v>
          </cell>
          <cell r="J251">
            <v>45845</v>
          </cell>
          <cell r="K251">
            <v>45846</v>
          </cell>
          <cell r="P251" t="str">
            <v>COLABORATIVA S.A.C.</v>
          </cell>
          <cell r="Q251">
            <v>-2400</v>
          </cell>
          <cell r="R251">
            <v>-432</v>
          </cell>
          <cell r="S251">
            <v>-2832</v>
          </cell>
          <cell r="T251">
            <v>-2832</v>
          </cell>
          <cell r="V251" t="str">
            <v>PEN</v>
          </cell>
          <cell r="W251" t="b">
            <v>0</v>
          </cell>
          <cell r="X251" t="str">
            <v>Pagado</v>
          </cell>
          <cell r="AB251" t="str">
            <v>Registrado</v>
          </cell>
          <cell r="AN251">
            <v>45845</v>
          </cell>
          <cell r="AO251" t="e">
            <v>#N/A</v>
          </cell>
          <cell r="AP251" t="str">
            <v>F E001-00000079</v>
          </cell>
        </row>
        <row r="252">
          <cell r="E252" t="str">
            <v>F E001-00000078</v>
          </cell>
          <cell r="F252">
            <v>0</v>
          </cell>
          <cell r="H252" t="str">
            <v>MUÑOZ VERANO JOHN BRACKSON</v>
          </cell>
          <cell r="I252">
            <v>45845</v>
          </cell>
          <cell r="J252">
            <v>45845</v>
          </cell>
          <cell r="K252">
            <v>45846</v>
          </cell>
          <cell r="P252" t="str">
            <v>COLABORATIVA S.A.C.</v>
          </cell>
          <cell r="Q252">
            <v>-1080</v>
          </cell>
          <cell r="R252">
            <v>-194.4</v>
          </cell>
          <cell r="S252">
            <v>-1274.4000000000001</v>
          </cell>
          <cell r="T252">
            <v>-1274.4000000000001</v>
          </cell>
          <cell r="V252" t="str">
            <v>PEN</v>
          </cell>
          <cell r="W252" t="b">
            <v>0</v>
          </cell>
          <cell r="X252" t="str">
            <v>Pagado</v>
          </cell>
          <cell r="AB252" t="str">
            <v>Registrado</v>
          </cell>
          <cell r="AN252">
            <v>45845</v>
          </cell>
          <cell r="AO252" t="e">
            <v>#N/A</v>
          </cell>
          <cell r="AP252" t="str">
            <v>F E001-00000078</v>
          </cell>
        </row>
        <row r="253">
          <cell r="E253" t="str">
            <v>F E001-00000009</v>
          </cell>
          <cell r="F253">
            <v>0</v>
          </cell>
          <cell r="H253" t="str">
            <v>MENDOZA GUERRA FELIX ANTONIO</v>
          </cell>
          <cell r="I253">
            <v>45845</v>
          </cell>
          <cell r="J253">
            <v>45845</v>
          </cell>
          <cell r="K253">
            <v>45845</v>
          </cell>
          <cell r="L253" t="str">
            <v>P00092</v>
          </cell>
          <cell r="P253" t="str">
            <v>COLABORATIVA S.A.C.</v>
          </cell>
          <cell r="Q253">
            <v>-500</v>
          </cell>
          <cell r="R253">
            <v>-90</v>
          </cell>
          <cell r="S253">
            <v>-590</v>
          </cell>
          <cell r="T253">
            <v>-590</v>
          </cell>
          <cell r="V253" t="str">
            <v>PEN</v>
          </cell>
          <cell r="W253" t="b">
            <v>0</v>
          </cell>
          <cell r="X253" t="str">
            <v>Pagado</v>
          </cell>
          <cell r="AB253" t="str">
            <v>Registrado</v>
          </cell>
          <cell r="AN253">
            <v>45845</v>
          </cell>
          <cell r="AO253" t="e">
            <v>#N/A</v>
          </cell>
          <cell r="AP253" t="str">
            <v>F E001-00000009</v>
          </cell>
        </row>
        <row r="254">
          <cell r="E254" t="str">
            <v>F F002-00023825</v>
          </cell>
          <cell r="F254">
            <v>0</v>
          </cell>
          <cell r="H254" t="str">
            <v>SABOR DE CASA S.A.C.</v>
          </cell>
          <cell r="I254">
            <v>45844</v>
          </cell>
          <cell r="J254">
            <v>45844</v>
          </cell>
          <cell r="K254">
            <v>45896</v>
          </cell>
          <cell r="P254" t="str">
            <v>COLABORATIVA S.A.C.</v>
          </cell>
          <cell r="Q254">
            <v>-1283.9000000000001</v>
          </cell>
          <cell r="R254">
            <v>-231.1</v>
          </cell>
          <cell r="S254">
            <v>-1515</v>
          </cell>
          <cell r="T254">
            <v>-1515</v>
          </cell>
          <cell r="V254" t="str">
            <v>PEN</v>
          </cell>
          <cell r="W254" t="b">
            <v>0</v>
          </cell>
          <cell r="X254" t="str">
            <v>Pagado</v>
          </cell>
          <cell r="AB254" t="str">
            <v>Registrado</v>
          </cell>
          <cell r="AN254">
            <v>45844</v>
          </cell>
          <cell r="AO254" t="e">
            <v>#N/A</v>
          </cell>
          <cell r="AP254" t="str">
            <v>F F002-00023825</v>
          </cell>
        </row>
        <row r="255">
          <cell r="E255" t="str">
            <v>F F001-00024718</v>
          </cell>
          <cell r="F255">
            <v>0</v>
          </cell>
          <cell r="H255" t="str">
            <v>TECNOLOGIA FLEXOGRAFICA S.A.C - TECFLEX</v>
          </cell>
          <cell r="I255">
            <v>45842</v>
          </cell>
          <cell r="J255">
            <v>45842</v>
          </cell>
          <cell r="K255">
            <v>45842</v>
          </cell>
          <cell r="L255" t="str">
            <v>P00088</v>
          </cell>
          <cell r="P255" t="str">
            <v>COLABORATIVA S.A.C.</v>
          </cell>
          <cell r="Q255">
            <v>-2069.8000000000002</v>
          </cell>
          <cell r="R255">
            <v>-372.56</v>
          </cell>
          <cell r="S255">
            <v>-2442.36</v>
          </cell>
          <cell r="T255">
            <v>-2442.36</v>
          </cell>
          <cell r="V255" t="str">
            <v>PEN</v>
          </cell>
          <cell r="W255" t="b">
            <v>0</v>
          </cell>
          <cell r="X255" t="str">
            <v>Pagado</v>
          </cell>
          <cell r="AB255" t="str">
            <v>Registrado</v>
          </cell>
          <cell r="AN255">
            <v>45842</v>
          </cell>
          <cell r="AO255" t="e">
            <v>#N/A</v>
          </cell>
          <cell r="AP255" t="str">
            <v>F F001-00024718</v>
          </cell>
        </row>
        <row r="256">
          <cell r="E256" t="str">
            <v>F E001-00000985</v>
          </cell>
          <cell r="F256">
            <v>0</v>
          </cell>
          <cell r="H256" t="str">
            <v>CONSULTORA SVS S.A.C.</v>
          </cell>
          <cell r="I256">
            <v>45842</v>
          </cell>
          <cell r="J256">
            <v>45842</v>
          </cell>
          <cell r="K256">
            <v>45845</v>
          </cell>
          <cell r="L256" t="str">
            <v>P00089</v>
          </cell>
          <cell r="P256" t="str">
            <v>COLABORATIVA S.A.C.</v>
          </cell>
          <cell r="Q256">
            <v>-1900</v>
          </cell>
          <cell r="R256">
            <v>-342</v>
          </cell>
          <cell r="S256">
            <v>-2242</v>
          </cell>
          <cell r="T256">
            <v>-2242</v>
          </cell>
          <cell r="V256" t="str">
            <v>PEN</v>
          </cell>
          <cell r="W256" t="b">
            <v>0</v>
          </cell>
          <cell r="X256" t="str">
            <v>Pagado</v>
          </cell>
          <cell r="AB256" t="str">
            <v>Registrado</v>
          </cell>
          <cell r="AN256">
            <v>45842</v>
          </cell>
          <cell r="AO256" t="e">
            <v>#N/A</v>
          </cell>
          <cell r="AP256" t="str">
            <v>F E001-00000985</v>
          </cell>
        </row>
        <row r="257">
          <cell r="E257" t="str">
            <v>F F574-00000062</v>
          </cell>
          <cell r="F257">
            <v>0</v>
          </cell>
          <cell r="H257" t="str">
            <v>GLOBAL FUEL SOCIEDAD ANONIMA</v>
          </cell>
          <cell r="I257">
            <v>45841</v>
          </cell>
          <cell r="J257">
            <v>45841</v>
          </cell>
          <cell r="K257">
            <v>45896</v>
          </cell>
          <cell r="P257" t="str">
            <v>COLABORATIVA S.A.C.</v>
          </cell>
          <cell r="Q257">
            <v>-79.41</v>
          </cell>
          <cell r="R257">
            <v>-14.29</v>
          </cell>
          <cell r="S257">
            <v>-93.7</v>
          </cell>
          <cell r="T257">
            <v>-93.7</v>
          </cell>
          <cell r="V257" t="str">
            <v>PEN</v>
          </cell>
          <cell r="W257" t="b">
            <v>0</v>
          </cell>
          <cell r="X257" t="str">
            <v>Pagado</v>
          </cell>
          <cell r="AB257" t="str">
            <v>Registrado</v>
          </cell>
          <cell r="AN257">
            <v>45841</v>
          </cell>
          <cell r="AO257" t="e">
            <v>#N/A</v>
          </cell>
          <cell r="AP257" t="str">
            <v>F F574-00000062</v>
          </cell>
        </row>
        <row r="258">
          <cell r="E258" t="str">
            <v>F F005-00029664</v>
          </cell>
          <cell r="F258">
            <v>0</v>
          </cell>
          <cell r="H258" t="str">
            <v>N.B. TEALDO &amp; CO. S.A.</v>
          </cell>
          <cell r="I258">
            <v>45841</v>
          </cell>
          <cell r="J258">
            <v>45841</v>
          </cell>
          <cell r="K258">
            <v>45842</v>
          </cell>
          <cell r="L258" t="str">
            <v>P00086</v>
          </cell>
          <cell r="P258" t="str">
            <v>COLABORATIVA S.A.C.</v>
          </cell>
          <cell r="Q258">
            <v>-227.05</v>
          </cell>
          <cell r="R258">
            <v>-40.869999999999997</v>
          </cell>
          <cell r="S258">
            <v>-267.92</v>
          </cell>
          <cell r="T258">
            <v>-267.92</v>
          </cell>
          <cell r="V258" t="str">
            <v>PEN</v>
          </cell>
          <cell r="W258" t="b">
            <v>0</v>
          </cell>
          <cell r="X258" t="str">
            <v>Pagado</v>
          </cell>
          <cell r="AB258" t="str">
            <v>Registrado</v>
          </cell>
          <cell r="AN258">
            <v>45841</v>
          </cell>
          <cell r="AO258" t="e">
            <v>#N/A</v>
          </cell>
          <cell r="AP258" t="str">
            <v>F F005-00029664</v>
          </cell>
        </row>
        <row r="259">
          <cell r="E259" t="str">
            <v>F E001-00003801</v>
          </cell>
          <cell r="F259">
            <v>0</v>
          </cell>
          <cell r="H259" t="str">
            <v>CODELIF</v>
          </cell>
          <cell r="I259">
            <v>45841</v>
          </cell>
          <cell r="J259">
            <v>45841</v>
          </cell>
          <cell r="K259">
            <v>45842</v>
          </cell>
          <cell r="L259" t="str">
            <v>P00085</v>
          </cell>
          <cell r="P259" t="str">
            <v>COLABORATIVA S.A.C.</v>
          </cell>
          <cell r="Q259">
            <v>-434.69</v>
          </cell>
          <cell r="R259">
            <v>-78.25</v>
          </cell>
          <cell r="S259">
            <v>-512.94000000000005</v>
          </cell>
          <cell r="T259">
            <v>-512.94000000000005</v>
          </cell>
          <cell r="V259" t="str">
            <v>PEN</v>
          </cell>
          <cell r="W259" t="b">
            <v>0</v>
          </cell>
          <cell r="X259" t="str">
            <v>Pagado</v>
          </cell>
          <cell r="AB259" t="str">
            <v>Registrado</v>
          </cell>
          <cell r="AN259">
            <v>45841</v>
          </cell>
          <cell r="AO259" t="e">
            <v>#N/A</v>
          </cell>
          <cell r="AP259" t="str">
            <v>F E001-00003801</v>
          </cell>
        </row>
        <row r="260">
          <cell r="E260" t="str">
            <v>R E001-84</v>
          </cell>
          <cell r="F260">
            <v>0</v>
          </cell>
          <cell r="H260" t="str">
            <v>DI NATALE HERNANDEZ CARLOS ALFREDO</v>
          </cell>
          <cell r="I260">
            <v>45840</v>
          </cell>
          <cell r="J260">
            <v>45840</v>
          </cell>
          <cell r="K260">
            <v>45840</v>
          </cell>
          <cell r="P260" t="str">
            <v>COLABORATIVA S.A.C.</v>
          </cell>
          <cell r="Q260">
            <v>-5052</v>
          </cell>
          <cell r="S260">
            <v>-5052</v>
          </cell>
          <cell r="T260">
            <v>-5052</v>
          </cell>
          <cell r="V260" t="str">
            <v>PEN</v>
          </cell>
          <cell r="W260" t="b">
            <v>0</v>
          </cell>
          <cell r="X260" t="str">
            <v>Pagado</v>
          </cell>
          <cell r="AB260" t="str">
            <v>Registrado</v>
          </cell>
          <cell r="AN260">
            <v>45840</v>
          </cell>
          <cell r="AO260" t="e">
            <v>#N/A</v>
          </cell>
          <cell r="AP260" t="str">
            <v>R E001-84</v>
          </cell>
        </row>
        <row r="261">
          <cell r="E261" t="str">
            <v>F F101-00025883</v>
          </cell>
          <cell r="F261">
            <v>0</v>
          </cell>
          <cell r="H261" t="str">
            <v>INSTITUTO PACIFICO S.A.C</v>
          </cell>
          <cell r="I261">
            <v>45840</v>
          </cell>
          <cell r="J261">
            <v>45840</v>
          </cell>
          <cell r="K261">
            <v>45841</v>
          </cell>
          <cell r="P261" t="str">
            <v>COLABORATIVA S.A.C.</v>
          </cell>
          <cell r="Q261">
            <v>-127.12</v>
          </cell>
          <cell r="R261">
            <v>-22.88</v>
          </cell>
          <cell r="S261">
            <v>-150</v>
          </cell>
          <cell r="T261">
            <v>-150</v>
          </cell>
          <cell r="V261" t="str">
            <v>PEN</v>
          </cell>
          <cell r="W261" t="b">
            <v>0</v>
          </cell>
          <cell r="X261" t="str">
            <v>Pagado</v>
          </cell>
          <cell r="AB261" t="str">
            <v>Registrado</v>
          </cell>
          <cell r="AN261">
            <v>45840</v>
          </cell>
          <cell r="AO261" t="e">
            <v>#N/A</v>
          </cell>
          <cell r="AP261" t="str">
            <v>F F101-00025883</v>
          </cell>
        </row>
        <row r="262">
          <cell r="E262" t="str">
            <v>F E001-00000270</v>
          </cell>
          <cell r="F262">
            <v>0</v>
          </cell>
          <cell r="H262" t="str">
            <v>HOSPEDAJE RESIDENCIAL SOL Y LUNA E.I.R.L.</v>
          </cell>
          <cell r="I262">
            <v>45840</v>
          </cell>
          <cell r="J262">
            <v>45840</v>
          </cell>
          <cell r="K262">
            <v>45840</v>
          </cell>
          <cell r="L262" t="str">
            <v>P00087</v>
          </cell>
          <cell r="P262" t="str">
            <v>COLABORATIVA S.A.C.</v>
          </cell>
          <cell r="Q262">
            <v>-298.31</v>
          </cell>
          <cell r="R262">
            <v>-53.69</v>
          </cell>
          <cell r="S262">
            <v>-352</v>
          </cell>
          <cell r="T262">
            <v>-352</v>
          </cell>
          <cell r="V262" t="str">
            <v>PEN</v>
          </cell>
          <cell r="W262" t="b">
            <v>0</v>
          </cell>
          <cell r="X262" t="str">
            <v>Pagado</v>
          </cell>
          <cell r="AB262" t="str">
            <v>Registrado</v>
          </cell>
          <cell r="AN262">
            <v>45840</v>
          </cell>
          <cell r="AO262" t="e">
            <v>#N/A</v>
          </cell>
          <cell r="AP262" t="str">
            <v>F E001-00000270</v>
          </cell>
        </row>
        <row r="263">
          <cell r="E263" t="str">
            <v>F E001-00000076</v>
          </cell>
          <cell r="F263">
            <v>0</v>
          </cell>
          <cell r="H263" t="str">
            <v>MUÑOZ VERANO JOHN BRACKSON</v>
          </cell>
          <cell r="I263">
            <v>45840</v>
          </cell>
          <cell r="J263">
            <v>45840</v>
          </cell>
          <cell r="K263">
            <v>45841</v>
          </cell>
          <cell r="P263" t="str">
            <v>COLABORATIVA S.A.C.</v>
          </cell>
          <cell r="Q263">
            <v>-2400</v>
          </cell>
          <cell r="R263">
            <v>-432</v>
          </cell>
          <cell r="S263">
            <v>-2832</v>
          </cell>
          <cell r="T263">
            <v>-2832</v>
          </cell>
          <cell r="V263" t="str">
            <v>PEN</v>
          </cell>
          <cell r="W263" t="b">
            <v>0</v>
          </cell>
          <cell r="X263" t="str">
            <v>Pagado</v>
          </cell>
          <cell r="AB263" t="str">
            <v>Registrado</v>
          </cell>
          <cell r="AN263">
            <v>45840</v>
          </cell>
          <cell r="AO263" t="e">
            <v>#N/A</v>
          </cell>
          <cell r="AP263" t="str">
            <v>F E001-00000076</v>
          </cell>
        </row>
        <row r="264">
          <cell r="E264" t="str">
            <v>F NÂ° F001-00009109</v>
          </cell>
          <cell r="F264">
            <v>0</v>
          </cell>
          <cell r="H264" t="str">
            <v>PRECINTOS PERU E.I.R.L</v>
          </cell>
          <cell r="I264">
            <v>45839</v>
          </cell>
          <cell r="J264">
            <v>45839</v>
          </cell>
          <cell r="K264">
            <v>45840</v>
          </cell>
          <cell r="L264" t="str">
            <v>P00084</v>
          </cell>
          <cell r="P264" t="str">
            <v>COLABORATIVA S.A.C.</v>
          </cell>
          <cell r="Q264">
            <v>-1915.26</v>
          </cell>
          <cell r="R264">
            <v>-344.74</v>
          </cell>
          <cell r="S264">
            <v>-2260</v>
          </cell>
          <cell r="T264">
            <v>-2260</v>
          </cell>
          <cell r="V264" t="str">
            <v>PEN</v>
          </cell>
          <cell r="W264" t="b">
            <v>0</v>
          </cell>
          <cell r="X264" t="str">
            <v>Pagado</v>
          </cell>
          <cell r="AB264" t="str">
            <v>Registrado</v>
          </cell>
          <cell r="AN264">
            <v>45839</v>
          </cell>
          <cell r="AO264" t="e">
            <v>#N/A</v>
          </cell>
          <cell r="AP264" t="str">
            <v>F N° F001-00009109</v>
          </cell>
        </row>
        <row r="265">
          <cell r="E265" t="str">
            <v>F FE27-00014814</v>
          </cell>
          <cell r="F265">
            <v>0</v>
          </cell>
          <cell r="H265" t="str">
            <v>Verisure Peru SAC</v>
          </cell>
          <cell r="I265">
            <v>45839</v>
          </cell>
          <cell r="J265">
            <v>45839</v>
          </cell>
          <cell r="K265">
            <v>45847</v>
          </cell>
          <cell r="P265" t="str">
            <v>COLABORATIVA S.A.C.</v>
          </cell>
          <cell r="Q265">
            <v>-221.82</v>
          </cell>
          <cell r="R265">
            <v>-39.93</v>
          </cell>
          <cell r="S265">
            <v>-261.75</v>
          </cell>
          <cell r="T265">
            <v>-261.75</v>
          </cell>
          <cell r="V265" t="str">
            <v>PEN</v>
          </cell>
          <cell r="W265" t="b">
            <v>0</v>
          </cell>
          <cell r="X265" t="str">
            <v>Pagado</v>
          </cell>
          <cell r="AB265" t="str">
            <v>Registrado</v>
          </cell>
          <cell r="AN265">
            <v>45839</v>
          </cell>
          <cell r="AO265" t="e">
            <v>#N/A</v>
          </cell>
          <cell r="AP265" t="str">
            <v>F FE27-00014814</v>
          </cell>
        </row>
        <row r="266">
          <cell r="E266" t="str">
            <v>F F001-00024683</v>
          </cell>
          <cell r="F266">
            <v>0</v>
          </cell>
          <cell r="H266" t="str">
            <v>TECNOLOGIA FLEXOGRAFICA S.A.C - TECFLEX</v>
          </cell>
          <cell r="I266">
            <v>45839</v>
          </cell>
          <cell r="J266">
            <v>45839</v>
          </cell>
          <cell r="K266">
            <v>45839</v>
          </cell>
          <cell r="L266" t="str">
            <v>P00083</v>
          </cell>
          <cell r="P266" t="str">
            <v>COLABORATIVA S.A.C.</v>
          </cell>
          <cell r="Q266">
            <v>-192</v>
          </cell>
          <cell r="R266">
            <v>-34.56</v>
          </cell>
          <cell r="S266">
            <v>-226.56</v>
          </cell>
          <cell r="T266">
            <v>-226.56</v>
          </cell>
          <cell r="V266" t="str">
            <v>PEN</v>
          </cell>
          <cell r="W266" t="b">
            <v>0</v>
          </cell>
          <cell r="X266" t="str">
            <v>Pagado</v>
          </cell>
          <cell r="AB266" t="str">
            <v>Registrado</v>
          </cell>
          <cell r="AN266">
            <v>45839</v>
          </cell>
          <cell r="AO266" t="e">
            <v>#N/A</v>
          </cell>
          <cell r="AP266" t="str">
            <v>F F001-00024683</v>
          </cell>
        </row>
        <row r="267">
          <cell r="E267" t="str">
            <v>F E001-00000271</v>
          </cell>
          <cell r="F267">
            <v>0</v>
          </cell>
          <cell r="H267" t="str">
            <v>DANPRINT STUDIO (CINTHIA LISETH LOPEZ INGA)</v>
          </cell>
          <cell r="I267">
            <v>45839</v>
          </cell>
          <cell r="J267">
            <v>45839</v>
          </cell>
          <cell r="K267">
            <v>45839</v>
          </cell>
          <cell r="L267" t="str">
            <v>P00073</v>
          </cell>
          <cell r="P267" t="str">
            <v>COLABORATIVA S.A.C.</v>
          </cell>
          <cell r="Q267">
            <v>-2076.27</v>
          </cell>
          <cell r="R267">
            <v>-373.73</v>
          </cell>
          <cell r="S267">
            <v>-2450</v>
          </cell>
          <cell r="T267">
            <v>-2450</v>
          </cell>
          <cell r="V267" t="str">
            <v>PEN</v>
          </cell>
          <cell r="W267" t="b">
            <v>0</v>
          </cell>
          <cell r="X267" t="str">
            <v>Pagado</v>
          </cell>
          <cell r="AB267" t="str">
            <v>Registrado</v>
          </cell>
          <cell r="AN267">
            <v>45839</v>
          </cell>
          <cell r="AO267" t="e">
            <v>#N/A</v>
          </cell>
          <cell r="AP267" t="str">
            <v>F E001-00000271</v>
          </cell>
        </row>
        <row r="268">
          <cell r="E268" t="str">
            <v>F E001-00000071</v>
          </cell>
          <cell r="F268">
            <v>0</v>
          </cell>
          <cell r="H268" t="str">
            <v>MUÑOZ VERANO JOHN BRACKSON</v>
          </cell>
          <cell r="I268">
            <v>45838</v>
          </cell>
          <cell r="J268">
            <v>45838</v>
          </cell>
          <cell r="K268">
            <v>45839</v>
          </cell>
          <cell r="P268" t="str">
            <v>COLABORATIVA S.A.C.</v>
          </cell>
          <cell r="Q268">
            <v>-600</v>
          </cell>
          <cell r="R268">
            <v>-108</v>
          </cell>
          <cell r="S268">
            <v>-708</v>
          </cell>
          <cell r="T268">
            <v>-708</v>
          </cell>
          <cell r="V268" t="str">
            <v>PEN</v>
          </cell>
          <cell r="W268" t="b">
            <v>0</v>
          </cell>
          <cell r="X268" t="str">
            <v>Pagado</v>
          </cell>
          <cell r="AB268" t="str">
            <v>Registrado</v>
          </cell>
          <cell r="AN268">
            <v>45838</v>
          </cell>
          <cell r="AO268" t="e">
            <v>#N/A</v>
          </cell>
          <cell r="AP268" t="str">
            <v>F E001-00000071</v>
          </cell>
        </row>
        <row r="269">
          <cell r="E269" t="str">
            <v>F E001-00000070</v>
          </cell>
          <cell r="F269">
            <v>0</v>
          </cell>
          <cell r="H269" t="str">
            <v>MUÑOZ VERANO JOHN BRACKSON</v>
          </cell>
          <cell r="I269">
            <v>45838</v>
          </cell>
          <cell r="J269">
            <v>45838</v>
          </cell>
          <cell r="K269">
            <v>45839</v>
          </cell>
          <cell r="P269" t="str">
            <v>COLABORATIVA S.A.C.</v>
          </cell>
          <cell r="Q269">
            <v>-960</v>
          </cell>
          <cell r="R269">
            <v>-172.8</v>
          </cell>
          <cell r="S269">
            <v>-1132.8</v>
          </cell>
          <cell r="T269">
            <v>-1132.8</v>
          </cell>
          <cell r="V269" t="str">
            <v>PEN</v>
          </cell>
          <cell r="W269" t="b">
            <v>0</v>
          </cell>
          <cell r="X269" t="str">
            <v>Pagado</v>
          </cell>
          <cell r="AB269" t="str">
            <v>Registrado</v>
          </cell>
          <cell r="AN269">
            <v>45838</v>
          </cell>
          <cell r="AO269" t="e">
            <v>#N/A</v>
          </cell>
          <cell r="AP269" t="str">
            <v>F E001-00000070</v>
          </cell>
        </row>
        <row r="270">
          <cell r="E270" t="str">
            <v>F F001-00015150</v>
          </cell>
          <cell r="F270">
            <v>0</v>
          </cell>
          <cell r="H270" t="str">
            <v>HR CORP S.A.C.</v>
          </cell>
          <cell r="I270">
            <v>45837</v>
          </cell>
          <cell r="J270">
            <v>45837</v>
          </cell>
          <cell r="K270">
            <v>45896</v>
          </cell>
          <cell r="P270" t="str">
            <v>COLABORATIVA S.A.C.</v>
          </cell>
          <cell r="Q270">
            <v>-78.39</v>
          </cell>
          <cell r="R270">
            <v>-14.11</v>
          </cell>
          <cell r="S270">
            <v>-92.5</v>
          </cell>
          <cell r="T270">
            <v>-92.5</v>
          </cell>
          <cell r="V270" t="str">
            <v>PEN</v>
          </cell>
          <cell r="W270" t="b">
            <v>0</v>
          </cell>
          <cell r="X270" t="str">
            <v>Pagado</v>
          </cell>
          <cell r="AB270" t="str">
            <v>Registrado</v>
          </cell>
          <cell r="AN270">
            <v>45837</v>
          </cell>
          <cell r="AO270" t="e">
            <v>#N/A</v>
          </cell>
          <cell r="AP270" t="str">
            <v>F F001-00015150</v>
          </cell>
        </row>
        <row r="271">
          <cell r="E271" t="str">
            <v>R E001-67</v>
          </cell>
          <cell r="F271">
            <v>0</v>
          </cell>
          <cell r="H271" t="str">
            <v>MARCAS TUPALAYA VICTOR ALBERTO</v>
          </cell>
          <cell r="I271">
            <v>45835</v>
          </cell>
          <cell r="J271">
            <v>45835</v>
          </cell>
          <cell r="K271">
            <v>45835</v>
          </cell>
          <cell r="P271" t="str">
            <v>COLABORATIVA S.A.C.</v>
          </cell>
          <cell r="Q271">
            <v>-1350</v>
          </cell>
          <cell r="S271">
            <v>-1350</v>
          </cell>
          <cell r="T271">
            <v>-1350</v>
          </cell>
          <cell r="V271" t="str">
            <v>PEN</v>
          </cell>
          <cell r="W271" t="b">
            <v>0</v>
          </cell>
          <cell r="X271" t="str">
            <v>Pagado</v>
          </cell>
          <cell r="AB271" t="str">
            <v>Registrado</v>
          </cell>
          <cell r="AN271">
            <v>45835</v>
          </cell>
          <cell r="AO271" t="e">
            <v>#N/A</v>
          </cell>
          <cell r="AP271" t="str">
            <v>R E001-67</v>
          </cell>
        </row>
        <row r="272">
          <cell r="E272" t="str">
            <v>F F203-00010988</v>
          </cell>
          <cell r="F272">
            <v>0</v>
          </cell>
          <cell r="H272" t="str">
            <v>Papelera el Pacifico S.A.</v>
          </cell>
          <cell r="I272">
            <v>45835</v>
          </cell>
          <cell r="J272">
            <v>45835</v>
          </cell>
          <cell r="K272">
            <v>45838</v>
          </cell>
          <cell r="L272" t="str">
            <v>P00080</v>
          </cell>
          <cell r="P272" t="str">
            <v>COLABORATIVA S.A.C.</v>
          </cell>
          <cell r="Q272">
            <v>-347.46</v>
          </cell>
          <cell r="R272">
            <v>-62.54</v>
          </cell>
          <cell r="S272">
            <v>-410</v>
          </cell>
          <cell r="T272">
            <v>-410</v>
          </cell>
          <cell r="V272" t="str">
            <v>PEN</v>
          </cell>
          <cell r="W272" t="b">
            <v>0</v>
          </cell>
          <cell r="X272" t="str">
            <v>Pagado</v>
          </cell>
          <cell r="AB272" t="str">
            <v>Registrado</v>
          </cell>
          <cell r="AN272">
            <v>45835</v>
          </cell>
          <cell r="AO272" t="e">
            <v>#N/A</v>
          </cell>
          <cell r="AP272" t="str">
            <v>F F203-00010988</v>
          </cell>
        </row>
        <row r="273">
          <cell r="E273" t="str">
            <v>F F001-00024648</v>
          </cell>
          <cell r="F273">
            <v>0</v>
          </cell>
          <cell r="H273" t="str">
            <v>TECNOLOGIA FLEXOGRAFICA S.A.C - TECFLEX</v>
          </cell>
          <cell r="I273">
            <v>45835</v>
          </cell>
          <cell r="J273">
            <v>45835</v>
          </cell>
          <cell r="K273">
            <v>45835</v>
          </cell>
          <cell r="L273" t="str">
            <v>P00077</v>
          </cell>
          <cell r="P273" t="str">
            <v>COLABORATIVA S.A.C.</v>
          </cell>
          <cell r="Q273">
            <v>-1172</v>
          </cell>
          <cell r="R273">
            <v>-210.96</v>
          </cell>
          <cell r="S273">
            <v>-1382.96</v>
          </cell>
          <cell r="T273">
            <v>-1382.96</v>
          </cell>
          <cell r="V273" t="str">
            <v>PEN</v>
          </cell>
          <cell r="W273" t="b">
            <v>0</v>
          </cell>
          <cell r="X273" t="str">
            <v>Pagado</v>
          </cell>
          <cell r="AB273" t="str">
            <v>Registrado</v>
          </cell>
          <cell r="AN273">
            <v>45835</v>
          </cell>
          <cell r="AO273" t="e">
            <v>#N/A</v>
          </cell>
          <cell r="AP273" t="str">
            <v>F F001-00024648</v>
          </cell>
        </row>
        <row r="274">
          <cell r="E274" t="str">
            <v>R E001-21</v>
          </cell>
          <cell r="F274">
            <v>0</v>
          </cell>
          <cell r="H274" t="str">
            <v>GIURA MORI GABRIELA NORIKO</v>
          </cell>
          <cell r="I274">
            <v>45834</v>
          </cell>
          <cell r="J274">
            <v>45834</v>
          </cell>
          <cell r="K274">
            <v>45834</v>
          </cell>
          <cell r="L274" t="str">
            <v>P00078</v>
          </cell>
          <cell r="P274" t="str">
            <v>COLABORATIVA S.A.C.</v>
          </cell>
          <cell r="Q274">
            <v>-1540</v>
          </cell>
          <cell r="S274">
            <v>-1540</v>
          </cell>
          <cell r="T274">
            <v>-1540</v>
          </cell>
          <cell r="V274" t="str">
            <v>PEN</v>
          </cell>
          <cell r="W274" t="b">
            <v>0</v>
          </cell>
          <cell r="X274" t="str">
            <v>Pagado</v>
          </cell>
          <cell r="AB274" t="str">
            <v>Registrado</v>
          </cell>
          <cell r="AN274">
            <v>45834</v>
          </cell>
          <cell r="AO274" t="e">
            <v>#N/A</v>
          </cell>
          <cell r="AP274" t="str">
            <v>R E001-21</v>
          </cell>
        </row>
        <row r="275">
          <cell r="E275" t="str">
            <v>RE-00134</v>
          </cell>
          <cell r="F275">
            <v>0</v>
          </cell>
          <cell r="H275" t="str">
            <v>GARRIDO ROJAS GREGORY OMAR</v>
          </cell>
          <cell r="I275">
            <v>45834</v>
          </cell>
          <cell r="J275">
            <v>45834</v>
          </cell>
          <cell r="K275">
            <v>45834</v>
          </cell>
          <cell r="P275" t="str">
            <v>COLABORATIVA S.A.C.</v>
          </cell>
          <cell r="Q275">
            <v>-150</v>
          </cell>
          <cell r="S275">
            <v>-150</v>
          </cell>
          <cell r="T275">
            <v>-150</v>
          </cell>
          <cell r="V275" t="str">
            <v>PEN</v>
          </cell>
          <cell r="W275" t="b">
            <v>0</v>
          </cell>
          <cell r="X275" t="str">
            <v>Pagado</v>
          </cell>
          <cell r="AB275" t="str">
            <v>Registrado</v>
          </cell>
          <cell r="AN275">
            <v>45834</v>
          </cell>
          <cell r="AO275" t="e">
            <v>#N/A</v>
          </cell>
          <cell r="AP275" t="str">
            <v>R E001 34</v>
          </cell>
        </row>
        <row r="276">
          <cell r="E276" t="str">
            <v>F E001-00000069</v>
          </cell>
          <cell r="F276">
            <v>0</v>
          </cell>
          <cell r="H276" t="str">
            <v>MUÑOZ VERANO JOHN BRACKSON</v>
          </cell>
          <cell r="I276">
            <v>45834</v>
          </cell>
          <cell r="J276">
            <v>45834</v>
          </cell>
          <cell r="K276">
            <v>45835</v>
          </cell>
          <cell r="P276" t="str">
            <v>COLABORATIVA S.A.C.</v>
          </cell>
          <cell r="Q276">
            <v>-360</v>
          </cell>
          <cell r="R276">
            <v>-64.8</v>
          </cell>
          <cell r="S276">
            <v>-424.8</v>
          </cell>
          <cell r="T276">
            <v>-424.8</v>
          </cell>
          <cell r="V276" t="str">
            <v>PEN</v>
          </cell>
          <cell r="W276" t="b">
            <v>0</v>
          </cell>
          <cell r="X276" t="str">
            <v>Pagado</v>
          </cell>
          <cell r="AB276" t="str">
            <v>Registrado</v>
          </cell>
          <cell r="AN276">
            <v>45834</v>
          </cell>
          <cell r="AO276" t="e">
            <v>#N/A</v>
          </cell>
          <cell r="AP276" t="str">
            <v>F E001-00000069</v>
          </cell>
        </row>
        <row r="277">
          <cell r="E277" t="str">
            <v>F F101-00013907</v>
          </cell>
          <cell r="F277">
            <v>0</v>
          </cell>
          <cell r="H277" t="str">
            <v>L &amp; R TURISMO Y COMERCIO SAC</v>
          </cell>
          <cell r="I277">
            <v>45833</v>
          </cell>
          <cell r="J277">
            <v>45833</v>
          </cell>
          <cell r="K277">
            <v>45833</v>
          </cell>
          <cell r="L277" t="str">
            <v>P00076</v>
          </cell>
          <cell r="P277" t="str">
            <v>COLABORATIVA S.A.C.</v>
          </cell>
          <cell r="Q277">
            <v>-355.93</v>
          </cell>
          <cell r="R277">
            <v>-64.069999999999993</v>
          </cell>
          <cell r="S277">
            <v>-420</v>
          </cell>
          <cell r="T277">
            <v>-420</v>
          </cell>
          <cell r="V277" t="str">
            <v>PEN</v>
          </cell>
          <cell r="W277" t="b">
            <v>0</v>
          </cell>
          <cell r="X277" t="str">
            <v>Pagado</v>
          </cell>
          <cell r="AB277" t="str">
            <v>Registrado</v>
          </cell>
          <cell r="AN277">
            <v>45833</v>
          </cell>
          <cell r="AO277" t="e">
            <v>#N/A</v>
          </cell>
          <cell r="AP277" t="str">
            <v>F F101-00013907</v>
          </cell>
        </row>
        <row r="278">
          <cell r="E278" t="str">
            <v>F F002-00031619</v>
          </cell>
          <cell r="F278">
            <v>0</v>
          </cell>
          <cell r="H278" t="str">
            <v>FLINK S.A.C.</v>
          </cell>
          <cell r="I278">
            <v>45833</v>
          </cell>
          <cell r="J278">
            <v>45833</v>
          </cell>
          <cell r="K278">
            <v>45848</v>
          </cell>
          <cell r="L278" t="str">
            <v>P00082</v>
          </cell>
          <cell r="P278" t="str">
            <v>COLABORATIVA S.A.C.</v>
          </cell>
          <cell r="Q278">
            <v>-6440.64</v>
          </cell>
          <cell r="R278">
            <v>-1159.3599999999999</v>
          </cell>
          <cell r="S278">
            <v>-7600</v>
          </cell>
          <cell r="T278">
            <v>-7600</v>
          </cell>
          <cell r="V278" t="str">
            <v>PEN</v>
          </cell>
          <cell r="W278" t="b">
            <v>0</v>
          </cell>
          <cell r="X278" t="str">
            <v>Pagado</v>
          </cell>
          <cell r="AB278" t="str">
            <v>Registrado</v>
          </cell>
          <cell r="AN278">
            <v>45833</v>
          </cell>
          <cell r="AO278" t="e">
            <v>#N/A</v>
          </cell>
          <cell r="AP278" t="str">
            <v>F F002-00031619</v>
          </cell>
        </row>
        <row r="279">
          <cell r="E279" t="str">
            <v>F E001-00000275</v>
          </cell>
          <cell r="F279">
            <v>0</v>
          </cell>
          <cell r="H279" t="str">
            <v>JEMKA &amp; ASOCIADOS S.A.C.</v>
          </cell>
          <cell r="I279">
            <v>45833</v>
          </cell>
          <cell r="J279">
            <v>45833</v>
          </cell>
          <cell r="K279">
            <v>45835</v>
          </cell>
          <cell r="P279" t="str">
            <v>COLABORATIVA S.A.C.</v>
          </cell>
          <cell r="Q279">
            <v>-220.34</v>
          </cell>
          <cell r="R279">
            <v>-39.659999999999997</v>
          </cell>
          <cell r="S279">
            <v>-260</v>
          </cell>
          <cell r="T279">
            <v>-260</v>
          </cell>
          <cell r="V279" t="str">
            <v>PEN</v>
          </cell>
          <cell r="W279" t="b">
            <v>0</v>
          </cell>
          <cell r="X279" t="str">
            <v>Pagado</v>
          </cell>
          <cell r="AB279" t="str">
            <v>Registrado</v>
          </cell>
          <cell r="AN279">
            <v>45833</v>
          </cell>
          <cell r="AO279" t="e">
            <v>#N/A</v>
          </cell>
          <cell r="AP279" t="str">
            <v>F E001-00000275</v>
          </cell>
        </row>
        <row r="280">
          <cell r="E280" t="str">
            <v>F E001-00000272</v>
          </cell>
          <cell r="F280">
            <v>0</v>
          </cell>
          <cell r="H280" t="str">
            <v>JEMKA &amp; ASOCIADOS S.A.C.</v>
          </cell>
          <cell r="I280">
            <v>45833</v>
          </cell>
          <cell r="J280">
            <v>45833</v>
          </cell>
          <cell r="K280">
            <v>45835</v>
          </cell>
          <cell r="P280" t="str">
            <v>COLABORATIVA S.A.C.</v>
          </cell>
          <cell r="Q280">
            <v>-1560</v>
          </cell>
          <cell r="R280">
            <v>-280.8</v>
          </cell>
          <cell r="S280">
            <v>-1840.8</v>
          </cell>
          <cell r="T280">
            <v>-1840.8</v>
          </cell>
          <cell r="V280" t="str">
            <v>PEN</v>
          </cell>
          <cell r="W280" t="b">
            <v>0</v>
          </cell>
          <cell r="X280" t="str">
            <v>Pagado</v>
          </cell>
          <cell r="AB280" t="str">
            <v>Registrado</v>
          </cell>
          <cell r="AN280">
            <v>45833</v>
          </cell>
          <cell r="AO280" t="e">
            <v>#N/A</v>
          </cell>
          <cell r="AP280" t="str">
            <v>F E001-00000272</v>
          </cell>
        </row>
        <row r="281">
          <cell r="E281" t="str">
            <v>F E001-00000254</v>
          </cell>
          <cell r="F281">
            <v>0</v>
          </cell>
          <cell r="H281" t="str">
            <v>HOSPEDAJE RESIDENCIAL SOL Y LUNA E.I.R.L.</v>
          </cell>
          <cell r="I281">
            <v>45833</v>
          </cell>
          <cell r="J281">
            <v>45833</v>
          </cell>
          <cell r="K281">
            <v>45833</v>
          </cell>
          <cell r="P281" t="str">
            <v>COLABORATIVA S.A.C.</v>
          </cell>
          <cell r="Q281">
            <v>-298.31</v>
          </cell>
          <cell r="R281">
            <v>-53.69</v>
          </cell>
          <cell r="S281">
            <v>-352</v>
          </cell>
          <cell r="T281">
            <v>-352</v>
          </cell>
          <cell r="V281" t="str">
            <v>PEN</v>
          </cell>
          <cell r="W281" t="b">
            <v>0</v>
          </cell>
          <cell r="X281" t="str">
            <v>Pagado</v>
          </cell>
          <cell r="AB281" t="str">
            <v>Registrado</v>
          </cell>
          <cell r="AN281">
            <v>45833</v>
          </cell>
          <cell r="AO281" t="e">
            <v>#N/A</v>
          </cell>
          <cell r="AP281" t="str">
            <v>F E001-00000254</v>
          </cell>
        </row>
        <row r="282">
          <cell r="E282" t="str">
            <v>R SB01-0550463247</v>
          </cell>
          <cell r="F282">
            <v>0</v>
          </cell>
          <cell r="H282" t="str">
            <v>America Móvil Perú S.A.C.</v>
          </cell>
          <cell r="I282">
            <v>45832</v>
          </cell>
          <cell r="J282">
            <v>45832</v>
          </cell>
          <cell r="K282">
            <v>45847</v>
          </cell>
          <cell r="P282" t="str">
            <v>COLABORATIVA S.A.C.</v>
          </cell>
          <cell r="Q282">
            <v>-25.33</v>
          </cell>
          <cell r="R282">
            <v>-4.5599999999999996</v>
          </cell>
          <cell r="S282">
            <v>-29.89</v>
          </cell>
          <cell r="T282">
            <v>-29.89</v>
          </cell>
          <cell r="V282" t="str">
            <v>PEN</v>
          </cell>
          <cell r="W282" t="b">
            <v>0</v>
          </cell>
          <cell r="X282" t="str">
            <v>Pagado</v>
          </cell>
          <cell r="AB282" t="str">
            <v>Registrado</v>
          </cell>
          <cell r="AN282">
            <v>45832</v>
          </cell>
          <cell r="AO282" t="e">
            <v>#N/A</v>
          </cell>
          <cell r="AP282" t="str">
            <v>R SB01-0550463247</v>
          </cell>
        </row>
        <row r="283">
          <cell r="E283" t="str">
            <v>R SB01-0550107596</v>
          </cell>
          <cell r="F283">
            <v>0</v>
          </cell>
          <cell r="H283" t="str">
            <v>America Móvil Perú S.A.C.</v>
          </cell>
          <cell r="I283">
            <v>45832</v>
          </cell>
          <cell r="J283">
            <v>45832</v>
          </cell>
          <cell r="K283">
            <v>45847</v>
          </cell>
          <cell r="P283" t="str">
            <v>COLABORATIVA S.A.C.</v>
          </cell>
          <cell r="Q283">
            <v>-23.69</v>
          </cell>
          <cell r="R283">
            <v>-4.26</v>
          </cell>
          <cell r="S283">
            <v>-27.95</v>
          </cell>
          <cell r="T283">
            <v>-27.95</v>
          </cell>
          <cell r="V283" t="str">
            <v>PEN</v>
          </cell>
          <cell r="W283" t="b">
            <v>0</v>
          </cell>
          <cell r="X283" t="str">
            <v>Pagado</v>
          </cell>
          <cell r="AB283" t="str">
            <v>Registrado</v>
          </cell>
          <cell r="AN283">
            <v>45832</v>
          </cell>
          <cell r="AO283" t="e">
            <v>#N/A</v>
          </cell>
          <cell r="AP283" t="str">
            <v>R SB01-0550107596</v>
          </cell>
        </row>
        <row r="284">
          <cell r="E284" t="str">
            <v>R SB01-0550100191</v>
          </cell>
          <cell r="F284">
            <v>0</v>
          </cell>
          <cell r="H284" t="str">
            <v>America Móvil Perú S.A.C.</v>
          </cell>
          <cell r="I284">
            <v>45832</v>
          </cell>
          <cell r="J284">
            <v>45832</v>
          </cell>
          <cell r="K284">
            <v>45847</v>
          </cell>
          <cell r="P284" t="str">
            <v>COLABORATIVA S.A.C.</v>
          </cell>
          <cell r="Q284">
            <v>-47.37</v>
          </cell>
          <cell r="R284">
            <v>-8.5299999999999994</v>
          </cell>
          <cell r="S284">
            <v>-55.9</v>
          </cell>
          <cell r="T284">
            <v>-55.9</v>
          </cell>
          <cell r="V284" t="str">
            <v>PEN</v>
          </cell>
          <cell r="W284" t="b">
            <v>0</v>
          </cell>
          <cell r="X284" t="str">
            <v>Pagado</v>
          </cell>
          <cell r="AB284" t="str">
            <v>Registrado</v>
          </cell>
          <cell r="AN284">
            <v>45832</v>
          </cell>
          <cell r="AO284" t="e">
            <v>#N/A</v>
          </cell>
          <cell r="AP284" t="str">
            <v>R SB01-0550100191</v>
          </cell>
        </row>
        <row r="285">
          <cell r="E285" t="str">
            <v>RE-001117</v>
          </cell>
          <cell r="F285">
            <v>0</v>
          </cell>
          <cell r="H285" t="str">
            <v>SANCHEZ SANCHEZ VICTOR RUBEN</v>
          </cell>
          <cell r="I285">
            <v>45832</v>
          </cell>
          <cell r="J285">
            <v>45832</v>
          </cell>
          <cell r="K285">
            <v>45840</v>
          </cell>
          <cell r="P285" t="str">
            <v>COLABORATIVA S.A.C.</v>
          </cell>
          <cell r="Q285">
            <v>-1800</v>
          </cell>
          <cell r="S285">
            <v>-1800</v>
          </cell>
          <cell r="T285">
            <v>-1800</v>
          </cell>
          <cell r="V285" t="str">
            <v>PEN</v>
          </cell>
          <cell r="W285" t="b">
            <v>0</v>
          </cell>
          <cell r="X285" t="str">
            <v>Pagado</v>
          </cell>
          <cell r="AB285" t="str">
            <v>Registrado</v>
          </cell>
          <cell r="AN285">
            <v>45832</v>
          </cell>
          <cell r="AO285" t="e">
            <v>#N/A</v>
          </cell>
          <cell r="AP285" t="str">
            <v>R E001 117</v>
          </cell>
        </row>
        <row r="286">
          <cell r="E286" t="str">
            <v>F E001-00000268</v>
          </cell>
          <cell r="F286">
            <v>0</v>
          </cell>
          <cell r="H286" t="str">
            <v>DANPRINT STUDIO (CINTHIA LISETH LOPEZ INGA)</v>
          </cell>
          <cell r="I286">
            <v>45832</v>
          </cell>
          <cell r="J286">
            <v>45832</v>
          </cell>
          <cell r="K286">
            <v>45832</v>
          </cell>
          <cell r="L286" t="str">
            <v>P00070</v>
          </cell>
          <cell r="P286" t="str">
            <v>COLABORATIVA S.A.C.</v>
          </cell>
          <cell r="Q286">
            <v>-2076.27</v>
          </cell>
          <cell r="R286">
            <v>-373.73</v>
          </cell>
          <cell r="S286">
            <v>-2450</v>
          </cell>
          <cell r="T286">
            <v>-2450</v>
          </cell>
          <cell r="V286" t="str">
            <v>PEN</v>
          </cell>
          <cell r="W286" t="b">
            <v>0</v>
          </cell>
          <cell r="X286" t="str">
            <v>Pagado</v>
          </cell>
          <cell r="AB286" t="str">
            <v>Registrado</v>
          </cell>
          <cell r="AN286">
            <v>45832</v>
          </cell>
          <cell r="AO286" t="e">
            <v>#N/A</v>
          </cell>
          <cell r="AP286" t="str">
            <v>F E001-00000268</v>
          </cell>
        </row>
        <row r="287">
          <cell r="E287" t="str">
            <v>F E001-00000160</v>
          </cell>
          <cell r="F287">
            <v>0</v>
          </cell>
          <cell r="H287" t="str">
            <v>VILCA SILVA JOHAN ALDAIR</v>
          </cell>
          <cell r="I287">
            <v>45831</v>
          </cell>
          <cell r="J287">
            <v>45831</v>
          </cell>
          <cell r="K287">
            <v>45831</v>
          </cell>
          <cell r="L287" t="str">
            <v>P00074</v>
          </cell>
          <cell r="P287" t="str">
            <v>COLABORATIVA S.A.C.</v>
          </cell>
          <cell r="Q287">
            <v>-220</v>
          </cell>
          <cell r="R287">
            <v>-39.6</v>
          </cell>
          <cell r="S287">
            <v>-259.60000000000002</v>
          </cell>
          <cell r="T287">
            <v>-259.60000000000002</v>
          </cell>
          <cell r="V287" t="str">
            <v>PEN</v>
          </cell>
          <cell r="W287" t="b">
            <v>0</v>
          </cell>
          <cell r="X287" t="str">
            <v>Pagado</v>
          </cell>
          <cell r="AB287" t="str">
            <v>Registrado</v>
          </cell>
          <cell r="AN287">
            <v>45831</v>
          </cell>
          <cell r="AO287" t="e">
            <v>#N/A</v>
          </cell>
          <cell r="AP287" t="str">
            <v>F E001-00000160</v>
          </cell>
        </row>
        <row r="288">
          <cell r="E288" t="str">
            <v>F E001-00000068</v>
          </cell>
          <cell r="F288">
            <v>0</v>
          </cell>
          <cell r="H288" t="str">
            <v>MUÑOZ VERANO JOHN BRACKSON</v>
          </cell>
          <cell r="I288">
            <v>45831</v>
          </cell>
          <cell r="J288">
            <v>45831</v>
          </cell>
          <cell r="K288">
            <v>45831</v>
          </cell>
          <cell r="P288" t="str">
            <v>COLABORATIVA S.A.C.</v>
          </cell>
          <cell r="Q288">
            <v>-480</v>
          </cell>
          <cell r="R288">
            <v>-86.4</v>
          </cell>
          <cell r="S288">
            <v>-566.4</v>
          </cell>
          <cell r="T288">
            <v>-566.4</v>
          </cell>
          <cell r="V288" t="str">
            <v>PEN</v>
          </cell>
          <cell r="W288" t="b">
            <v>0</v>
          </cell>
          <cell r="X288" t="str">
            <v>Pagado</v>
          </cell>
          <cell r="AB288" t="str">
            <v>Registrado</v>
          </cell>
          <cell r="AN288">
            <v>45831</v>
          </cell>
          <cell r="AO288" t="e">
            <v>#N/A</v>
          </cell>
          <cell r="AP288" t="str">
            <v>F E001-00000068</v>
          </cell>
        </row>
        <row r="289">
          <cell r="E289" t="str">
            <v>GAST-2025060003</v>
          </cell>
          <cell r="F289">
            <v>0</v>
          </cell>
          <cell r="H289" t="str">
            <v>Angie Nicole Flores Romero</v>
          </cell>
          <cell r="I289">
            <v>45846</v>
          </cell>
          <cell r="J289">
            <v>45828</v>
          </cell>
          <cell r="K289">
            <v>45846</v>
          </cell>
          <cell r="N289" t="str">
            <v>COMPRA DE PASAJES IDA - VIAJE A TRUJILLO</v>
          </cell>
          <cell r="P289" t="str">
            <v>COLABORATIVA S.A.C.</v>
          </cell>
          <cell r="Q289">
            <v>-160</v>
          </cell>
          <cell r="S289">
            <v>-160</v>
          </cell>
          <cell r="T289">
            <v>-160</v>
          </cell>
          <cell r="V289" t="str">
            <v>PEN</v>
          </cell>
          <cell r="W289" t="b">
            <v>0</v>
          </cell>
          <cell r="X289" t="str">
            <v>Pagado</v>
          </cell>
          <cell r="AB289" t="str">
            <v>Registrado</v>
          </cell>
          <cell r="AN289">
            <v>45846</v>
          </cell>
          <cell r="AO289" t="e">
            <v>#N/A</v>
          </cell>
          <cell r="AP289" t="str">
            <v>GAST/2025/06/0003</v>
          </cell>
        </row>
        <row r="290">
          <cell r="E290" t="str">
            <v>F E001-00000020</v>
          </cell>
          <cell r="F290">
            <v>0</v>
          </cell>
          <cell r="H290" t="str">
            <v>GIURA MORI GABRIELA NORIKO</v>
          </cell>
          <cell r="I290">
            <v>45827</v>
          </cell>
          <cell r="J290">
            <v>45827</v>
          </cell>
          <cell r="K290">
            <v>45827</v>
          </cell>
          <cell r="P290" t="str">
            <v>COLABORATIVA S.A.C.</v>
          </cell>
          <cell r="Q290">
            <v>-110</v>
          </cell>
          <cell r="S290">
            <v>-110</v>
          </cell>
          <cell r="T290">
            <v>-110</v>
          </cell>
          <cell r="V290" t="str">
            <v>PEN</v>
          </cell>
          <cell r="W290" t="b">
            <v>0</v>
          </cell>
          <cell r="X290" t="str">
            <v>Pagado</v>
          </cell>
          <cell r="AB290" t="str">
            <v>Registrado</v>
          </cell>
          <cell r="AN290">
            <v>45827</v>
          </cell>
          <cell r="AO290" t="e">
            <v>#N/A</v>
          </cell>
          <cell r="AP290" t="str">
            <v>F E001-00000020</v>
          </cell>
        </row>
        <row r="291">
          <cell r="E291" t="str">
            <v>F F002-00014647</v>
          </cell>
          <cell r="F291">
            <v>0</v>
          </cell>
          <cell r="H291" t="str">
            <v>TECNOLOGIA FLEXOGRAFICA S.A.C - TECFLEX</v>
          </cell>
          <cell r="I291">
            <v>45826</v>
          </cell>
          <cell r="J291">
            <v>45826</v>
          </cell>
          <cell r="K291">
            <v>45826</v>
          </cell>
          <cell r="L291" t="str">
            <v>P00071</v>
          </cell>
          <cell r="P291" t="str">
            <v>COLABORATIVA S.A.C.</v>
          </cell>
          <cell r="Q291">
            <v>-41.8</v>
          </cell>
          <cell r="R291">
            <v>-7.52</v>
          </cell>
          <cell r="S291">
            <v>-49.32</v>
          </cell>
          <cell r="T291">
            <v>-49.32</v>
          </cell>
          <cell r="V291" t="str">
            <v>PEN</v>
          </cell>
          <cell r="W291" t="b">
            <v>0</v>
          </cell>
          <cell r="X291" t="str">
            <v>Pagado</v>
          </cell>
          <cell r="AB291" t="str">
            <v>Registrado</v>
          </cell>
          <cell r="AN291">
            <v>45826</v>
          </cell>
          <cell r="AO291" t="e">
            <v>#N/A</v>
          </cell>
          <cell r="AP291" t="str">
            <v>F F002-00014647</v>
          </cell>
        </row>
        <row r="292">
          <cell r="E292" t="str">
            <v>F F002-00001411</v>
          </cell>
          <cell r="F292">
            <v>0</v>
          </cell>
          <cell r="H292" t="str">
            <v>PRAGMATIC S.A.C.</v>
          </cell>
          <cell r="I292">
            <v>45826</v>
          </cell>
          <cell r="J292">
            <v>45826</v>
          </cell>
          <cell r="K292">
            <v>45916</v>
          </cell>
          <cell r="L292" t="str">
            <v>P00224</v>
          </cell>
          <cell r="P292" t="str">
            <v>COLABORATIVA S.A.C.</v>
          </cell>
          <cell r="Q292">
            <v>-300</v>
          </cell>
          <cell r="R292">
            <v>-54</v>
          </cell>
          <cell r="S292">
            <v>-354</v>
          </cell>
          <cell r="T292">
            <v>-354</v>
          </cell>
          <cell r="V292" t="str">
            <v>PEN</v>
          </cell>
          <cell r="W292" t="b">
            <v>0</v>
          </cell>
          <cell r="X292" t="str">
            <v>Pagado</v>
          </cell>
          <cell r="AB292" t="str">
            <v>Registrado</v>
          </cell>
          <cell r="AN292">
            <v>45826</v>
          </cell>
          <cell r="AO292" t="e">
            <v>#N/A</v>
          </cell>
          <cell r="AP292" t="str">
            <v>F F002-00001411</v>
          </cell>
        </row>
        <row r="293">
          <cell r="E293" t="str">
            <v>F F002-00001409</v>
          </cell>
          <cell r="F293">
            <v>0</v>
          </cell>
          <cell r="H293" t="str">
            <v>PRAGMATIC S.A.C.</v>
          </cell>
          <cell r="I293">
            <v>45825</v>
          </cell>
          <cell r="J293">
            <v>45825</v>
          </cell>
          <cell r="K293">
            <v>45834</v>
          </cell>
          <cell r="L293" t="str">
            <v>P00079</v>
          </cell>
          <cell r="P293" t="str">
            <v>COLABORATIVA S.A.C.</v>
          </cell>
          <cell r="Q293">
            <v>-337.5</v>
          </cell>
          <cell r="R293">
            <v>-60.75</v>
          </cell>
          <cell r="S293">
            <v>-398.25</v>
          </cell>
          <cell r="T293">
            <v>-398.25</v>
          </cell>
          <cell r="V293" t="str">
            <v>PEN</v>
          </cell>
          <cell r="W293" t="b">
            <v>0</v>
          </cell>
          <cell r="X293" t="str">
            <v>Pagado</v>
          </cell>
          <cell r="AB293" t="str">
            <v>Registrado</v>
          </cell>
          <cell r="AN293">
            <v>45825</v>
          </cell>
          <cell r="AO293" t="e">
            <v>#N/A</v>
          </cell>
          <cell r="AP293" t="str">
            <v>F F002-00001409</v>
          </cell>
        </row>
        <row r="294">
          <cell r="E294" t="str">
            <v>F E001-00000065</v>
          </cell>
          <cell r="F294">
            <v>0</v>
          </cell>
          <cell r="H294" t="str">
            <v>MUÑOZ VERANO JOHN BRACKSON</v>
          </cell>
          <cell r="I294">
            <v>45825</v>
          </cell>
          <cell r="J294">
            <v>45825</v>
          </cell>
          <cell r="K294">
            <v>45825</v>
          </cell>
          <cell r="P294" t="str">
            <v>COLABORATIVA S.A.C.</v>
          </cell>
          <cell r="Q294">
            <v>-360</v>
          </cell>
          <cell r="R294">
            <v>-64.8</v>
          </cell>
          <cell r="S294">
            <v>-424.8</v>
          </cell>
          <cell r="T294">
            <v>-424.8</v>
          </cell>
          <cell r="V294" t="str">
            <v>PEN</v>
          </cell>
          <cell r="W294" t="b">
            <v>0</v>
          </cell>
          <cell r="X294" t="str">
            <v>Pagado</v>
          </cell>
          <cell r="AB294" t="str">
            <v>Registrado</v>
          </cell>
          <cell r="AN294">
            <v>45825</v>
          </cell>
          <cell r="AO294" t="e">
            <v>#N/A</v>
          </cell>
          <cell r="AP294" t="str">
            <v>F E001-00000065</v>
          </cell>
        </row>
        <row r="295">
          <cell r="E295" t="str">
            <v>R E001-51</v>
          </cell>
          <cell r="F295">
            <v>0</v>
          </cell>
          <cell r="H295" t="str">
            <v>VENTURA SABINO MIGUEL ANGEL</v>
          </cell>
          <cell r="I295">
            <v>45824</v>
          </cell>
          <cell r="J295">
            <v>45824</v>
          </cell>
          <cell r="K295">
            <v>45825</v>
          </cell>
          <cell r="P295" t="str">
            <v>COLABORATIVA S.A.C.</v>
          </cell>
          <cell r="Q295">
            <v>-550</v>
          </cell>
          <cell r="S295">
            <v>-550</v>
          </cell>
          <cell r="T295">
            <v>-550</v>
          </cell>
          <cell r="V295" t="str">
            <v>PEN</v>
          </cell>
          <cell r="W295" t="b">
            <v>0</v>
          </cell>
          <cell r="X295" t="str">
            <v>Pagado</v>
          </cell>
          <cell r="AB295" t="str">
            <v>Registrado</v>
          </cell>
          <cell r="AN295">
            <v>45824</v>
          </cell>
          <cell r="AO295" t="e">
            <v>#N/A</v>
          </cell>
          <cell r="AP295" t="str">
            <v>R E001- 51</v>
          </cell>
        </row>
        <row r="296">
          <cell r="E296" t="str">
            <v>F F001-00009029</v>
          </cell>
          <cell r="F296">
            <v>0</v>
          </cell>
          <cell r="H296" t="str">
            <v>PRECINTOS PERU E.I.R.L</v>
          </cell>
          <cell r="I296">
            <v>45824</v>
          </cell>
          <cell r="J296">
            <v>45824</v>
          </cell>
          <cell r="K296">
            <v>45825</v>
          </cell>
          <cell r="L296" t="str">
            <v>P00072</v>
          </cell>
          <cell r="P296" t="str">
            <v>COLABORATIVA S.A.C.</v>
          </cell>
          <cell r="Q296">
            <v>-4186.43</v>
          </cell>
          <cell r="R296">
            <v>-753.57</v>
          </cell>
          <cell r="S296">
            <v>-4940</v>
          </cell>
          <cell r="T296">
            <v>-4940</v>
          </cell>
          <cell r="V296" t="str">
            <v>PEN</v>
          </cell>
          <cell r="W296" t="b">
            <v>0</v>
          </cell>
          <cell r="X296" t="str">
            <v>Pagado</v>
          </cell>
          <cell r="AB296" t="str">
            <v>Registrado</v>
          </cell>
          <cell r="AN296">
            <v>45824</v>
          </cell>
          <cell r="AO296" t="e">
            <v>#N/A</v>
          </cell>
          <cell r="AP296" t="str">
            <v>F F001-00009029</v>
          </cell>
        </row>
        <row r="297">
          <cell r="E297" t="str">
            <v>RE-00123</v>
          </cell>
          <cell r="F297">
            <v>0</v>
          </cell>
          <cell r="H297" t="str">
            <v>ESPINO MORI LEANDRO JOAQUIN</v>
          </cell>
          <cell r="I297">
            <v>45822</v>
          </cell>
          <cell r="J297">
            <v>45822</v>
          </cell>
          <cell r="K297">
            <v>45822</v>
          </cell>
          <cell r="L297" t="str">
            <v>P00069</v>
          </cell>
          <cell r="P297" t="str">
            <v>COLABORATIVA S.A.C.</v>
          </cell>
          <cell r="Q297">
            <v>-320</v>
          </cell>
          <cell r="S297">
            <v>-320</v>
          </cell>
          <cell r="T297">
            <v>-320</v>
          </cell>
          <cell r="V297" t="str">
            <v>PEN</v>
          </cell>
          <cell r="W297" t="b">
            <v>0</v>
          </cell>
          <cell r="X297" t="str">
            <v>Pagado</v>
          </cell>
          <cell r="AB297" t="str">
            <v>Registrado</v>
          </cell>
          <cell r="AN297">
            <v>45822</v>
          </cell>
          <cell r="AO297" t="e">
            <v>#N/A</v>
          </cell>
          <cell r="AP297" t="str">
            <v>R E001 23</v>
          </cell>
        </row>
        <row r="298">
          <cell r="E298" t="str">
            <v>GAST-2025060004</v>
          </cell>
          <cell r="F298">
            <v>0</v>
          </cell>
          <cell r="H298" t="str">
            <v>Dany Tsukamoto  Yncio</v>
          </cell>
          <cell r="I298">
            <v>45846</v>
          </cell>
          <cell r="J298">
            <v>45821</v>
          </cell>
          <cell r="K298">
            <v>45846</v>
          </cell>
          <cell r="N298" t="str">
            <v>ALMUERZO CON CLIENTES</v>
          </cell>
          <cell r="P298" t="str">
            <v>COLABORATIVA S.A.C.</v>
          </cell>
          <cell r="Q298">
            <v>-355.08</v>
          </cell>
          <cell r="R298">
            <v>-63.92</v>
          </cell>
          <cell r="S298">
            <v>-419</v>
          </cell>
          <cell r="T298">
            <v>-419</v>
          </cell>
          <cell r="V298" t="str">
            <v>PEN</v>
          </cell>
          <cell r="W298" t="b">
            <v>0</v>
          </cell>
          <cell r="X298" t="str">
            <v>Pagado</v>
          </cell>
          <cell r="AB298" t="str">
            <v>Registrado</v>
          </cell>
          <cell r="AN298">
            <v>45846</v>
          </cell>
          <cell r="AO298" t="e">
            <v>#N/A</v>
          </cell>
          <cell r="AP298" t="str">
            <v>GAST/2025/06/0004</v>
          </cell>
        </row>
        <row r="299">
          <cell r="E299" t="str">
            <v>GAST-2025060002</v>
          </cell>
          <cell r="F299">
            <v>0</v>
          </cell>
          <cell r="H299" t="str">
            <v>Angie Nicole Flores Romero</v>
          </cell>
          <cell r="I299">
            <v>45821</v>
          </cell>
          <cell r="J299">
            <v>45821</v>
          </cell>
          <cell r="K299">
            <v>45821</v>
          </cell>
          <cell r="N299" t="str">
            <v>SUMINISTROS DE LIMPIEZA</v>
          </cell>
          <cell r="P299" t="str">
            <v>COLABORATIVA S.A.C.</v>
          </cell>
          <cell r="Q299">
            <v>-146.94999999999999</v>
          </cell>
          <cell r="R299">
            <v>-26.45</v>
          </cell>
          <cell r="S299">
            <v>-173.4</v>
          </cell>
          <cell r="T299">
            <v>-173.4</v>
          </cell>
          <cell r="V299" t="str">
            <v>PEN</v>
          </cell>
          <cell r="W299" t="b">
            <v>0</v>
          </cell>
          <cell r="X299" t="str">
            <v>Pagado</v>
          </cell>
          <cell r="AB299" t="str">
            <v>Registrado</v>
          </cell>
          <cell r="AN299">
            <v>45821</v>
          </cell>
          <cell r="AO299" t="e">
            <v>#N/A</v>
          </cell>
          <cell r="AP299" t="str">
            <v>GAST/2025/06/0002</v>
          </cell>
        </row>
        <row r="300">
          <cell r="E300" t="str">
            <v>GAST-2025060001</v>
          </cell>
          <cell r="F300">
            <v>0</v>
          </cell>
          <cell r="H300" t="str">
            <v>Karla Gonzales</v>
          </cell>
          <cell r="I300">
            <v>45821</v>
          </cell>
          <cell r="J300">
            <v>45821</v>
          </cell>
          <cell r="K300">
            <v>45821</v>
          </cell>
          <cell r="N300" t="str">
            <v>TAXI KARLA</v>
          </cell>
          <cell r="P300" t="str">
            <v>COLABORATIVA S.A.C.</v>
          </cell>
          <cell r="Q300">
            <v>-6.9</v>
          </cell>
          <cell r="S300">
            <v>-6.9</v>
          </cell>
          <cell r="T300">
            <v>-6.9</v>
          </cell>
          <cell r="V300" t="str">
            <v>PEN</v>
          </cell>
          <cell r="W300" t="b">
            <v>0</v>
          </cell>
          <cell r="X300" t="str">
            <v>Pagado</v>
          </cell>
          <cell r="AB300" t="str">
            <v>Registrado</v>
          </cell>
          <cell r="AN300">
            <v>45821</v>
          </cell>
          <cell r="AO300" t="e">
            <v>#N/A</v>
          </cell>
          <cell r="AP300" t="str">
            <v>GAST/2025/06/0001</v>
          </cell>
        </row>
        <row r="301">
          <cell r="E301" t="str">
            <v>F E001-00000307</v>
          </cell>
          <cell r="F301">
            <v>0</v>
          </cell>
          <cell r="H301" t="str">
            <v>CHUQUISTA ALCARRAZ SAMUEL</v>
          </cell>
          <cell r="I301">
            <v>45821</v>
          </cell>
          <cell r="J301">
            <v>45821</v>
          </cell>
          <cell r="K301">
            <v>45826</v>
          </cell>
          <cell r="P301" t="str">
            <v>COLABORATIVA S.A.C.</v>
          </cell>
          <cell r="Q301">
            <v>-450</v>
          </cell>
          <cell r="R301">
            <v>-81</v>
          </cell>
          <cell r="S301">
            <v>-531</v>
          </cell>
          <cell r="T301">
            <v>-531</v>
          </cell>
          <cell r="V301" t="str">
            <v>PEN</v>
          </cell>
          <cell r="W301" t="b">
            <v>0</v>
          </cell>
          <cell r="X301" t="str">
            <v>Pagado</v>
          </cell>
          <cell r="AB301" t="str">
            <v>Registrado</v>
          </cell>
          <cell r="AN301">
            <v>45821</v>
          </cell>
          <cell r="AO301" t="e">
            <v>#N/A</v>
          </cell>
          <cell r="AP301" t="str">
            <v>F E001-00000307</v>
          </cell>
        </row>
        <row r="302">
          <cell r="E302" t="str">
            <v>F E001-00000012</v>
          </cell>
          <cell r="F302">
            <v>0</v>
          </cell>
          <cell r="H302" t="str">
            <v>UPWARDS STUDIO S.A.C.</v>
          </cell>
          <cell r="I302">
            <v>45821</v>
          </cell>
          <cell r="J302">
            <v>45821</v>
          </cell>
          <cell r="K302">
            <v>45821</v>
          </cell>
          <cell r="L302" t="str">
            <v>P00068</v>
          </cell>
          <cell r="P302" t="str">
            <v>COLABORATIVA S.A.C.</v>
          </cell>
          <cell r="Q302">
            <v>-390</v>
          </cell>
          <cell r="R302">
            <v>-70.2</v>
          </cell>
          <cell r="S302">
            <v>-460.2</v>
          </cell>
          <cell r="T302">
            <v>-460.2</v>
          </cell>
          <cell r="V302" t="str">
            <v>PEN</v>
          </cell>
          <cell r="W302" t="b">
            <v>0</v>
          </cell>
          <cell r="X302" t="str">
            <v>Pagado</v>
          </cell>
          <cell r="AB302" t="str">
            <v>Registrado</v>
          </cell>
          <cell r="AN302">
            <v>45821</v>
          </cell>
          <cell r="AO302" t="e">
            <v>#N/A</v>
          </cell>
          <cell r="AP302" t="str">
            <v>F E001-00000012</v>
          </cell>
        </row>
        <row r="303">
          <cell r="E303" t="str">
            <v>R S108-160788</v>
          </cell>
          <cell r="F303">
            <v>0</v>
          </cell>
          <cell r="H303" t="str">
            <v>LUZ DEL SUR S.A.A.</v>
          </cell>
          <cell r="I303">
            <v>45820</v>
          </cell>
          <cell r="J303">
            <v>45820</v>
          </cell>
          <cell r="K303">
            <v>45827</v>
          </cell>
          <cell r="P303" t="str">
            <v>COLABORATIVA S.A.C.</v>
          </cell>
          <cell r="Q303">
            <v>-731.1</v>
          </cell>
          <cell r="S303">
            <v>-731.1</v>
          </cell>
          <cell r="T303">
            <v>-731.1</v>
          </cell>
          <cell r="V303" t="str">
            <v>PEN</v>
          </cell>
          <cell r="W303" t="b">
            <v>0</v>
          </cell>
          <cell r="X303" t="str">
            <v>Pagado</v>
          </cell>
          <cell r="AB303" t="str">
            <v>Registrado</v>
          </cell>
          <cell r="AN303">
            <v>45820</v>
          </cell>
          <cell r="AO303" t="e">
            <v>#N/A</v>
          </cell>
          <cell r="AP303" t="str">
            <v>R S108-160788</v>
          </cell>
        </row>
        <row r="304">
          <cell r="E304" t="str">
            <v>F E001-00000262</v>
          </cell>
          <cell r="F304">
            <v>0</v>
          </cell>
          <cell r="H304" t="str">
            <v>DANPRINT STUDIO (CINTHIA LISETH LOPEZ INGA)</v>
          </cell>
          <cell r="I304">
            <v>45820</v>
          </cell>
          <cell r="J304">
            <v>45820</v>
          </cell>
          <cell r="K304">
            <v>45824</v>
          </cell>
          <cell r="L304" t="str">
            <v>P00059</v>
          </cell>
          <cell r="P304" t="str">
            <v>COLABORATIVA S.A.C.</v>
          </cell>
          <cell r="Q304">
            <v>-2076.27</v>
          </cell>
          <cell r="R304">
            <v>-373.73</v>
          </cell>
          <cell r="S304">
            <v>-2450</v>
          </cell>
          <cell r="T304">
            <v>-2450</v>
          </cell>
          <cell r="V304" t="str">
            <v>PEN</v>
          </cell>
          <cell r="W304" t="b">
            <v>0</v>
          </cell>
          <cell r="X304" t="str">
            <v>Pagado</v>
          </cell>
          <cell r="AB304" t="str">
            <v>Registrado</v>
          </cell>
          <cell r="AN304">
            <v>45820</v>
          </cell>
          <cell r="AO304" t="e">
            <v>#N/A</v>
          </cell>
          <cell r="AP304" t="str">
            <v>F E001-00000262</v>
          </cell>
        </row>
        <row r="305">
          <cell r="E305" t="str">
            <v>F F052-01567501</v>
          </cell>
          <cell r="F305">
            <v>0</v>
          </cell>
          <cell r="H305" t="str">
            <v>MAPFRE PERU S.A.</v>
          </cell>
          <cell r="I305">
            <v>45819</v>
          </cell>
          <cell r="J305">
            <v>45819</v>
          </cell>
          <cell r="K305">
            <v>45832</v>
          </cell>
          <cell r="L305" t="str">
            <v>P00066</v>
          </cell>
          <cell r="P305" t="str">
            <v>COLABORATIVA S.A.C.</v>
          </cell>
          <cell r="Q305">
            <v>-100</v>
          </cell>
          <cell r="R305">
            <v>-18</v>
          </cell>
          <cell r="S305">
            <v>-118</v>
          </cell>
          <cell r="T305">
            <v>-118</v>
          </cell>
          <cell r="V305" t="str">
            <v>PEN</v>
          </cell>
          <cell r="W305" t="b">
            <v>0</v>
          </cell>
          <cell r="X305" t="str">
            <v>Pagado</v>
          </cell>
          <cell r="AB305" t="str">
            <v>Registrado</v>
          </cell>
          <cell r="AN305">
            <v>45819</v>
          </cell>
          <cell r="AO305" t="e">
            <v>#N/A</v>
          </cell>
          <cell r="AP305" t="str">
            <v>F F052-01567501</v>
          </cell>
        </row>
        <row r="306">
          <cell r="E306" t="str">
            <v>F F002-00031355</v>
          </cell>
          <cell r="F306">
            <v>0</v>
          </cell>
          <cell r="H306" t="str">
            <v>FLINK S.A.C.</v>
          </cell>
          <cell r="I306">
            <v>45819</v>
          </cell>
          <cell r="J306">
            <v>45819</v>
          </cell>
          <cell r="K306">
            <v>45821</v>
          </cell>
          <cell r="L306" t="str">
            <v>P00067</v>
          </cell>
          <cell r="P306" t="str">
            <v>COLABORATIVA S.A.C.</v>
          </cell>
          <cell r="Q306">
            <v>-1610.16</v>
          </cell>
          <cell r="R306">
            <v>-289.83999999999997</v>
          </cell>
          <cell r="S306">
            <v>-1900</v>
          </cell>
          <cell r="T306">
            <v>-1900</v>
          </cell>
          <cell r="V306" t="str">
            <v>PEN</v>
          </cell>
          <cell r="W306" t="b">
            <v>0</v>
          </cell>
          <cell r="X306" t="str">
            <v>Pagado</v>
          </cell>
          <cell r="AB306" t="str">
            <v>Registrado</v>
          </cell>
          <cell r="AN306">
            <v>45819</v>
          </cell>
          <cell r="AO306" t="e">
            <v>#N/A</v>
          </cell>
          <cell r="AP306" t="str">
            <v>F F002-00031355</v>
          </cell>
        </row>
        <row r="307">
          <cell r="E307" t="str">
            <v>F E001-00000736</v>
          </cell>
          <cell r="F307">
            <v>0</v>
          </cell>
          <cell r="H307" t="str">
            <v>SESMA CONSULTORES SAC</v>
          </cell>
          <cell r="I307">
            <v>45818</v>
          </cell>
          <cell r="J307">
            <v>45818</v>
          </cell>
          <cell r="K307">
            <v>45819</v>
          </cell>
          <cell r="L307" t="str">
            <v>P00062</v>
          </cell>
          <cell r="O307" t="str">
            <v>Falta 1 comprobante de pago</v>
          </cell>
          <cell r="P307" t="str">
            <v>COLABORATIVA S.A.C.</v>
          </cell>
          <cell r="Q307">
            <v>-1600</v>
          </cell>
          <cell r="R307">
            <v>-288</v>
          </cell>
          <cell r="S307">
            <v>-1888</v>
          </cell>
          <cell r="T307">
            <v>-1888</v>
          </cell>
          <cell r="V307" t="str">
            <v>PEN</v>
          </cell>
          <cell r="W307" t="b">
            <v>0</v>
          </cell>
          <cell r="X307" t="str">
            <v>Pagado</v>
          </cell>
          <cell r="AB307" t="str">
            <v>Registrado</v>
          </cell>
          <cell r="AN307">
            <v>45818</v>
          </cell>
          <cell r="AO307" t="e">
            <v>#N/A</v>
          </cell>
          <cell r="AP307" t="str">
            <v>F E001-00000736</v>
          </cell>
        </row>
        <row r="308">
          <cell r="E308" t="str">
            <v>RE-001116</v>
          </cell>
          <cell r="F308">
            <v>0</v>
          </cell>
          <cell r="H308" t="str">
            <v>SANCHEZ SANCHEZ VICTOR RUBEN</v>
          </cell>
          <cell r="I308">
            <v>45817</v>
          </cell>
          <cell r="J308">
            <v>45817</v>
          </cell>
          <cell r="K308">
            <v>45819</v>
          </cell>
          <cell r="P308" t="str">
            <v>COLABORATIVA S.A.C.</v>
          </cell>
          <cell r="Q308">
            <v>-2000</v>
          </cell>
          <cell r="S308">
            <v>-2000</v>
          </cell>
          <cell r="T308">
            <v>-2000</v>
          </cell>
          <cell r="V308" t="str">
            <v>PEN</v>
          </cell>
          <cell r="W308" t="b">
            <v>0</v>
          </cell>
          <cell r="X308" t="str">
            <v>Pagado</v>
          </cell>
          <cell r="AB308" t="str">
            <v>Registrado</v>
          </cell>
          <cell r="AN308">
            <v>45817</v>
          </cell>
          <cell r="AO308" t="e">
            <v>#N/A</v>
          </cell>
          <cell r="AP308" t="str">
            <v>R E001 116</v>
          </cell>
        </row>
        <row r="309">
          <cell r="E309" t="str">
            <v>F E001-00000147</v>
          </cell>
          <cell r="F309">
            <v>0</v>
          </cell>
          <cell r="H309" t="str">
            <v>VILCA SILVA JOHAN ALDAIR</v>
          </cell>
          <cell r="I309">
            <v>45815</v>
          </cell>
          <cell r="J309">
            <v>45815</v>
          </cell>
          <cell r="K309">
            <v>45817</v>
          </cell>
          <cell r="L309" t="str">
            <v>P00061</v>
          </cell>
          <cell r="P309" t="str">
            <v>COLABORATIVA S.A.C.</v>
          </cell>
          <cell r="Q309">
            <v>-300</v>
          </cell>
          <cell r="R309">
            <v>-54</v>
          </cell>
          <cell r="S309">
            <v>-354</v>
          </cell>
          <cell r="T309">
            <v>-354</v>
          </cell>
          <cell r="V309" t="str">
            <v>PEN</v>
          </cell>
          <cell r="W309" t="b">
            <v>0</v>
          </cell>
          <cell r="X309" t="str">
            <v>Pagado</v>
          </cell>
          <cell r="AB309" t="str">
            <v>Registrado</v>
          </cell>
          <cell r="AN309">
            <v>45815</v>
          </cell>
          <cell r="AO309" t="e">
            <v>#N/A</v>
          </cell>
          <cell r="AP309" t="str">
            <v>F E001-00000147</v>
          </cell>
        </row>
        <row r="310">
          <cell r="E310" t="str">
            <v>R E001-35</v>
          </cell>
          <cell r="F310">
            <v>0</v>
          </cell>
          <cell r="H310" t="str">
            <v>SOLANO CALDERON JUAN ALONSO</v>
          </cell>
          <cell r="I310">
            <v>45814</v>
          </cell>
          <cell r="J310">
            <v>45814</v>
          </cell>
          <cell r="K310">
            <v>45817</v>
          </cell>
          <cell r="P310" t="str">
            <v>COLABORATIVA S.A.C.</v>
          </cell>
          <cell r="Q310">
            <v>-400</v>
          </cell>
          <cell r="S310">
            <v>-400</v>
          </cell>
          <cell r="T310">
            <v>-400</v>
          </cell>
          <cell r="V310" t="str">
            <v>PEN</v>
          </cell>
          <cell r="W310" t="b">
            <v>0</v>
          </cell>
          <cell r="X310" t="str">
            <v>Pagado</v>
          </cell>
          <cell r="AB310" t="str">
            <v>Registrado</v>
          </cell>
          <cell r="AN310">
            <v>45814</v>
          </cell>
          <cell r="AO310" t="e">
            <v>#N/A</v>
          </cell>
          <cell r="AP310" t="str">
            <v>R E001-35</v>
          </cell>
        </row>
        <row r="311">
          <cell r="E311" t="str">
            <v>RE-00173</v>
          </cell>
          <cell r="F311">
            <v>0</v>
          </cell>
          <cell r="H311" t="str">
            <v>GARRIDO ROJAS MARISABEL</v>
          </cell>
          <cell r="I311">
            <v>45812</v>
          </cell>
          <cell r="J311">
            <v>45812</v>
          </cell>
          <cell r="K311">
            <v>45812</v>
          </cell>
          <cell r="L311" t="str">
            <v>P00064</v>
          </cell>
          <cell r="P311" t="str">
            <v>COLABORATIVA S.A.C.</v>
          </cell>
          <cell r="Q311">
            <v>-5776.55</v>
          </cell>
          <cell r="S311">
            <v>-5776.55</v>
          </cell>
          <cell r="T311">
            <v>-5776.55</v>
          </cell>
          <cell r="V311" t="str">
            <v>PEN</v>
          </cell>
          <cell r="W311" t="b">
            <v>0</v>
          </cell>
          <cell r="X311" t="str">
            <v>Pagado</v>
          </cell>
          <cell r="AB311" t="str">
            <v>Registrado</v>
          </cell>
          <cell r="AN311">
            <v>45812</v>
          </cell>
          <cell r="AO311" t="e">
            <v>#N/A</v>
          </cell>
          <cell r="AP311" t="str">
            <v>R E001 73</v>
          </cell>
        </row>
        <row r="312">
          <cell r="E312" t="str">
            <v>RE-00117</v>
          </cell>
          <cell r="F312">
            <v>0</v>
          </cell>
          <cell r="H312" t="str">
            <v>PALOMINO VALLE ADRIANA</v>
          </cell>
          <cell r="I312">
            <v>45812</v>
          </cell>
          <cell r="J312">
            <v>45812</v>
          </cell>
          <cell r="K312">
            <v>45817</v>
          </cell>
          <cell r="L312" t="str">
            <v>P00065</v>
          </cell>
          <cell r="P312" t="str">
            <v>COLABORATIVA S.A.C.</v>
          </cell>
          <cell r="Q312">
            <v>-500</v>
          </cell>
          <cell r="S312">
            <v>-500</v>
          </cell>
          <cell r="T312">
            <v>-500</v>
          </cell>
          <cell r="V312" t="str">
            <v>PEN</v>
          </cell>
          <cell r="W312" t="b">
            <v>0</v>
          </cell>
          <cell r="X312" t="str">
            <v>Pagado</v>
          </cell>
          <cell r="AB312" t="str">
            <v>Registrado</v>
          </cell>
          <cell r="AN312">
            <v>45812</v>
          </cell>
          <cell r="AO312" t="e">
            <v>#N/A</v>
          </cell>
          <cell r="AP312" t="str">
            <v>R E001 17</v>
          </cell>
        </row>
        <row r="313">
          <cell r="E313" t="str">
            <v>F F002-00003881</v>
          </cell>
          <cell r="F313">
            <v>0</v>
          </cell>
          <cell r="H313" t="str">
            <v>YIRA INVERSIONES E.I.R.L.</v>
          </cell>
          <cell r="I313">
            <v>45812</v>
          </cell>
          <cell r="J313">
            <v>45812</v>
          </cell>
          <cell r="K313">
            <v>45812</v>
          </cell>
          <cell r="L313" t="str">
            <v>P00063</v>
          </cell>
          <cell r="P313" t="str">
            <v>COLABORATIVA S.A.C.</v>
          </cell>
          <cell r="Q313">
            <v>-949.15</v>
          </cell>
          <cell r="R313">
            <v>-170.85</v>
          </cell>
          <cell r="S313">
            <v>-1120</v>
          </cell>
          <cell r="T313">
            <v>-1120</v>
          </cell>
          <cell r="V313" t="str">
            <v>PEN</v>
          </cell>
          <cell r="W313" t="b">
            <v>0</v>
          </cell>
          <cell r="X313" t="str">
            <v>Pagado</v>
          </cell>
          <cell r="AB313" t="str">
            <v>Registrado</v>
          </cell>
          <cell r="AN313">
            <v>45812</v>
          </cell>
          <cell r="AO313" t="e">
            <v>#N/A</v>
          </cell>
          <cell r="AP313" t="str">
            <v>F F002 - 00003881</v>
          </cell>
        </row>
        <row r="314">
          <cell r="E314" t="str">
            <v>F E001-00000060</v>
          </cell>
          <cell r="F314">
            <v>0</v>
          </cell>
          <cell r="H314" t="str">
            <v>MUÑOZ VERANO JOHN BRACKSON</v>
          </cell>
          <cell r="I314">
            <v>45812</v>
          </cell>
          <cell r="J314">
            <v>45812</v>
          </cell>
          <cell r="K314">
            <v>45813</v>
          </cell>
          <cell r="P314" t="str">
            <v>COLABORATIVA S.A.C.</v>
          </cell>
          <cell r="Q314">
            <v>-261</v>
          </cell>
          <cell r="R314">
            <v>-46.98</v>
          </cell>
          <cell r="S314">
            <v>-307.98</v>
          </cell>
          <cell r="T314">
            <v>-307.98</v>
          </cell>
          <cell r="V314" t="str">
            <v>PEN</v>
          </cell>
          <cell r="W314" t="b">
            <v>0</v>
          </cell>
          <cell r="X314" t="str">
            <v>Pagado</v>
          </cell>
          <cell r="AB314" t="str">
            <v>Registrado</v>
          </cell>
          <cell r="AN314">
            <v>45812</v>
          </cell>
          <cell r="AO314" t="e">
            <v>#N/A</v>
          </cell>
          <cell r="AP314" t="str">
            <v>F E001-00000060</v>
          </cell>
        </row>
        <row r="315">
          <cell r="E315" t="str">
            <v>F F002-00031205</v>
          </cell>
          <cell r="F315">
            <v>0</v>
          </cell>
          <cell r="H315" t="str">
            <v>FLINK S.A.C.</v>
          </cell>
          <cell r="I315">
            <v>45811</v>
          </cell>
          <cell r="J315">
            <v>45811</v>
          </cell>
          <cell r="K315">
            <v>45811</v>
          </cell>
          <cell r="P315" t="str">
            <v>COLABORATIVA S.A.C.</v>
          </cell>
          <cell r="Q315">
            <v>-6440.68</v>
          </cell>
          <cell r="R315">
            <v>-1159.32</v>
          </cell>
          <cell r="S315">
            <v>-7600</v>
          </cell>
          <cell r="T315">
            <v>-7600</v>
          </cell>
          <cell r="V315" t="str">
            <v>PEN</v>
          </cell>
          <cell r="W315" t="b">
            <v>0</v>
          </cell>
          <cell r="X315" t="str">
            <v>Pagado</v>
          </cell>
          <cell r="AB315" t="str">
            <v>Registrado</v>
          </cell>
          <cell r="AN315">
            <v>45811</v>
          </cell>
          <cell r="AO315" t="e">
            <v>#N/A</v>
          </cell>
          <cell r="AP315" t="str">
            <v>F F002-00031205</v>
          </cell>
        </row>
        <row r="316">
          <cell r="E316" t="str">
            <v>F E001-00000496</v>
          </cell>
          <cell r="F316">
            <v>0</v>
          </cell>
          <cell r="H316" t="str">
            <v>CATORCE &amp; SEIS S.A.C.</v>
          </cell>
          <cell r="I316">
            <v>45811</v>
          </cell>
          <cell r="J316">
            <v>45811</v>
          </cell>
          <cell r="K316">
            <v>45811</v>
          </cell>
          <cell r="L316" t="str">
            <v>P00058</v>
          </cell>
          <cell r="P316" t="str">
            <v>COLABORATIVA S.A.C.</v>
          </cell>
          <cell r="Q316">
            <v>-4763</v>
          </cell>
          <cell r="R316">
            <v>-857.34</v>
          </cell>
          <cell r="S316">
            <v>-5620.34</v>
          </cell>
          <cell r="T316">
            <v>-5620.34</v>
          </cell>
          <cell r="V316" t="str">
            <v>PEN</v>
          </cell>
          <cell r="W316" t="b">
            <v>0</v>
          </cell>
          <cell r="X316" t="str">
            <v>Pagado</v>
          </cell>
          <cell r="AB316" t="str">
            <v>Registrado</v>
          </cell>
          <cell r="AN316">
            <v>45811</v>
          </cell>
          <cell r="AO316" t="e">
            <v>#N/A</v>
          </cell>
          <cell r="AP316" t="str">
            <v>F E001-00000496</v>
          </cell>
        </row>
        <row r="317">
          <cell r="E317" t="str">
            <v>F F101-00025503</v>
          </cell>
          <cell r="F317">
            <v>0</v>
          </cell>
          <cell r="H317" t="str">
            <v>INSTITUTO PACIFICO S.A.C</v>
          </cell>
          <cell r="I317">
            <v>45810</v>
          </cell>
          <cell r="J317">
            <v>45810</v>
          </cell>
          <cell r="K317">
            <v>45810</v>
          </cell>
          <cell r="P317" t="str">
            <v>COLABORATIVA S.A.C.</v>
          </cell>
          <cell r="Q317">
            <v>-150</v>
          </cell>
          <cell r="S317">
            <v>-150</v>
          </cell>
          <cell r="T317">
            <v>-150</v>
          </cell>
          <cell r="V317" t="str">
            <v>PEN</v>
          </cell>
          <cell r="W317" t="b">
            <v>0</v>
          </cell>
          <cell r="X317" t="str">
            <v>Pagado</v>
          </cell>
          <cell r="AB317" t="str">
            <v>Registrado</v>
          </cell>
          <cell r="AN317">
            <v>45810</v>
          </cell>
          <cell r="AO317" t="e">
            <v>#N/A</v>
          </cell>
          <cell r="AP317" t="str">
            <v>F F101-00025503</v>
          </cell>
        </row>
        <row r="318">
          <cell r="E318" t="str">
            <v>F F002-00001374</v>
          </cell>
          <cell r="F318">
            <v>0</v>
          </cell>
          <cell r="H318" t="str">
            <v>PRAGMATIC S.A.C.</v>
          </cell>
          <cell r="I318">
            <v>45810</v>
          </cell>
          <cell r="J318">
            <v>45810</v>
          </cell>
          <cell r="K318">
            <v>45810</v>
          </cell>
          <cell r="P318" t="str">
            <v>COLABORATIVA S.A.C.</v>
          </cell>
          <cell r="Q318">
            <v>-270</v>
          </cell>
          <cell r="R318">
            <v>-48.6</v>
          </cell>
          <cell r="S318">
            <v>-318.60000000000002</v>
          </cell>
          <cell r="T318">
            <v>-318.60000000000002</v>
          </cell>
          <cell r="V318" t="str">
            <v>PEN</v>
          </cell>
          <cell r="W318" t="b">
            <v>0</v>
          </cell>
          <cell r="X318" t="str">
            <v>Pagado</v>
          </cell>
          <cell r="AB318" t="str">
            <v>Registrado</v>
          </cell>
          <cell r="AN318">
            <v>45810</v>
          </cell>
          <cell r="AO318" t="e">
            <v>#N/A</v>
          </cell>
          <cell r="AP318" t="str">
            <v>F F002-00001374</v>
          </cell>
        </row>
        <row r="319">
          <cell r="E319" t="str">
            <v>F F001-00008946</v>
          </cell>
          <cell r="F319">
            <v>0</v>
          </cell>
          <cell r="H319" t="str">
            <v>PRECINTOS PERU E.I.R.L</v>
          </cell>
          <cell r="I319">
            <v>45810</v>
          </cell>
          <cell r="J319">
            <v>45810</v>
          </cell>
          <cell r="K319">
            <v>45810</v>
          </cell>
          <cell r="L319" t="str">
            <v>P00055</v>
          </cell>
          <cell r="P319" t="str">
            <v>COLABORATIVA S.A.C.</v>
          </cell>
          <cell r="Q319">
            <v>-5186.43</v>
          </cell>
          <cell r="R319">
            <v>-933.57</v>
          </cell>
          <cell r="S319">
            <v>-6120</v>
          </cell>
          <cell r="T319">
            <v>-6120</v>
          </cell>
          <cell r="V319" t="str">
            <v>PEN</v>
          </cell>
          <cell r="W319" t="b">
            <v>0</v>
          </cell>
          <cell r="X319" t="str">
            <v>Pagado</v>
          </cell>
          <cell r="AB319" t="str">
            <v>Registrado</v>
          </cell>
          <cell r="AN319">
            <v>45810</v>
          </cell>
          <cell r="AO319" t="e">
            <v>#N/A</v>
          </cell>
          <cell r="AP319" t="str">
            <v>F F001-00008946</v>
          </cell>
        </row>
        <row r="320">
          <cell r="E320" t="str">
            <v>F E001-00000059</v>
          </cell>
          <cell r="F320">
            <v>0</v>
          </cell>
          <cell r="H320" t="str">
            <v>MUÑOZ VERANO JOHN BRACKSON</v>
          </cell>
          <cell r="I320">
            <v>45810</v>
          </cell>
          <cell r="J320">
            <v>45810</v>
          </cell>
          <cell r="K320">
            <v>45811</v>
          </cell>
          <cell r="P320" t="str">
            <v>COLABORATIVA S.A.C.</v>
          </cell>
          <cell r="Q320">
            <v>-3420</v>
          </cell>
          <cell r="R320">
            <v>-615.6</v>
          </cell>
          <cell r="S320">
            <v>-4035.6</v>
          </cell>
          <cell r="T320">
            <v>-4035.6</v>
          </cell>
          <cell r="V320" t="str">
            <v>PEN</v>
          </cell>
          <cell r="W320" t="b">
            <v>0</v>
          </cell>
          <cell r="X320" t="str">
            <v>Pagado</v>
          </cell>
          <cell r="AB320" t="str">
            <v>Registrado</v>
          </cell>
          <cell r="AN320">
            <v>45810</v>
          </cell>
          <cell r="AO320" t="e">
            <v>#N/A</v>
          </cell>
          <cell r="AP320" t="str">
            <v>F E001-00000059</v>
          </cell>
        </row>
        <row r="321">
          <cell r="E321" t="str">
            <v>F E001-00000058</v>
          </cell>
          <cell r="F321">
            <v>0</v>
          </cell>
          <cell r="H321" t="str">
            <v>MUÑOZ VERANO JOHN BRACKSON</v>
          </cell>
          <cell r="I321">
            <v>45810</v>
          </cell>
          <cell r="J321">
            <v>45810</v>
          </cell>
          <cell r="K321">
            <v>45811</v>
          </cell>
          <cell r="P321" t="str">
            <v>COLABORATIVA S.A.C.</v>
          </cell>
          <cell r="Q321">
            <v>-2200</v>
          </cell>
          <cell r="R321">
            <v>-396</v>
          </cell>
          <cell r="S321">
            <v>-2596</v>
          </cell>
          <cell r="T321">
            <v>-2596</v>
          </cell>
          <cell r="V321" t="str">
            <v>PEN</v>
          </cell>
          <cell r="W321" t="b">
            <v>0</v>
          </cell>
          <cell r="X321" t="str">
            <v>Pagado</v>
          </cell>
          <cell r="AB321" t="str">
            <v>Registrado</v>
          </cell>
          <cell r="AN321">
            <v>45810</v>
          </cell>
          <cell r="AO321" t="e">
            <v>#N/A</v>
          </cell>
          <cell r="AP321" t="str">
            <v>F E001-00000058</v>
          </cell>
        </row>
        <row r="322">
          <cell r="E322" t="str">
            <v>F FE26-00004637</v>
          </cell>
          <cell r="F322">
            <v>0</v>
          </cell>
          <cell r="H322" t="str">
            <v>Verisure Peru SAC</v>
          </cell>
          <cell r="I322">
            <v>45809</v>
          </cell>
          <cell r="J322">
            <v>45809</v>
          </cell>
          <cell r="K322">
            <v>45827</v>
          </cell>
          <cell r="P322" t="str">
            <v>COLABORATIVA S.A.C.</v>
          </cell>
          <cell r="Q322">
            <v>-221.82</v>
          </cell>
          <cell r="R322">
            <v>-39.93</v>
          </cell>
          <cell r="S322">
            <v>-261.75</v>
          </cell>
          <cell r="T322">
            <v>-261.75</v>
          </cell>
          <cell r="V322" t="str">
            <v>PEN</v>
          </cell>
          <cell r="W322" t="b">
            <v>0</v>
          </cell>
          <cell r="X322" t="str">
            <v>Pagado</v>
          </cell>
          <cell r="AB322" t="str">
            <v>Registrado</v>
          </cell>
          <cell r="AN322">
            <v>45809</v>
          </cell>
          <cell r="AO322" t="e">
            <v>#N/A</v>
          </cell>
          <cell r="AP322" t="str">
            <v>F FE26-00004637</v>
          </cell>
        </row>
        <row r="323">
          <cell r="E323" t="str">
            <v>RE-00116</v>
          </cell>
          <cell r="F323">
            <v>0</v>
          </cell>
          <cell r="H323" t="str">
            <v>PALOMINO VALLE ADRIANA</v>
          </cell>
          <cell r="I323">
            <v>45808</v>
          </cell>
          <cell r="J323">
            <v>45808</v>
          </cell>
          <cell r="K323">
            <v>45810</v>
          </cell>
          <cell r="L323" t="str">
            <v>P00057</v>
          </cell>
          <cell r="P323" t="str">
            <v>COLABORATIVA S.A.C.</v>
          </cell>
          <cell r="Q323">
            <v>-500</v>
          </cell>
          <cell r="S323">
            <v>-500</v>
          </cell>
          <cell r="T323">
            <v>-500</v>
          </cell>
          <cell r="V323" t="str">
            <v>PEN</v>
          </cell>
          <cell r="W323" t="b">
            <v>0</v>
          </cell>
          <cell r="X323" t="str">
            <v>Pagado</v>
          </cell>
          <cell r="AB323" t="str">
            <v>Registrado</v>
          </cell>
          <cell r="AN323">
            <v>45808</v>
          </cell>
          <cell r="AO323" t="e">
            <v>#N/A</v>
          </cell>
          <cell r="AP323" t="str">
            <v>R E001 16</v>
          </cell>
        </row>
        <row r="324">
          <cell r="E324" t="str">
            <v>R E001-66</v>
          </cell>
          <cell r="F324">
            <v>0</v>
          </cell>
          <cell r="H324" t="str">
            <v>MARCAS TUPALAYA VICTOR ALBERTO</v>
          </cell>
          <cell r="I324">
            <v>45807</v>
          </cell>
          <cell r="J324">
            <v>45807</v>
          </cell>
          <cell r="K324">
            <v>45810</v>
          </cell>
          <cell r="P324" t="str">
            <v>COLABORATIVA S.A.C.</v>
          </cell>
          <cell r="Q324">
            <v>-900</v>
          </cell>
          <cell r="S324">
            <v>-900</v>
          </cell>
          <cell r="T324">
            <v>-900</v>
          </cell>
          <cell r="V324" t="str">
            <v>PEN</v>
          </cell>
          <cell r="W324" t="b">
            <v>0</v>
          </cell>
          <cell r="X324" t="str">
            <v>Pagado</v>
          </cell>
          <cell r="AB324" t="str">
            <v>Registrado</v>
          </cell>
          <cell r="AN324">
            <v>45807</v>
          </cell>
          <cell r="AO324" t="e">
            <v>#N/A</v>
          </cell>
          <cell r="AP324" t="str">
            <v>R E001- 66</v>
          </cell>
        </row>
        <row r="325">
          <cell r="E325" t="str">
            <v>F F004-00023984</v>
          </cell>
          <cell r="F325">
            <v>0</v>
          </cell>
          <cell r="H325" t="str">
            <v>J &amp; V MULTIUTILES PUNTO COM S.A.C.</v>
          </cell>
          <cell r="I325">
            <v>45807</v>
          </cell>
          <cell r="J325">
            <v>45807</v>
          </cell>
          <cell r="K325">
            <v>45808</v>
          </cell>
          <cell r="L325" t="str">
            <v>P00053</v>
          </cell>
          <cell r="P325" t="str">
            <v>COLABORATIVA S.A.C.</v>
          </cell>
          <cell r="Q325">
            <v>-88.56</v>
          </cell>
          <cell r="R325">
            <v>-15.94</v>
          </cell>
          <cell r="S325">
            <v>-104.5</v>
          </cell>
          <cell r="T325">
            <v>-104.5</v>
          </cell>
          <cell r="V325" t="str">
            <v>PEN</v>
          </cell>
          <cell r="W325" t="b">
            <v>0</v>
          </cell>
          <cell r="X325" t="str">
            <v>Pagado</v>
          </cell>
          <cell r="AB325" t="str">
            <v>Registrado</v>
          </cell>
          <cell r="AN325">
            <v>45807</v>
          </cell>
          <cell r="AO325" t="e">
            <v>#N/A</v>
          </cell>
          <cell r="AP325" t="str">
            <v>F F004-00023984</v>
          </cell>
        </row>
        <row r="326">
          <cell r="E326" t="str">
            <v>F F002-00031139</v>
          </cell>
          <cell r="F326">
            <v>0</v>
          </cell>
          <cell r="H326" t="str">
            <v>FLINK S.A.C.</v>
          </cell>
          <cell r="I326">
            <v>45807</v>
          </cell>
          <cell r="J326">
            <v>45807</v>
          </cell>
          <cell r="K326">
            <v>45810</v>
          </cell>
          <cell r="L326" t="str">
            <v>P00056</v>
          </cell>
          <cell r="P326" t="str">
            <v>COLABORATIVA S.A.C.</v>
          </cell>
          <cell r="Q326">
            <v>-1000</v>
          </cell>
          <cell r="R326">
            <v>-180</v>
          </cell>
          <cell r="S326">
            <v>-1180</v>
          </cell>
          <cell r="T326">
            <v>-1180</v>
          </cell>
          <cell r="V326" t="str">
            <v>PEN</v>
          </cell>
          <cell r="W326" t="b">
            <v>0</v>
          </cell>
          <cell r="X326" t="str">
            <v>Pagado</v>
          </cell>
          <cell r="AB326" t="str">
            <v>Registrado</v>
          </cell>
          <cell r="AN326">
            <v>45807</v>
          </cell>
          <cell r="AO326" t="e">
            <v>#N/A</v>
          </cell>
          <cell r="AP326" t="str">
            <v>F F002-00031139</v>
          </cell>
        </row>
        <row r="327">
          <cell r="E327" t="str">
            <v>F F001-00024304</v>
          </cell>
          <cell r="F327">
            <v>0</v>
          </cell>
          <cell r="H327" t="str">
            <v>TECNOLOGIA FLEXOGRAFICA S.A.C - TECFLEX</v>
          </cell>
          <cell r="I327">
            <v>45807</v>
          </cell>
          <cell r="J327">
            <v>45807</v>
          </cell>
          <cell r="K327">
            <v>45808</v>
          </cell>
          <cell r="L327" t="str">
            <v>P00052</v>
          </cell>
          <cell r="P327" t="str">
            <v>COLABORATIVA S.A.C.</v>
          </cell>
          <cell r="Q327">
            <v>-1172</v>
          </cell>
          <cell r="R327">
            <v>-210.96</v>
          </cell>
          <cell r="S327">
            <v>-1382.96</v>
          </cell>
          <cell r="T327">
            <v>-1382.96</v>
          </cell>
          <cell r="V327" t="str">
            <v>PEN</v>
          </cell>
          <cell r="W327" t="b">
            <v>0</v>
          </cell>
          <cell r="X327" t="str">
            <v>Pagado</v>
          </cell>
          <cell r="AB327" t="str">
            <v>Registrado</v>
          </cell>
          <cell r="AN327">
            <v>45807</v>
          </cell>
          <cell r="AO327" t="e">
            <v>#N/A</v>
          </cell>
          <cell r="AP327" t="str">
            <v>F F001-00024304</v>
          </cell>
        </row>
        <row r="328">
          <cell r="E328" t="str">
            <v>F F001-00024303</v>
          </cell>
          <cell r="F328">
            <v>0</v>
          </cell>
          <cell r="H328" t="str">
            <v>TECNOLOGIA FLEXOGRAFICA S.A.C - TECFLEX</v>
          </cell>
          <cell r="I328">
            <v>45807</v>
          </cell>
          <cell r="J328">
            <v>45807</v>
          </cell>
          <cell r="K328">
            <v>45808</v>
          </cell>
          <cell r="L328" t="str">
            <v>P00051</v>
          </cell>
          <cell r="P328" t="str">
            <v>COLABORATIVA S.A.C.</v>
          </cell>
          <cell r="Q328">
            <v>-1172</v>
          </cell>
          <cell r="R328">
            <v>-210.96</v>
          </cell>
          <cell r="S328">
            <v>-1382.96</v>
          </cell>
          <cell r="T328">
            <v>-1382.96</v>
          </cell>
          <cell r="V328" t="str">
            <v>PEN</v>
          </cell>
          <cell r="W328" t="b">
            <v>0</v>
          </cell>
          <cell r="X328" t="str">
            <v>Pagado</v>
          </cell>
          <cell r="AB328" t="str">
            <v>Registrado</v>
          </cell>
          <cell r="AN328">
            <v>45807</v>
          </cell>
          <cell r="AO328" t="e">
            <v>#N/A</v>
          </cell>
          <cell r="AP328" t="str">
            <v>F F001-00024303</v>
          </cell>
        </row>
        <row r="329">
          <cell r="E329" t="str">
            <v>F E001-00000495</v>
          </cell>
          <cell r="F329">
            <v>0</v>
          </cell>
          <cell r="H329" t="str">
            <v>CATORCE &amp; SEIS S.A.C.</v>
          </cell>
          <cell r="I329">
            <v>45806</v>
          </cell>
          <cell r="J329">
            <v>45806</v>
          </cell>
          <cell r="K329">
            <v>45806</v>
          </cell>
          <cell r="P329" t="str">
            <v>COLABORATIVA S.A.C.</v>
          </cell>
          <cell r="Q329">
            <v>-10500</v>
          </cell>
          <cell r="R329">
            <v>-1890</v>
          </cell>
          <cell r="S329">
            <v>-12390</v>
          </cell>
          <cell r="T329">
            <v>-12390</v>
          </cell>
          <cell r="V329" t="str">
            <v>PEN</v>
          </cell>
          <cell r="W329" t="b">
            <v>0</v>
          </cell>
          <cell r="X329" t="str">
            <v>Pagado</v>
          </cell>
          <cell r="AB329" t="str">
            <v>Registrado</v>
          </cell>
          <cell r="AN329">
            <v>45806</v>
          </cell>
          <cell r="AO329" t="e">
            <v>#N/A</v>
          </cell>
          <cell r="AP329" t="str">
            <v>F E001-00000495</v>
          </cell>
        </row>
        <row r="330">
          <cell r="E330" t="str">
            <v>F E001-00000055</v>
          </cell>
          <cell r="F330">
            <v>0</v>
          </cell>
          <cell r="H330" t="str">
            <v>MUÑOZ VERANO JOHN BRACKSON</v>
          </cell>
          <cell r="I330">
            <v>45806</v>
          </cell>
          <cell r="J330">
            <v>45806</v>
          </cell>
          <cell r="K330">
            <v>45807</v>
          </cell>
          <cell r="P330" t="str">
            <v>COLABORATIVA S.A.C.</v>
          </cell>
          <cell r="Q330">
            <v>-362</v>
          </cell>
          <cell r="R330">
            <v>-65.16</v>
          </cell>
          <cell r="S330">
            <v>-427.16</v>
          </cell>
          <cell r="T330">
            <v>-427.16</v>
          </cell>
          <cell r="V330" t="str">
            <v>PEN</v>
          </cell>
          <cell r="W330" t="b">
            <v>0</v>
          </cell>
          <cell r="X330" t="str">
            <v>Pagado</v>
          </cell>
          <cell r="AB330" t="str">
            <v>Registrado</v>
          </cell>
          <cell r="AN330">
            <v>45806</v>
          </cell>
          <cell r="AO330" t="e">
            <v>#N/A</v>
          </cell>
          <cell r="AP330" t="str">
            <v>F E001-00000055</v>
          </cell>
        </row>
        <row r="331">
          <cell r="E331" t="str">
            <v>F E001-00000494</v>
          </cell>
          <cell r="F331">
            <v>0</v>
          </cell>
          <cell r="H331" t="str">
            <v>CATORCE &amp; SEIS S.A.C.</v>
          </cell>
          <cell r="I331">
            <v>45805</v>
          </cell>
          <cell r="J331">
            <v>45805</v>
          </cell>
          <cell r="K331">
            <v>45806</v>
          </cell>
          <cell r="P331" t="str">
            <v>COLABORATIVA S.A.C.</v>
          </cell>
          <cell r="Q331">
            <v>-21430</v>
          </cell>
          <cell r="R331">
            <v>-3857.4</v>
          </cell>
          <cell r="S331">
            <v>-25287.4</v>
          </cell>
          <cell r="T331">
            <v>-25287.4</v>
          </cell>
          <cell r="V331" t="str">
            <v>PEN</v>
          </cell>
          <cell r="W331" t="b">
            <v>0</v>
          </cell>
          <cell r="X331" t="str">
            <v>Pagado</v>
          </cell>
          <cell r="AB331" t="str">
            <v>Registrado</v>
          </cell>
          <cell r="AN331">
            <v>45805</v>
          </cell>
          <cell r="AO331" t="e">
            <v>#N/A</v>
          </cell>
          <cell r="AP331" t="str">
            <v>F E001-00000494</v>
          </cell>
        </row>
        <row r="332">
          <cell r="E332" t="str">
            <v>F F002-00031007</v>
          </cell>
          <cell r="F332">
            <v>0</v>
          </cell>
          <cell r="H332" t="str">
            <v>FLINK S.A.C.</v>
          </cell>
          <cell r="I332">
            <v>45803</v>
          </cell>
          <cell r="J332">
            <v>45803</v>
          </cell>
          <cell r="K332">
            <v>45803</v>
          </cell>
          <cell r="L332" t="str">
            <v>P00048</v>
          </cell>
          <cell r="P332" t="str">
            <v>COLABORATIVA S.A.C.</v>
          </cell>
          <cell r="Q332">
            <v>-644.08000000000004</v>
          </cell>
          <cell r="R332">
            <v>-115.92</v>
          </cell>
          <cell r="S332">
            <v>-760</v>
          </cell>
          <cell r="T332">
            <v>-760</v>
          </cell>
          <cell r="V332" t="str">
            <v>PEN</v>
          </cell>
          <cell r="W332" t="b">
            <v>0</v>
          </cell>
          <cell r="X332" t="str">
            <v>Pagado</v>
          </cell>
          <cell r="AB332" t="str">
            <v>Registrado</v>
          </cell>
          <cell r="AN332">
            <v>45803</v>
          </cell>
          <cell r="AO332" t="e">
            <v>#N/A</v>
          </cell>
          <cell r="AP332" t="str">
            <v>F F002-00031007</v>
          </cell>
        </row>
        <row r="333">
          <cell r="E333" t="str">
            <v>F E001-00000050</v>
          </cell>
          <cell r="F333">
            <v>0</v>
          </cell>
          <cell r="H333" t="str">
            <v>MUÑOZ VERANO JOHN BRACKSON</v>
          </cell>
          <cell r="I333">
            <v>45803</v>
          </cell>
          <cell r="J333">
            <v>45803</v>
          </cell>
          <cell r="K333">
            <v>45803</v>
          </cell>
          <cell r="P333" t="str">
            <v>COLABORATIVA S.A.C.</v>
          </cell>
          <cell r="Q333">
            <v>-960</v>
          </cell>
          <cell r="R333">
            <v>-172.8</v>
          </cell>
          <cell r="S333">
            <v>-1132.8</v>
          </cell>
          <cell r="T333">
            <v>-1132.8</v>
          </cell>
          <cell r="V333" t="str">
            <v>PEN</v>
          </cell>
          <cell r="W333" t="b">
            <v>0</v>
          </cell>
          <cell r="X333" t="str">
            <v>Pagado</v>
          </cell>
          <cell r="AB333" t="str">
            <v>Registrado</v>
          </cell>
          <cell r="AN333">
            <v>45803</v>
          </cell>
          <cell r="AO333" t="e">
            <v>#N/A</v>
          </cell>
          <cell r="AP333" t="str">
            <v>F E001-00000050</v>
          </cell>
        </row>
        <row r="334">
          <cell r="E334" t="str">
            <v>F E001-00000049</v>
          </cell>
          <cell r="F334">
            <v>0</v>
          </cell>
          <cell r="H334" t="str">
            <v>MUÑOZ VERANO JOHN BRACKSON</v>
          </cell>
          <cell r="I334">
            <v>45803</v>
          </cell>
          <cell r="J334">
            <v>45803</v>
          </cell>
          <cell r="K334">
            <v>45803</v>
          </cell>
          <cell r="P334" t="str">
            <v>COLABORATIVA S.A.C.</v>
          </cell>
          <cell r="Q334">
            <v>-3840</v>
          </cell>
          <cell r="R334">
            <v>-691.2</v>
          </cell>
          <cell r="S334">
            <v>-4531.2</v>
          </cell>
          <cell r="T334">
            <v>-4531.2</v>
          </cell>
          <cell r="V334" t="str">
            <v>PEN</v>
          </cell>
          <cell r="W334" t="b">
            <v>0</v>
          </cell>
          <cell r="X334" t="str">
            <v>Pagado</v>
          </cell>
          <cell r="AB334" t="str">
            <v>Registrado</v>
          </cell>
          <cell r="AN334">
            <v>45803</v>
          </cell>
          <cell r="AO334" t="e">
            <v>#N/A</v>
          </cell>
          <cell r="AP334" t="str">
            <v>F E001-00000049</v>
          </cell>
        </row>
        <row r="335">
          <cell r="E335" t="str">
            <v>F E001-00000037</v>
          </cell>
          <cell r="F335">
            <v>0</v>
          </cell>
          <cell r="H335" t="str">
            <v>MAGIKBYTE E.I.R.L.</v>
          </cell>
          <cell r="I335">
            <v>45803</v>
          </cell>
          <cell r="J335">
            <v>45803</v>
          </cell>
          <cell r="K335">
            <v>45804</v>
          </cell>
          <cell r="L335" t="str">
            <v>P00049</v>
          </cell>
          <cell r="N335" t="str">
            <v>Factura</v>
          </cell>
          <cell r="P335" t="str">
            <v>COLABORATIVA S.A.C.</v>
          </cell>
          <cell r="Q335">
            <v>-421.19</v>
          </cell>
          <cell r="R335">
            <v>-75.81</v>
          </cell>
          <cell r="S335">
            <v>-497</v>
          </cell>
          <cell r="T335">
            <v>-497</v>
          </cell>
          <cell r="V335" t="str">
            <v>PEN</v>
          </cell>
          <cell r="W335" t="b">
            <v>0</v>
          </cell>
          <cell r="X335" t="str">
            <v>Pagado</v>
          </cell>
          <cell r="AB335" t="str">
            <v>Registrado</v>
          </cell>
          <cell r="AN335">
            <v>45803</v>
          </cell>
          <cell r="AO335" t="e">
            <v>#N/A</v>
          </cell>
          <cell r="AP335" t="str">
            <v>F E001-00000037</v>
          </cell>
        </row>
        <row r="336">
          <cell r="E336" t="str">
            <v>RE-00115</v>
          </cell>
          <cell r="F336">
            <v>0</v>
          </cell>
          <cell r="H336" t="str">
            <v>PALOMINO VALLE ADRIANA</v>
          </cell>
          <cell r="I336">
            <v>45801</v>
          </cell>
          <cell r="J336">
            <v>45801</v>
          </cell>
          <cell r="K336">
            <v>45803</v>
          </cell>
          <cell r="L336" t="str">
            <v>P00046</v>
          </cell>
          <cell r="P336" t="str">
            <v>COLABORATIVA S.A.C.</v>
          </cell>
          <cell r="Q336">
            <v>-500</v>
          </cell>
          <cell r="S336">
            <v>-500</v>
          </cell>
          <cell r="T336">
            <v>-500</v>
          </cell>
          <cell r="V336" t="str">
            <v>PEN</v>
          </cell>
          <cell r="W336" t="b">
            <v>0</v>
          </cell>
          <cell r="X336" t="str">
            <v>Pagado</v>
          </cell>
          <cell r="AB336" t="str">
            <v>Registrado</v>
          </cell>
          <cell r="AN336">
            <v>45801</v>
          </cell>
          <cell r="AO336" t="e">
            <v>#N/A</v>
          </cell>
          <cell r="AP336" t="str">
            <v>R E001 15</v>
          </cell>
        </row>
        <row r="337">
          <cell r="E337" t="str">
            <v>F F001-00008887</v>
          </cell>
          <cell r="F337">
            <v>0</v>
          </cell>
          <cell r="H337" t="str">
            <v>PRECINTOS PERU E.I.R.L</v>
          </cell>
          <cell r="I337">
            <v>45800</v>
          </cell>
          <cell r="J337">
            <v>45800</v>
          </cell>
          <cell r="K337">
            <v>45803</v>
          </cell>
          <cell r="L337" t="str">
            <v>P00047</v>
          </cell>
          <cell r="P337" t="str">
            <v>COLABORATIVA S.A.C.</v>
          </cell>
          <cell r="Q337">
            <v>-2724.59</v>
          </cell>
          <cell r="R337">
            <v>-490.41</v>
          </cell>
          <cell r="S337">
            <v>-3215</v>
          </cell>
          <cell r="T337">
            <v>-3215</v>
          </cell>
          <cell r="V337" t="str">
            <v>PEN</v>
          </cell>
          <cell r="W337" t="b">
            <v>0</v>
          </cell>
          <cell r="X337" t="str">
            <v>Pagado</v>
          </cell>
          <cell r="AB337" t="str">
            <v>Registrado</v>
          </cell>
          <cell r="AN337">
            <v>45800</v>
          </cell>
          <cell r="AO337" t="e">
            <v>#N/A</v>
          </cell>
          <cell r="AP337" t="str">
            <v>F F001-00008887</v>
          </cell>
        </row>
        <row r="338">
          <cell r="E338" t="str">
            <v>R E001-22</v>
          </cell>
          <cell r="F338">
            <v>0</v>
          </cell>
          <cell r="H338" t="str">
            <v>ESPINO MORI LEANDRO JOAQUIN</v>
          </cell>
          <cell r="I338">
            <v>45798</v>
          </cell>
          <cell r="J338">
            <v>45798</v>
          </cell>
          <cell r="K338">
            <v>45799</v>
          </cell>
          <cell r="P338" t="str">
            <v>COLABORATIVA S.A.C.</v>
          </cell>
          <cell r="Q338">
            <v>-240</v>
          </cell>
          <cell r="S338">
            <v>-240</v>
          </cell>
          <cell r="T338">
            <v>-240</v>
          </cell>
          <cell r="V338" t="str">
            <v>PEN</v>
          </cell>
          <cell r="W338" t="b">
            <v>0</v>
          </cell>
          <cell r="X338" t="str">
            <v>Pagado</v>
          </cell>
          <cell r="AB338" t="str">
            <v>Registrado</v>
          </cell>
          <cell r="AN338">
            <v>45798</v>
          </cell>
          <cell r="AO338" t="e">
            <v>#N/A</v>
          </cell>
          <cell r="AP338" t="str">
            <v>R E001-22</v>
          </cell>
        </row>
        <row r="339">
          <cell r="E339" t="str">
            <v>R-10412704113</v>
          </cell>
          <cell r="F339">
            <v>0</v>
          </cell>
          <cell r="H339" t="str">
            <v>VENTURA SABINO MIGUEL ANGEL</v>
          </cell>
          <cell r="I339">
            <v>45798</v>
          </cell>
          <cell r="J339">
            <v>45798</v>
          </cell>
          <cell r="K339">
            <v>45799</v>
          </cell>
          <cell r="L339" t="str">
            <v>P00045</v>
          </cell>
          <cell r="N339" t="str">
            <v>RxH</v>
          </cell>
          <cell r="P339" t="str">
            <v>COLABORATIVA S.A.C.</v>
          </cell>
          <cell r="Q339">
            <v>-169.49</v>
          </cell>
          <cell r="R339">
            <v>-30.51</v>
          </cell>
          <cell r="S339">
            <v>-200</v>
          </cell>
          <cell r="T339">
            <v>-200</v>
          </cell>
          <cell r="V339" t="str">
            <v>PEN</v>
          </cell>
          <cell r="W339" t="b">
            <v>0</v>
          </cell>
          <cell r="X339" t="str">
            <v>Pagado</v>
          </cell>
          <cell r="AB339" t="str">
            <v>Registrado</v>
          </cell>
          <cell r="AN339">
            <v>45798</v>
          </cell>
          <cell r="AO339" t="e">
            <v>#N/A</v>
          </cell>
          <cell r="AP339" t="str">
            <v>R 10412704113</v>
          </cell>
        </row>
        <row r="340">
          <cell r="E340" t="str">
            <v>F E001-00000354</v>
          </cell>
          <cell r="F340">
            <v>0</v>
          </cell>
          <cell r="H340" t="str">
            <v>IDEA CREATIVA PUBLICIDAD EIRL</v>
          </cell>
          <cell r="I340">
            <v>45796</v>
          </cell>
          <cell r="J340">
            <v>45796</v>
          </cell>
          <cell r="K340">
            <v>45796</v>
          </cell>
          <cell r="L340" t="str">
            <v>P00024</v>
          </cell>
          <cell r="P340" t="str">
            <v>COLABORATIVA S.A.C.</v>
          </cell>
          <cell r="Q340">
            <v>-421.9</v>
          </cell>
          <cell r="R340">
            <v>-75.94</v>
          </cell>
          <cell r="S340">
            <v>-497.84</v>
          </cell>
          <cell r="T340">
            <v>-497.84</v>
          </cell>
          <cell r="V340" t="str">
            <v>PEN</v>
          </cell>
          <cell r="W340" t="b">
            <v>0</v>
          </cell>
          <cell r="X340" t="str">
            <v>Pagado</v>
          </cell>
          <cell r="AB340" t="str">
            <v>Registrado</v>
          </cell>
          <cell r="AN340">
            <v>45796</v>
          </cell>
          <cell r="AO340" t="e">
            <v>#N/A</v>
          </cell>
          <cell r="AP340" t="str">
            <v>F E001-00000354</v>
          </cell>
        </row>
        <row r="341">
          <cell r="E341" t="str">
            <v>F E001-00000141</v>
          </cell>
          <cell r="F341">
            <v>0</v>
          </cell>
          <cell r="H341" t="str">
            <v>VILCA SILVA JOHAN ALDAIR</v>
          </cell>
          <cell r="I341">
            <v>45796</v>
          </cell>
          <cell r="J341">
            <v>45796</v>
          </cell>
          <cell r="K341">
            <v>45796</v>
          </cell>
          <cell r="L341" t="str">
            <v>P00030</v>
          </cell>
          <cell r="P341" t="str">
            <v>COLABORATIVA S.A.C.</v>
          </cell>
          <cell r="Q341">
            <v>-220</v>
          </cell>
          <cell r="R341">
            <v>-39.6</v>
          </cell>
          <cell r="S341">
            <v>-259.60000000000002</v>
          </cell>
          <cell r="T341">
            <v>-259.60000000000002</v>
          </cell>
          <cell r="V341" t="str">
            <v>PEN</v>
          </cell>
          <cell r="W341" t="b">
            <v>0</v>
          </cell>
          <cell r="X341" t="str">
            <v>Pagado</v>
          </cell>
          <cell r="AB341" t="str">
            <v>Registrado</v>
          </cell>
          <cell r="AN341">
            <v>45796</v>
          </cell>
          <cell r="AO341" t="e">
            <v>#N/A</v>
          </cell>
          <cell r="AP341" t="str">
            <v>F E001-00000141</v>
          </cell>
        </row>
        <row r="342">
          <cell r="E342" t="str">
            <v>F E001-00000027</v>
          </cell>
          <cell r="F342">
            <v>0</v>
          </cell>
          <cell r="H342" t="str">
            <v>Yanet Yudi Gonzalo Moreno</v>
          </cell>
          <cell r="I342">
            <v>45796</v>
          </cell>
          <cell r="J342">
            <v>45796</v>
          </cell>
          <cell r="K342">
            <v>45797</v>
          </cell>
          <cell r="L342" t="str">
            <v>P00042</v>
          </cell>
          <cell r="P342" t="str">
            <v>COLABORATIVA S.A.C.</v>
          </cell>
          <cell r="Q342">
            <v>-912</v>
          </cell>
          <cell r="R342">
            <v>-164.16</v>
          </cell>
          <cell r="S342">
            <v>-1076.1600000000001</v>
          </cell>
          <cell r="T342">
            <v>-1076.1600000000001</v>
          </cell>
          <cell r="V342" t="str">
            <v>PEN</v>
          </cell>
          <cell r="W342" t="b">
            <v>0</v>
          </cell>
          <cell r="X342" t="str">
            <v>Pagado</v>
          </cell>
          <cell r="AB342" t="str">
            <v>Registrado</v>
          </cell>
          <cell r="AN342">
            <v>45796</v>
          </cell>
          <cell r="AO342" t="e">
            <v>#N/A</v>
          </cell>
          <cell r="AP342" t="str">
            <v>F E001-00000027</v>
          </cell>
        </row>
        <row r="343">
          <cell r="E343" t="str">
            <v>F FG01-00000002443</v>
          </cell>
          <cell r="F343">
            <v>0</v>
          </cell>
          <cell r="H343" t="str">
            <v>TODA TECNOLOGIA PERU S.A.C.</v>
          </cell>
          <cell r="I343">
            <v>45793</v>
          </cell>
          <cell r="J343">
            <v>45793</v>
          </cell>
          <cell r="K343">
            <v>45793</v>
          </cell>
          <cell r="L343" t="str">
            <v>P00040</v>
          </cell>
          <cell r="P343" t="str">
            <v>COLABORATIVA S.A.C.</v>
          </cell>
          <cell r="Q343">
            <v>-50.67</v>
          </cell>
          <cell r="R343">
            <v>-9.1300000000000008</v>
          </cell>
          <cell r="S343">
            <v>-59.8</v>
          </cell>
          <cell r="T343">
            <v>-59.8</v>
          </cell>
          <cell r="V343" t="str">
            <v>PEN</v>
          </cell>
          <cell r="W343" t="b">
            <v>0</v>
          </cell>
          <cell r="X343" t="str">
            <v>Pagado</v>
          </cell>
          <cell r="AB343" t="str">
            <v>Registrado</v>
          </cell>
          <cell r="AN343">
            <v>45793</v>
          </cell>
          <cell r="AO343" t="e">
            <v>#N/A</v>
          </cell>
          <cell r="AP343" t="str">
            <v>F FG01-00000002443</v>
          </cell>
        </row>
        <row r="344">
          <cell r="E344" t="str">
            <v>F E001-00000492</v>
          </cell>
          <cell r="F344">
            <v>0</v>
          </cell>
          <cell r="H344" t="str">
            <v>DABATECH PERU SAC</v>
          </cell>
          <cell r="I344">
            <v>45793</v>
          </cell>
          <cell r="J344">
            <v>45793</v>
          </cell>
          <cell r="K344">
            <v>45793</v>
          </cell>
          <cell r="L344" t="str">
            <v>P00035</v>
          </cell>
          <cell r="N344" t="str">
            <v>E001-492</v>
          </cell>
          <cell r="P344" t="str">
            <v>COLABORATIVA S.A.C.</v>
          </cell>
          <cell r="Q344">
            <v>-1327.96</v>
          </cell>
          <cell r="R344">
            <v>-239.04</v>
          </cell>
          <cell r="S344">
            <v>-1567</v>
          </cell>
          <cell r="T344">
            <v>-1567</v>
          </cell>
          <cell r="V344" t="str">
            <v>PEN</v>
          </cell>
          <cell r="W344" t="b">
            <v>0</v>
          </cell>
          <cell r="X344" t="str">
            <v>Pagado</v>
          </cell>
          <cell r="AB344" t="str">
            <v>Registrado</v>
          </cell>
          <cell r="AN344">
            <v>45793</v>
          </cell>
          <cell r="AO344" t="e">
            <v>#N/A</v>
          </cell>
          <cell r="AP344" t="str">
            <v>F E001-00000492</v>
          </cell>
        </row>
        <row r="345">
          <cell r="E345" t="str">
            <v>F E001-00000037</v>
          </cell>
          <cell r="F345">
            <v>0</v>
          </cell>
          <cell r="H345" t="str">
            <v>MUÑOZ VERANO JOHN BRACKSON</v>
          </cell>
          <cell r="I345">
            <v>45793</v>
          </cell>
          <cell r="J345">
            <v>45793</v>
          </cell>
          <cell r="K345">
            <v>45796</v>
          </cell>
          <cell r="P345" t="str">
            <v>COLABORATIVA S.A.C.</v>
          </cell>
          <cell r="Q345">
            <v>-360</v>
          </cell>
          <cell r="R345">
            <v>-64.8</v>
          </cell>
          <cell r="S345">
            <v>-424.8</v>
          </cell>
          <cell r="T345">
            <v>-424.8</v>
          </cell>
          <cell r="V345" t="str">
            <v>PEN</v>
          </cell>
          <cell r="W345" t="b">
            <v>0</v>
          </cell>
          <cell r="X345" t="str">
            <v>Pagado</v>
          </cell>
          <cell r="AB345" t="str">
            <v>Registrado</v>
          </cell>
          <cell r="AN345">
            <v>45793</v>
          </cell>
          <cell r="AO345" t="e">
            <v>#N/A</v>
          </cell>
          <cell r="AP345" t="str">
            <v>F E001-00000037</v>
          </cell>
        </row>
        <row r="346">
          <cell r="E346" t="str">
            <v>F E001-00000036</v>
          </cell>
          <cell r="F346">
            <v>0</v>
          </cell>
          <cell r="H346" t="str">
            <v>MAGIKBYTE E.I.R.L.</v>
          </cell>
          <cell r="I346">
            <v>45793</v>
          </cell>
          <cell r="J346">
            <v>45793</v>
          </cell>
          <cell r="K346">
            <v>45793</v>
          </cell>
          <cell r="L346" t="str">
            <v>P00043</v>
          </cell>
          <cell r="P346" t="str">
            <v>COLABORATIVA S.A.C.</v>
          </cell>
          <cell r="Q346">
            <v>-94.92</v>
          </cell>
          <cell r="R346">
            <v>-17.079999999999998</v>
          </cell>
          <cell r="S346">
            <v>-112</v>
          </cell>
          <cell r="T346">
            <v>-112</v>
          </cell>
          <cell r="V346" t="str">
            <v>PEN</v>
          </cell>
          <cell r="W346" t="b">
            <v>0</v>
          </cell>
          <cell r="X346" t="str">
            <v>Pagado</v>
          </cell>
          <cell r="AB346" t="str">
            <v>Registrado</v>
          </cell>
          <cell r="AN346">
            <v>45793</v>
          </cell>
          <cell r="AO346" t="e">
            <v>#N/A</v>
          </cell>
          <cell r="AP346" t="str">
            <v>F E001-00000036</v>
          </cell>
        </row>
        <row r="347">
          <cell r="E347" t="str">
            <v>F E001-00000035</v>
          </cell>
          <cell r="F347">
            <v>0</v>
          </cell>
          <cell r="H347" t="str">
            <v>MAGIKBYTE E.I.R.L.</v>
          </cell>
          <cell r="I347">
            <v>45793</v>
          </cell>
          <cell r="J347">
            <v>45793</v>
          </cell>
          <cell r="K347">
            <v>45793</v>
          </cell>
          <cell r="L347" t="str">
            <v>P00037</v>
          </cell>
          <cell r="P347" t="str">
            <v>COLABORATIVA S.A.C.</v>
          </cell>
          <cell r="Q347">
            <v>-338.98</v>
          </cell>
          <cell r="R347">
            <v>-61.02</v>
          </cell>
          <cell r="S347">
            <v>-400</v>
          </cell>
          <cell r="T347">
            <v>-400</v>
          </cell>
          <cell r="V347" t="str">
            <v>PEN</v>
          </cell>
          <cell r="W347" t="b">
            <v>0</v>
          </cell>
          <cell r="X347" t="str">
            <v>Pagado</v>
          </cell>
          <cell r="AB347" t="str">
            <v>Registrado</v>
          </cell>
          <cell r="AN347">
            <v>45793</v>
          </cell>
          <cell r="AO347" t="e">
            <v>#N/A</v>
          </cell>
          <cell r="AP347" t="str">
            <v>F E001-00000035</v>
          </cell>
        </row>
        <row r="348">
          <cell r="E348" t="str">
            <v>R E001-115</v>
          </cell>
          <cell r="F348">
            <v>0</v>
          </cell>
          <cell r="H348" t="str">
            <v>ROBLES RIOS CHRISTIAN ALFREDO</v>
          </cell>
          <cell r="I348">
            <v>45792</v>
          </cell>
          <cell r="J348">
            <v>45792</v>
          </cell>
          <cell r="K348">
            <v>45792</v>
          </cell>
          <cell r="P348" t="str">
            <v>COLABORATIVA S.A.C.</v>
          </cell>
          <cell r="Q348">
            <v>-350</v>
          </cell>
          <cell r="S348">
            <v>-350</v>
          </cell>
          <cell r="T348">
            <v>-350</v>
          </cell>
          <cell r="V348" t="str">
            <v>PEN</v>
          </cell>
          <cell r="W348" t="b">
            <v>0</v>
          </cell>
          <cell r="X348" t="str">
            <v>Pagado</v>
          </cell>
          <cell r="AB348" t="str">
            <v>Registrado</v>
          </cell>
          <cell r="AN348">
            <v>45792</v>
          </cell>
          <cell r="AO348" t="e">
            <v>#N/A</v>
          </cell>
          <cell r="AP348" t="str">
            <v>R E001 - 115</v>
          </cell>
        </row>
        <row r="349">
          <cell r="E349" t="str">
            <v>F F001-00007417</v>
          </cell>
          <cell r="F349">
            <v>0</v>
          </cell>
          <cell r="H349" t="str">
            <v>DEVERCOMP TECHNOLOGY S.A.C.</v>
          </cell>
          <cell r="I349">
            <v>45792</v>
          </cell>
          <cell r="J349">
            <v>45792</v>
          </cell>
          <cell r="K349">
            <v>45792</v>
          </cell>
          <cell r="L349" t="str">
            <v>P00041</v>
          </cell>
          <cell r="N349" t="str">
            <v>PAGADO</v>
          </cell>
          <cell r="P349" t="str">
            <v>COLABORATIVA S.A.C.</v>
          </cell>
          <cell r="Q349">
            <v>-626.27</v>
          </cell>
          <cell r="R349">
            <v>-112.73</v>
          </cell>
          <cell r="S349">
            <v>-739</v>
          </cell>
          <cell r="T349">
            <v>-739</v>
          </cell>
          <cell r="V349" t="str">
            <v>PEN</v>
          </cell>
          <cell r="W349" t="b">
            <v>0</v>
          </cell>
          <cell r="X349" t="str">
            <v>Pagado</v>
          </cell>
          <cell r="AB349" t="str">
            <v>Registrado</v>
          </cell>
          <cell r="AN349">
            <v>45792</v>
          </cell>
          <cell r="AO349" t="e">
            <v>#N/A</v>
          </cell>
          <cell r="AP349" t="str">
            <v>F F001 - 00007417</v>
          </cell>
        </row>
        <row r="350">
          <cell r="E350" t="str">
            <v>F E001-00001288</v>
          </cell>
          <cell r="F350">
            <v>0</v>
          </cell>
          <cell r="H350" t="str">
            <v>MARFIL GRANADOS BEAS ESTHER</v>
          </cell>
          <cell r="I350">
            <v>45792</v>
          </cell>
          <cell r="J350">
            <v>45792</v>
          </cell>
          <cell r="K350">
            <v>45792</v>
          </cell>
          <cell r="P350" t="str">
            <v>COLABORATIVA S.A.C.</v>
          </cell>
          <cell r="Q350">
            <v>-516.95000000000005</v>
          </cell>
          <cell r="R350">
            <v>-93.05</v>
          </cell>
          <cell r="S350">
            <v>-610</v>
          </cell>
          <cell r="T350">
            <v>-610</v>
          </cell>
          <cell r="V350" t="str">
            <v>PEN</v>
          </cell>
          <cell r="W350" t="b">
            <v>0</v>
          </cell>
          <cell r="X350" t="str">
            <v>Pagado</v>
          </cell>
          <cell r="AB350" t="str">
            <v>Registrado</v>
          </cell>
          <cell r="AN350">
            <v>45792</v>
          </cell>
          <cell r="AO350" t="e">
            <v>#N/A</v>
          </cell>
          <cell r="AP350" t="str">
            <v>F E001-00001288</v>
          </cell>
        </row>
        <row r="351">
          <cell r="E351" t="str">
            <v>F FX02-00343038</v>
          </cell>
          <cell r="F351">
            <v>0</v>
          </cell>
          <cell r="H351" t="str">
            <v>SAGA FALABELLA S.A.</v>
          </cell>
          <cell r="I351">
            <v>45791</v>
          </cell>
          <cell r="J351">
            <v>45791</v>
          </cell>
          <cell r="K351">
            <v>45796</v>
          </cell>
          <cell r="L351" t="str">
            <v>P00038</v>
          </cell>
          <cell r="N351" t="str">
            <v>2 FACTURAS</v>
          </cell>
          <cell r="P351" t="str">
            <v>COLABORATIVA S.A.C.</v>
          </cell>
          <cell r="Q351">
            <v>-492.38</v>
          </cell>
          <cell r="R351">
            <v>-88.62</v>
          </cell>
          <cell r="S351">
            <v>-581</v>
          </cell>
          <cell r="T351">
            <v>-581</v>
          </cell>
          <cell r="V351" t="str">
            <v>PEN</v>
          </cell>
          <cell r="W351" t="b">
            <v>0</v>
          </cell>
          <cell r="X351" t="str">
            <v>Pagado</v>
          </cell>
          <cell r="AB351" t="str">
            <v>Registrado</v>
          </cell>
          <cell r="AN351">
            <v>45791</v>
          </cell>
          <cell r="AO351" t="e">
            <v>#N/A</v>
          </cell>
          <cell r="AP351" t="str">
            <v>F FX02-00343038</v>
          </cell>
        </row>
        <row r="352">
          <cell r="E352" t="str">
            <v>F F001-000 1167</v>
          </cell>
          <cell r="F352">
            <v>0</v>
          </cell>
          <cell r="H352" t="str">
            <v>ERIQUE GASPAR CARLOS ALFREDO</v>
          </cell>
          <cell r="I352">
            <v>45791</v>
          </cell>
          <cell r="J352">
            <v>45791</v>
          </cell>
          <cell r="K352">
            <v>45791</v>
          </cell>
          <cell r="P352" t="str">
            <v>COLABORATIVA S.A.C.</v>
          </cell>
          <cell r="Q352">
            <v>-135</v>
          </cell>
          <cell r="R352">
            <v>-24.3</v>
          </cell>
          <cell r="S352">
            <v>-159.30000000000001</v>
          </cell>
          <cell r="T352">
            <v>-159.30000000000001</v>
          </cell>
          <cell r="V352" t="str">
            <v>PEN</v>
          </cell>
          <cell r="W352" t="b">
            <v>0</v>
          </cell>
          <cell r="X352" t="str">
            <v>Pagado</v>
          </cell>
          <cell r="AB352" t="str">
            <v>Registrado</v>
          </cell>
          <cell r="AN352">
            <v>45791</v>
          </cell>
          <cell r="AO352" t="e">
            <v>#N/A</v>
          </cell>
          <cell r="AP352" t="str">
            <v>F F001 - 000 1167</v>
          </cell>
        </row>
        <row r="353">
          <cell r="E353" t="str">
            <v>F E001-00000250</v>
          </cell>
          <cell r="F353">
            <v>0</v>
          </cell>
          <cell r="H353" t="str">
            <v>DANPRINT STUDIO (CINTHIA LISETH LOPEZ INGA)</v>
          </cell>
          <cell r="I353">
            <v>45791</v>
          </cell>
          <cell r="J353">
            <v>45791</v>
          </cell>
          <cell r="K353">
            <v>45791</v>
          </cell>
          <cell r="L353" t="str">
            <v>P00034</v>
          </cell>
          <cell r="P353" t="str">
            <v>COLABORATIVA S.A.C.</v>
          </cell>
          <cell r="Q353">
            <v>-1250</v>
          </cell>
          <cell r="R353">
            <v>-225</v>
          </cell>
          <cell r="S353">
            <v>-1475</v>
          </cell>
          <cell r="T353">
            <v>-1475</v>
          </cell>
          <cell r="V353" t="str">
            <v>PEN</v>
          </cell>
          <cell r="W353" t="b">
            <v>0</v>
          </cell>
          <cell r="X353" t="str">
            <v>Pagado</v>
          </cell>
          <cell r="AB353" t="str">
            <v>Registrado</v>
          </cell>
          <cell r="AN353">
            <v>45791</v>
          </cell>
          <cell r="AO353" t="e">
            <v>#N/A</v>
          </cell>
          <cell r="AP353" t="str">
            <v>F E001-00000250</v>
          </cell>
        </row>
        <row r="354">
          <cell r="E354" t="str">
            <v>F E001-00000249</v>
          </cell>
          <cell r="F354">
            <v>0</v>
          </cell>
          <cell r="H354" t="str">
            <v>DANPRINT STUDIO (CINTHIA LISETH LOPEZ INGA)</v>
          </cell>
          <cell r="I354">
            <v>45791</v>
          </cell>
          <cell r="J354">
            <v>45791</v>
          </cell>
          <cell r="K354">
            <v>45791</v>
          </cell>
          <cell r="L354" t="str">
            <v>P00031</v>
          </cell>
          <cell r="P354" t="str">
            <v>COLABORATIVA S.A.C.</v>
          </cell>
          <cell r="Q354">
            <v>-4521.1899999999996</v>
          </cell>
          <cell r="R354">
            <v>-813.81</v>
          </cell>
          <cell r="S354">
            <v>-5335</v>
          </cell>
          <cell r="T354">
            <v>-5335</v>
          </cell>
          <cell r="V354" t="str">
            <v>PEN</v>
          </cell>
          <cell r="W354" t="b">
            <v>0</v>
          </cell>
          <cell r="X354" t="str">
            <v>Pagado</v>
          </cell>
          <cell r="AB354" t="str">
            <v>Registrado</v>
          </cell>
          <cell r="AN354">
            <v>45791</v>
          </cell>
          <cell r="AO354" t="e">
            <v>#N/A</v>
          </cell>
          <cell r="AP354" t="str">
            <v>F E001-00000249</v>
          </cell>
        </row>
        <row r="355">
          <cell r="E355" t="str">
            <v>R S108-84224 N-BV-04145</v>
          </cell>
          <cell r="F355">
            <v>0</v>
          </cell>
          <cell r="H355" t="str">
            <v>LUZ DEL SUR S.A.A.</v>
          </cell>
          <cell r="I355">
            <v>45790</v>
          </cell>
          <cell r="J355">
            <v>45790</v>
          </cell>
          <cell r="K355">
            <v>45797</v>
          </cell>
          <cell r="P355" t="str">
            <v>COLABORATIVA S.A.C.</v>
          </cell>
          <cell r="Q355">
            <v>-749.07</v>
          </cell>
          <cell r="R355">
            <v>-134.83000000000001</v>
          </cell>
          <cell r="S355">
            <v>-883.9</v>
          </cell>
          <cell r="T355">
            <v>-883.9</v>
          </cell>
          <cell r="V355" t="str">
            <v>PEN</v>
          </cell>
          <cell r="W355" t="b">
            <v>0</v>
          </cell>
          <cell r="X355" t="str">
            <v>Pagado</v>
          </cell>
          <cell r="AB355" t="str">
            <v>Registrado</v>
          </cell>
          <cell r="AN355">
            <v>45790</v>
          </cell>
          <cell r="AO355" t="e">
            <v>#N/A</v>
          </cell>
          <cell r="AP355" t="str">
            <v>R S108-84224 N-BV-04145</v>
          </cell>
        </row>
        <row r="356">
          <cell r="E356" t="str">
            <v>F F001-00024068</v>
          </cell>
          <cell r="F356">
            <v>0</v>
          </cell>
          <cell r="H356" t="str">
            <v>TECNOLOGIA FLEXOGRAFICA S.A.C - TECFLEX</v>
          </cell>
          <cell r="I356">
            <v>45790</v>
          </cell>
          <cell r="J356">
            <v>45790</v>
          </cell>
          <cell r="K356">
            <v>45790</v>
          </cell>
          <cell r="L356" t="str">
            <v>P00033</v>
          </cell>
          <cell r="P356" t="str">
            <v>COLABORATIVA S.A.C.</v>
          </cell>
          <cell r="Q356">
            <v>-824</v>
          </cell>
          <cell r="R356">
            <v>-148.32</v>
          </cell>
          <cell r="S356">
            <v>-972.32</v>
          </cell>
          <cell r="T356">
            <v>-972.32</v>
          </cell>
          <cell r="V356" t="str">
            <v>PEN</v>
          </cell>
          <cell r="W356" t="b">
            <v>0</v>
          </cell>
          <cell r="X356" t="str">
            <v>Pagado</v>
          </cell>
          <cell r="AB356" t="str">
            <v>Registrado</v>
          </cell>
          <cell r="AN356">
            <v>45790</v>
          </cell>
          <cell r="AO356" t="e">
            <v>#N/A</v>
          </cell>
          <cell r="AP356" t="str">
            <v>F F001-00024068</v>
          </cell>
        </row>
        <row r="357">
          <cell r="E357" t="str">
            <v>F F052-01536673</v>
          </cell>
          <cell r="F357">
            <v>0</v>
          </cell>
          <cell r="H357" t="str">
            <v>MAPFRE PERU S.A.</v>
          </cell>
          <cell r="I357">
            <v>45789</v>
          </cell>
          <cell r="J357">
            <v>45789</v>
          </cell>
          <cell r="K357">
            <v>45796</v>
          </cell>
          <cell r="L357" t="str">
            <v>P00032</v>
          </cell>
          <cell r="P357" t="str">
            <v>COLABORATIVA S.A.C.</v>
          </cell>
          <cell r="Q357">
            <v>-100</v>
          </cell>
          <cell r="R357">
            <v>-18</v>
          </cell>
          <cell r="S357">
            <v>-118</v>
          </cell>
          <cell r="T357">
            <v>-118</v>
          </cell>
          <cell r="V357" t="str">
            <v>PEN</v>
          </cell>
          <cell r="W357" t="b">
            <v>0</v>
          </cell>
          <cell r="X357" t="str">
            <v>Pagado</v>
          </cell>
          <cell r="AB357" t="str">
            <v>Registrado</v>
          </cell>
          <cell r="AN357">
            <v>45789</v>
          </cell>
          <cell r="AO357" t="e">
            <v>#N/A</v>
          </cell>
          <cell r="AP357" t="str">
            <v>F F052-01536673</v>
          </cell>
        </row>
        <row r="358">
          <cell r="E358" t="str">
            <v>F E001-00000029</v>
          </cell>
          <cell r="F358">
            <v>0</v>
          </cell>
          <cell r="H358" t="str">
            <v>MUÑOZ VERANO JOHN BRACKSON</v>
          </cell>
          <cell r="I358">
            <v>45789</v>
          </cell>
          <cell r="J358">
            <v>45789</v>
          </cell>
          <cell r="K358">
            <v>45790</v>
          </cell>
          <cell r="P358" t="str">
            <v>COLABORATIVA S.A.C.</v>
          </cell>
          <cell r="Q358">
            <v>-2400</v>
          </cell>
          <cell r="R358">
            <v>-432</v>
          </cell>
          <cell r="S358">
            <v>-2832</v>
          </cell>
          <cell r="T358">
            <v>-2832</v>
          </cell>
          <cell r="V358" t="str">
            <v>PEN</v>
          </cell>
          <cell r="W358" t="b">
            <v>0</v>
          </cell>
          <cell r="X358" t="str">
            <v>Pagado</v>
          </cell>
          <cell r="AB358" t="str">
            <v>Registrado</v>
          </cell>
          <cell r="AN358">
            <v>45789</v>
          </cell>
          <cell r="AO358" t="e">
            <v>#N/A</v>
          </cell>
          <cell r="AP358" t="str">
            <v>F E001-00000029</v>
          </cell>
        </row>
        <row r="359">
          <cell r="E359" t="str">
            <v>F F001-00008823</v>
          </cell>
          <cell r="F359">
            <v>0</v>
          </cell>
          <cell r="H359" t="str">
            <v>PRECINTOS PERU E.I.R.L</v>
          </cell>
          <cell r="I359">
            <v>45787</v>
          </cell>
          <cell r="J359">
            <v>45787</v>
          </cell>
          <cell r="K359">
            <v>45790</v>
          </cell>
          <cell r="P359" t="str">
            <v>COLABORATIVA S.A.C.</v>
          </cell>
          <cell r="Q359">
            <v>-5923.74</v>
          </cell>
          <cell r="R359">
            <v>-1066.26</v>
          </cell>
          <cell r="S359">
            <v>-6990</v>
          </cell>
          <cell r="T359">
            <v>-6990</v>
          </cell>
          <cell r="V359" t="str">
            <v>PEN</v>
          </cell>
          <cell r="W359" t="b">
            <v>0</v>
          </cell>
          <cell r="X359" t="str">
            <v>Pagado</v>
          </cell>
          <cell r="AB359" t="str">
            <v>Registrado</v>
          </cell>
          <cell r="AN359">
            <v>45787</v>
          </cell>
          <cell r="AO359" t="e">
            <v>#N/A</v>
          </cell>
          <cell r="AP359" t="str">
            <v>F F001-00008823</v>
          </cell>
        </row>
        <row r="360">
          <cell r="E360" t="str">
            <v>F E001-00000033</v>
          </cell>
          <cell r="F360">
            <v>0</v>
          </cell>
          <cell r="H360" t="str">
            <v>MAGIKBYTE E.I.R.L.</v>
          </cell>
          <cell r="I360">
            <v>45785</v>
          </cell>
          <cell r="J360">
            <v>45785</v>
          </cell>
          <cell r="K360">
            <v>45785</v>
          </cell>
          <cell r="P360" t="str">
            <v>COLABORATIVA S.A.C.</v>
          </cell>
          <cell r="Q360">
            <v>-63.56</v>
          </cell>
          <cell r="R360">
            <v>-11.44</v>
          </cell>
          <cell r="S360">
            <v>-75</v>
          </cell>
          <cell r="T360">
            <v>-75</v>
          </cell>
          <cell r="V360" t="str">
            <v>PEN</v>
          </cell>
          <cell r="W360" t="b">
            <v>0</v>
          </cell>
          <cell r="X360" t="str">
            <v>Pagado</v>
          </cell>
          <cell r="AB360" t="str">
            <v>Registrado</v>
          </cell>
          <cell r="AN360">
            <v>45785</v>
          </cell>
          <cell r="AO360" t="e">
            <v>#N/A</v>
          </cell>
          <cell r="AP360" t="str">
            <v>F E001-00000033</v>
          </cell>
        </row>
        <row r="361">
          <cell r="E361" t="str">
            <v>R E001-13</v>
          </cell>
          <cell r="F361">
            <v>0</v>
          </cell>
          <cell r="H361" t="str">
            <v>PALOMINO VALLE ADRIANA</v>
          </cell>
          <cell r="I361">
            <v>45784</v>
          </cell>
          <cell r="J361">
            <v>45784</v>
          </cell>
          <cell r="K361">
            <v>45784</v>
          </cell>
          <cell r="P361" t="str">
            <v>COLABORATIVA S.A.C.</v>
          </cell>
          <cell r="Q361">
            <v>-1500</v>
          </cell>
          <cell r="S361">
            <v>-1500</v>
          </cell>
          <cell r="T361">
            <v>-1500</v>
          </cell>
          <cell r="V361" t="str">
            <v>PEN</v>
          </cell>
          <cell r="W361" t="b">
            <v>0</v>
          </cell>
          <cell r="X361" t="str">
            <v>Pagado</v>
          </cell>
          <cell r="AB361" t="str">
            <v>Registrado</v>
          </cell>
          <cell r="AN361">
            <v>45784</v>
          </cell>
          <cell r="AO361" t="e">
            <v>#N/A</v>
          </cell>
          <cell r="AP361" t="str">
            <v>R E001- 13</v>
          </cell>
        </row>
        <row r="362">
          <cell r="E362" t="str">
            <v>F E001-00001285</v>
          </cell>
          <cell r="F362">
            <v>0</v>
          </cell>
          <cell r="H362" t="str">
            <v>MARFIL GRANADOS BEAS ESTHER</v>
          </cell>
          <cell r="I362">
            <v>45784</v>
          </cell>
          <cell r="J362">
            <v>45784</v>
          </cell>
          <cell r="K362">
            <v>45785</v>
          </cell>
          <cell r="P362" t="str">
            <v>COLABORATIVA S.A.C.</v>
          </cell>
          <cell r="Q362">
            <v>-20</v>
          </cell>
          <cell r="R362">
            <v>-3.6</v>
          </cell>
          <cell r="S362">
            <v>-23.6</v>
          </cell>
          <cell r="T362">
            <v>-23.6</v>
          </cell>
          <cell r="V362" t="str">
            <v>PEN</v>
          </cell>
          <cell r="W362" t="b">
            <v>0</v>
          </cell>
          <cell r="X362" t="str">
            <v>Pagado</v>
          </cell>
          <cell r="AB362" t="str">
            <v>Registrado</v>
          </cell>
          <cell r="AN362">
            <v>45784</v>
          </cell>
          <cell r="AO362" t="e">
            <v>#N/A</v>
          </cell>
          <cell r="AP362" t="str">
            <v>F E001-00001285</v>
          </cell>
        </row>
        <row r="363">
          <cell r="E363" t="str">
            <v>R E001-18</v>
          </cell>
          <cell r="F363">
            <v>0</v>
          </cell>
          <cell r="H363" t="str">
            <v>DAMIAN LEON JACKELINE NICOLE</v>
          </cell>
          <cell r="I363">
            <v>45783</v>
          </cell>
          <cell r="J363">
            <v>45783</v>
          </cell>
          <cell r="K363">
            <v>45783</v>
          </cell>
          <cell r="P363" t="str">
            <v>COLABORATIVA S.A.C.</v>
          </cell>
          <cell r="Q363">
            <v>-182.5</v>
          </cell>
          <cell r="S363">
            <v>-182.5</v>
          </cell>
          <cell r="T363">
            <v>-182.5</v>
          </cell>
          <cell r="V363" t="str">
            <v>PEN</v>
          </cell>
          <cell r="W363" t="b">
            <v>0</v>
          </cell>
          <cell r="X363" t="str">
            <v>Pagado</v>
          </cell>
          <cell r="AB363" t="str">
            <v>Registrado</v>
          </cell>
          <cell r="AN363">
            <v>45783</v>
          </cell>
          <cell r="AO363" t="e">
            <v>#N/A</v>
          </cell>
          <cell r="AP363" t="str">
            <v>R E001-18</v>
          </cell>
        </row>
        <row r="364">
          <cell r="E364" t="str">
            <v>F E001-00000032</v>
          </cell>
          <cell r="F364">
            <v>0</v>
          </cell>
          <cell r="H364" t="str">
            <v>MAGIKBYTE E.I.R.L.</v>
          </cell>
          <cell r="I364">
            <v>45783</v>
          </cell>
          <cell r="J364">
            <v>45783</v>
          </cell>
          <cell r="K364">
            <v>45784</v>
          </cell>
          <cell r="P364" t="str">
            <v>COLABORATIVA S.A.C.</v>
          </cell>
          <cell r="Q364">
            <v>-895.77</v>
          </cell>
          <cell r="R364">
            <v>-161.24</v>
          </cell>
          <cell r="S364">
            <v>-1057.01</v>
          </cell>
          <cell r="T364">
            <v>-1057.01</v>
          </cell>
          <cell r="V364" t="str">
            <v>PEN</v>
          </cell>
          <cell r="W364" t="b">
            <v>0</v>
          </cell>
          <cell r="X364" t="str">
            <v>Pagado</v>
          </cell>
          <cell r="AB364" t="str">
            <v>Registrado</v>
          </cell>
          <cell r="AN364">
            <v>45783</v>
          </cell>
          <cell r="AO364" t="e">
            <v>#N/A</v>
          </cell>
          <cell r="AP364" t="str">
            <v>F E001-00000032</v>
          </cell>
        </row>
        <row r="365">
          <cell r="E365" t="str">
            <v>F E001-00000031</v>
          </cell>
          <cell r="F365">
            <v>0</v>
          </cell>
          <cell r="H365" t="str">
            <v>MAGIKBYTE E.I.R.L.</v>
          </cell>
          <cell r="I365">
            <v>45783</v>
          </cell>
          <cell r="J365">
            <v>45783</v>
          </cell>
          <cell r="K365">
            <v>45783</v>
          </cell>
          <cell r="L365" t="str">
            <v>P00029</v>
          </cell>
          <cell r="P365" t="str">
            <v>COLABORATIVA S.A.C.</v>
          </cell>
          <cell r="Q365">
            <v>-705.09</v>
          </cell>
          <cell r="R365">
            <v>-126.91</v>
          </cell>
          <cell r="S365">
            <v>-832</v>
          </cell>
          <cell r="T365">
            <v>-832</v>
          </cell>
          <cell r="V365" t="str">
            <v>PEN</v>
          </cell>
          <cell r="W365" t="b">
            <v>0</v>
          </cell>
          <cell r="X365" t="str">
            <v>Revertido</v>
          </cell>
          <cell r="AB365" t="str">
            <v>Registrado</v>
          </cell>
          <cell r="AN365">
            <v>45783</v>
          </cell>
          <cell r="AO365" t="e">
            <v>#N/A</v>
          </cell>
          <cell r="AP365" t="str">
            <v>F E001-00000031</v>
          </cell>
        </row>
        <row r="366">
          <cell r="E366" t="str">
            <v>F E001-00000242</v>
          </cell>
          <cell r="F366">
            <v>0</v>
          </cell>
          <cell r="H366" t="str">
            <v>DANPRINT STUDIO (CINTHIA LISETH LOPEZ INGA)</v>
          </cell>
          <cell r="I366">
            <v>45782</v>
          </cell>
          <cell r="J366">
            <v>45782</v>
          </cell>
          <cell r="K366">
            <v>45782</v>
          </cell>
          <cell r="L366" t="str">
            <v>P00028</v>
          </cell>
          <cell r="P366" t="str">
            <v>COLABORATIVA S.A.C.</v>
          </cell>
          <cell r="Q366">
            <v>-48</v>
          </cell>
          <cell r="R366">
            <v>-8.64</v>
          </cell>
          <cell r="S366">
            <v>-56.64</v>
          </cell>
          <cell r="T366">
            <v>-56.64</v>
          </cell>
          <cell r="V366" t="str">
            <v>PEN</v>
          </cell>
          <cell r="W366" t="b">
            <v>0</v>
          </cell>
          <cell r="X366" t="str">
            <v>Pagado</v>
          </cell>
          <cell r="AB366" t="str">
            <v>Registrado</v>
          </cell>
          <cell r="AN366">
            <v>45782</v>
          </cell>
          <cell r="AO366" t="e">
            <v>#N/A</v>
          </cell>
          <cell r="AP366" t="str">
            <v>F E001-00000242</v>
          </cell>
        </row>
        <row r="367">
          <cell r="E367" t="str">
            <v>F E001-00000025</v>
          </cell>
          <cell r="F367">
            <v>0</v>
          </cell>
          <cell r="H367" t="str">
            <v>MUÑOZ VERANO JOHN BRACKSON</v>
          </cell>
          <cell r="I367">
            <v>45782</v>
          </cell>
          <cell r="J367">
            <v>45782</v>
          </cell>
          <cell r="K367">
            <v>45782</v>
          </cell>
          <cell r="N367" t="str">
            <v>RUC: 10440668581</v>
          </cell>
          <cell r="P367" t="str">
            <v>COLABORATIVA S.A.C.</v>
          </cell>
          <cell r="Q367">
            <v>-600</v>
          </cell>
          <cell r="R367">
            <v>-108</v>
          </cell>
          <cell r="S367">
            <v>-708</v>
          </cell>
          <cell r="T367">
            <v>-708</v>
          </cell>
          <cell r="V367" t="str">
            <v>PEN</v>
          </cell>
          <cell r="W367" t="b">
            <v>0</v>
          </cell>
          <cell r="X367" t="str">
            <v>Pagado</v>
          </cell>
          <cell r="AB367" t="str">
            <v>Registrado</v>
          </cell>
          <cell r="AN367">
            <v>45782</v>
          </cell>
          <cell r="AO367" t="e">
            <v>#N/A</v>
          </cell>
          <cell r="AP367" t="str">
            <v>F E001-00000025</v>
          </cell>
        </row>
        <row r="368">
          <cell r="E368" t="str">
            <v>F E001-00000024</v>
          </cell>
          <cell r="F368">
            <v>0</v>
          </cell>
          <cell r="H368" t="str">
            <v>MUÑOZ VERANO JOHN BRACKSON</v>
          </cell>
          <cell r="I368">
            <v>45782</v>
          </cell>
          <cell r="J368">
            <v>45782</v>
          </cell>
          <cell r="K368">
            <v>45782</v>
          </cell>
          <cell r="N368" t="str">
            <v>10440668581</v>
          </cell>
          <cell r="P368" t="str">
            <v>COLABORATIVA S.A.C.</v>
          </cell>
          <cell r="Q368">
            <v>-3880</v>
          </cell>
          <cell r="R368">
            <v>-698.4</v>
          </cell>
          <cell r="S368">
            <v>-4578.3999999999996</v>
          </cell>
          <cell r="T368">
            <v>-4578.3999999999996</v>
          </cell>
          <cell r="V368" t="str">
            <v>PEN</v>
          </cell>
          <cell r="W368" t="b">
            <v>0</v>
          </cell>
          <cell r="X368" t="str">
            <v>Pagado</v>
          </cell>
          <cell r="AB368" t="str">
            <v>Registrado</v>
          </cell>
          <cell r="AN368">
            <v>45782</v>
          </cell>
          <cell r="AO368" t="e">
            <v>#N/A</v>
          </cell>
          <cell r="AP368" t="str">
            <v>F E001-00000024</v>
          </cell>
        </row>
        <row r="369">
          <cell r="E369" t="str">
            <v>F E001-00001279</v>
          </cell>
          <cell r="F369">
            <v>0</v>
          </cell>
          <cell r="H369" t="str">
            <v>MARFIL GRANADOS BEAS ESTHER</v>
          </cell>
          <cell r="I369">
            <v>45780</v>
          </cell>
          <cell r="J369">
            <v>45780</v>
          </cell>
          <cell r="K369">
            <v>45780</v>
          </cell>
          <cell r="P369" t="str">
            <v>COLABORATIVA S.A.C.</v>
          </cell>
          <cell r="Q369">
            <v>-364</v>
          </cell>
          <cell r="R369">
            <v>-65.52</v>
          </cell>
          <cell r="S369">
            <v>-429.52</v>
          </cell>
          <cell r="T369">
            <v>-429.52</v>
          </cell>
          <cell r="V369" t="str">
            <v>PEN</v>
          </cell>
          <cell r="W369" t="b">
            <v>0</v>
          </cell>
          <cell r="X369" t="str">
            <v>Pagado</v>
          </cell>
          <cell r="AB369" t="str">
            <v>Registrado</v>
          </cell>
          <cell r="AN369">
            <v>45780</v>
          </cell>
          <cell r="AO369" t="e">
            <v>#N/A</v>
          </cell>
          <cell r="AP369" t="str">
            <v>F E001-00001279</v>
          </cell>
        </row>
        <row r="370">
          <cell r="E370" t="str">
            <v>R E001-19</v>
          </cell>
          <cell r="F370">
            <v>0</v>
          </cell>
          <cell r="H370" t="str">
            <v>GIURA MORI GABRIELA NORIKO</v>
          </cell>
          <cell r="I370">
            <v>45779</v>
          </cell>
          <cell r="J370">
            <v>45779</v>
          </cell>
          <cell r="K370">
            <v>45782</v>
          </cell>
          <cell r="P370" t="str">
            <v>COLABORATIVA S.A.C.</v>
          </cell>
          <cell r="Q370">
            <v>-640</v>
          </cell>
          <cell r="S370">
            <v>-640</v>
          </cell>
          <cell r="T370">
            <v>-640</v>
          </cell>
          <cell r="V370" t="str">
            <v>PEN</v>
          </cell>
          <cell r="W370" t="b">
            <v>0</v>
          </cell>
          <cell r="X370" t="str">
            <v>Pagado</v>
          </cell>
          <cell r="AB370" t="str">
            <v>Registrado</v>
          </cell>
          <cell r="AN370">
            <v>45779</v>
          </cell>
          <cell r="AO370" t="e">
            <v>#N/A</v>
          </cell>
          <cell r="AP370" t="str">
            <v>R E001- 19</v>
          </cell>
        </row>
        <row r="371">
          <cell r="E371" t="str">
            <v>F E001-00000030</v>
          </cell>
          <cell r="F371">
            <v>0</v>
          </cell>
          <cell r="H371" t="str">
            <v>MAGIKBYTE E.I.R.L.</v>
          </cell>
          <cell r="I371">
            <v>45779</v>
          </cell>
          <cell r="J371">
            <v>45779</v>
          </cell>
          <cell r="K371">
            <v>45779</v>
          </cell>
          <cell r="L371" t="str">
            <v>P00027</v>
          </cell>
          <cell r="N371" t="str">
            <v>20609119277</v>
          </cell>
          <cell r="P371" t="str">
            <v>COLABORATIVA S.A.C.</v>
          </cell>
          <cell r="Q371">
            <v>-9243.2099999999991</v>
          </cell>
          <cell r="R371">
            <v>-1663.79</v>
          </cell>
          <cell r="S371">
            <v>-10907</v>
          </cell>
          <cell r="T371">
            <v>-10907</v>
          </cell>
          <cell r="V371" t="str">
            <v>PEN</v>
          </cell>
          <cell r="W371" t="b">
            <v>0</v>
          </cell>
          <cell r="X371" t="str">
            <v>Pagado</v>
          </cell>
          <cell r="AB371" t="str">
            <v>Registrado</v>
          </cell>
          <cell r="AN371">
            <v>45779</v>
          </cell>
          <cell r="AO371" t="e">
            <v>#N/A</v>
          </cell>
          <cell r="AP371" t="str">
            <v>F E001-00000030</v>
          </cell>
        </row>
        <row r="372">
          <cell r="E372" t="str">
            <v>F FE25-00003199</v>
          </cell>
          <cell r="F372">
            <v>0</v>
          </cell>
          <cell r="H372" t="str">
            <v>Verisure Peru SAC</v>
          </cell>
          <cell r="I372">
            <v>45778</v>
          </cell>
          <cell r="J372">
            <v>45778</v>
          </cell>
          <cell r="K372">
            <v>45797</v>
          </cell>
          <cell r="P372" t="str">
            <v>COLABORATIVA S.A.C.</v>
          </cell>
          <cell r="Q372">
            <v>-193.23</v>
          </cell>
          <cell r="R372">
            <v>-34.78</v>
          </cell>
          <cell r="S372">
            <v>-228.01</v>
          </cell>
          <cell r="T372">
            <v>-228.01</v>
          </cell>
          <cell r="V372" t="str">
            <v>PEN</v>
          </cell>
          <cell r="W372" t="b">
            <v>0</v>
          </cell>
          <cell r="X372" t="str">
            <v>Pagado</v>
          </cell>
          <cell r="AB372" t="str">
            <v>Registrado</v>
          </cell>
          <cell r="AN372">
            <v>45778</v>
          </cell>
          <cell r="AO372" t="e">
            <v>#N/A</v>
          </cell>
          <cell r="AP372" t="str">
            <v>F FE25-00003199</v>
          </cell>
        </row>
        <row r="373">
          <cell r="E373" t="str">
            <v>R E001-8</v>
          </cell>
          <cell r="F373">
            <v>0</v>
          </cell>
          <cell r="H373" t="str">
            <v>GARCIA TUCTO NHASHLA MARIA VICTORIA</v>
          </cell>
          <cell r="I373">
            <v>45777</v>
          </cell>
          <cell r="J373">
            <v>45777</v>
          </cell>
          <cell r="K373">
            <v>45779</v>
          </cell>
          <cell r="P373" t="str">
            <v>COLABORATIVA S.A.C.</v>
          </cell>
          <cell r="Q373">
            <v>-1650</v>
          </cell>
          <cell r="S373">
            <v>-1650</v>
          </cell>
          <cell r="T373">
            <v>-1650</v>
          </cell>
          <cell r="V373" t="str">
            <v>PEN</v>
          </cell>
          <cell r="W373" t="b">
            <v>0</v>
          </cell>
          <cell r="X373" t="str">
            <v>Pagado</v>
          </cell>
          <cell r="AB373" t="str">
            <v>Registrado</v>
          </cell>
          <cell r="AN373">
            <v>45777</v>
          </cell>
          <cell r="AO373" t="e">
            <v>#N/A</v>
          </cell>
          <cell r="AP373" t="str">
            <v>R E001-8</v>
          </cell>
        </row>
        <row r="374">
          <cell r="E374" t="str">
            <v>R E001-22</v>
          </cell>
          <cell r="F374">
            <v>0</v>
          </cell>
          <cell r="H374" t="str">
            <v>PAJUELO LUNA YAMILE MILAGROS</v>
          </cell>
          <cell r="I374">
            <v>45777</v>
          </cell>
          <cell r="J374">
            <v>45777</v>
          </cell>
          <cell r="K374">
            <v>45777</v>
          </cell>
          <cell r="P374" t="str">
            <v>COLABORATIVA S.A.C.</v>
          </cell>
          <cell r="Q374">
            <v>-1600</v>
          </cell>
          <cell r="S374">
            <v>-1600</v>
          </cell>
          <cell r="T374">
            <v>-1600</v>
          </cell>
          <cell r="V374" t="str">
            <v>PEN</v>
          </cell>
          <cell r="W374" t="b">
            <v>0</v>
          </cell>
          <cell r="X374" t="str">
            <v>Pagado</v>
          </cell>
          <cell r="AB374" t="str">
            <v>Registrado</v>
          </cell>
          <cell r="AN374">
            <v>45777</v>
          </cell>
          <cell r="AO374" t="e">
            <v>#N/A</v>
          </cell>
          <cell r="AP374" t="str">
            <v>R E001-22</v>
          </cell>
        </row>
        <row r="375">
          <cell r="E375" t="str">
            <v>R E001-12</v>
          </cell>
          <cell r="F375">
            <v>0</v>
          </cell>
          <cell r="H375" t="str">
            <v>RODRIGO ALEJANDRO CRUZ LOPEZ</v>
          </cell>
          <cell r="I375">
            <v>45777</v>
          </cell>
          <cell r="J375">
            <v>45777</v>
          </cell>
          <cell r="K375">
            <v>45777</v>
          </cell>
          <cell r="P375" t="str">
            <v>COLABORATIVA S.A.C.</v>
          </cell>
          <cell r="Q375">
            <v>-1700</v>
          </cell>
          <cell r="S375">
            <v>-1700</v>
          </cell>
          <cell r="T375">
            <v>-1700</v>
          </cell>
          <cell r="V375" t="str">
            <v>PEN</v>
          </cell>
          <cell r="W375" t="b">
            <v>0</v>
          </cell>
          <cell r="X375" t="str">
            <v>Pagado</v>
          </cell>
          <cell r="AB375" t="str">
            <v>Registrado</v>
          </cell>
          <cell r="AN375">
            <v>45777</v>
          </cell>
          <cell r="AO375" t="e">
            <v>#N/A</v>
          </cell>
          <cell r="AP375" t="str">
            <v>R E001-12</v>
          </cell>
        </row>
        <row r="376">
          <cell r="E376" t="str">
            <v>R E001-7</v>
          </cell>
          <cell r="F376">
            <v>0</v>
          </cell>
          <cell r="H376" t="str">
            <v>NAVARRO JAUREGUI BRYANDA YESSENIA</v>
          </cell>
          <cell r="I376">
            <v>45777</v>
          </cell>
          <cell r="J376">
            <v>45777</v>
          </cell>
          <cell r="K376">
            <v>45777</v>
          </cell>
          <cell r="P376" t="str">
            <v>COLABORATIVA S.A.C.</v>
          </cell>
          <cell r="Q376">
            <v>-1300</v>
          </cell>
          <cell r="S376">
            <v>-1300</v>
          </cell>
          <cell r="T376">
            <v>-1300</v>
          </cell>
          <cell r="V376" t="str">
            <v>PEN</v>
          </cell>
          <cell r="W376" t="b">
            <v>0</v>
          </cell>
          <cell r="X376" t="str">
            <v>Pagado</v>
          </cell>
          <cell r="AB376" t="str">
            <v>Registrado</v>
          </cell>
          <cell r="AN376">
            <v>45777</v>
          </cell>
          <cell r="AO376" t="e">
            <v>#N/A</v>
          </cell>
          <cell r="AP376" t="str">
            <v>R E001- 7</v>
          </cell>
        </row>
        <row r="377">
          <cell r="E377" t="str">
            <v>R E001-35</v>
          </cell>
          <cell r="F377">
            <v>0</v>
          </cell>
          <cell r="H377" t="str">
            <v>HERRERA ALBENGRIN ALEJANDRO</v>
          </cell>
          <cell r="I377">
            <v>45777</v>
          </cell>
          <cell r="J377">
            <v>45777</v>
          </cell>
          <cell r="K377">
            <v>45777</v>
          </cell>
          <cell r="P377" t="str">
            <v>COLABORATIVA S.A.C.</v>
          </cell>
          <cell r="Q377">
            <v>-2000</v>
          </cell>
          <cell r="S377">
            <v>-2000</v>
          </cell>
          <cell r="T377">
            <v>-2000</v>
          </cell>
          <cell r="V377" t="str">
            <v>PEN</v>
          </cell>
          <cell r="W377" t="b">
            <v>0</v>
          </cell>
          <cell r="X377" t="str">
            <v>Pagado</v>
          </cell>
          <cell r="AB377" t="str">
            <v>Registrado</v>
          </cell>
          <cell r="AN377">
            <v>45777</v>
          </cell>
          <cell r="AO377" t="e">
            <v>#N/A</v>
          </cell>
          <cell r="AP377" t="str">
            <v>R E001- 35</v>
          </cell>
        </row>
        <row r="378">
          <cell r="E378" t="str">
            <v>R E001-28</v>
          </cell>
          <cell r="F378">
            <v>0</v>
          </cell>
          <cell r="H378" t="str">
            <v>RODRIGUEZ RELAIZA ANGIE JORDANA</v>
          </cell>
          <cell r="I378">
            <v>45777</v>
          </cell>
          <cell r="J378">
            <v>45777</v>
          </cell>
          <cell r="K378">
            <v>45778</v>
          </cell>
          <cell r="P378" t="str">
            <v>COLABORATIVA S.A.C.</v>
          </cell>
          <cell r="Q378">
            <v>-1600</v>
          </cell>
          <cell r="S378">
            <v>-1600</v>
          </cell>
          <cell r="T378">
            <v>-1600</v>
          </cell>
          <cell r="V378" t="str">
            <v>PEN</v>
          </cell>
          <cell r="W378" t="b">
            <v>0</v>
          </cell>
          <cell r="X378" t="str">
            <v>Pagado</v>
          </cell>
          <cell r="AB378" t="str">
            <v>Registrado</v>
          </cell>
          <cell r="AN378">
            <v>45777</v>
          </cell>
          <cell r="AO378" t="e">
            <v>#N/A</v>
          </cell>
          <cell r="AP378" t="str">
            <v>R E001- 28</v>
          </cell>
        </row>
        <row r="379">
          <cell r="E379" t="str">
            <v>R E001-23</v>
          </cell>
          <cell r="F379">
            <v>0</v>
          </cell>
          <cell r="H379" t="str">
            <v>QUISPE QUISPE LUZ ESTEFANY</v>
          </cell>
          <cell r="I379">
            <v>45777</v>
          </cell>
          <cell r="J379">
            <v>45777</v>
          </cell>
          <cell r="K379">
            <v>45777</v>
          </cell>
          <cell r="P379" t="str">
            <v>COLABORATIVA S.A.C.</v>
          </cell>
          <cell r="Q379">
            <v>-2500</v>
          </cell>
          <cell r="S379">
            <v>-2500</v>
          </cell>
          <cell r="T379">
            <v>-2500</v>
          </cell>
          <cell r="V379" t="str">
            <v>PEN</v>
          </cell>
          <cell r="W379" t="b">
            <v>0</v>
          </cell>
          <cell r="X379" t="str">
            <v>Pagado</v>
          </cell>
          <cell r="AB379" t="str">
            <v>Registrado</v>
          </cell>
          <cell r="AN379">
            <v>45777</v>
          </cell>
          <cell r="AO379" t="e">
            <v>#N/A</v>
          </cell>
          <cell r="AP379" t="str">
            <v>R E001- 23</v>
          </cell>
        </row>
        <row r="380">
          <cell r="E380" t="str">
            <v>R E001-14</v>
          </cell>
          <cell r="F380">
            <v>0</v>
          </cell>
          <cell r="H380" t="str">
            <v>RODRIGUEZ BERNAOLA MARIA JOSE</v>
          </cell>
          <cell r="I380">
            <v>45777</v>
          </cell>
          <cell r="J380">
            <v>45777</v>
          </cell>
          <cell r="K380">
            <v>45777</v>
          </cell>
          <cell r="P380" t="str">
            <v>COLABORATIVA S.A.C.</v>
          </cell>
          <cell r="Q380">
            <v>-2000</v>
          </cell>
          <cell r="S380">
            <v>-2000</v>
          </cell>
          <cell r="T380">
            <v>-2000</v>
          </cell>
          <cell r="V380" t="str">
            <v>PEN</v>
          </cell>
          <cell r="W380" t="b">
            <v>0</v>
          </cell>
          <cell r="X380" t="str">
            <v>Pagado</v>
          </cell>
          <cell r="AB380" t="str">
            <v>Registrado</v>
          </cell>
          <cell r="AN380">
            <v>45777</v>
          </cell>
          <cell r="AO380" t="e">
            <v>#N/A</v>
          </cell>
          <cell r="AP380" t="str">
            <v>R E001- 14</v>
          </cell>
        </row>
        <row r="381">
          <cell r="E381" t="str">
            <v>F F001-00023949</v>
          </cell>
          <cell r="F381">
            <v>0</v>
          </cell>
          <cell r="H381" t="str">
            <v>TECNOLOGIA FLEXOGRAFICA S.A.C - TECFLEX</v>
          </cell>
          <cell r="I381">
            <v>45777</v>
          </cell>
          <cell r="J381">
            <v>45777</v>
          </cell>
          <cell r="K381">
            <v>45796</v>
          </cell>
          <cell r="L381" t="str">
            <v>P00025</v>
          </cell>
          <cell r="P381" t="str">
            <v>COLABORATIVA S.A.C.</v>
          </cell>
          <cell r="Q381">
            <v>-963.2</v>
          </cell>
          <cell r="R381">
            <v>-173.38</v>
          </cell>
          <cell r="S381">
            <v>-1136.58</v>
          </cell>
          <cell r="T381">
            <v>-1136.58</v>
          </cell>
          <cell r="V381" t="str">
            <v>PEN</v>
          </cell>
          <cell r="W381" t="b">
            <v>0</v>
          </cell>
          <cell r="X381" t="str">
            <v>Pagado</v>
          </cell>
          <cell r="AB381" t="str">
            <v>Registrado</v>
          </cell>
          <cell r="AN381">
            <v>45777</v>
          </cell>
          <cell r="AO381" t="e">
            <v>#N/A</v>
          </cell>
          <cell r="AP381" t="str">
            <v>F F001-00023949</v>
          </cell>
        </row>
        <row r="382">
          <cell r="E382" t="str">
            <v>F E001-00000485</v>
          </cell>
          <cell r="F382">
            <v>0</v>
          </cell>
          <cell r="H382" t="str">
            <v>CATORCE &amp; SEIS S.A.C.</v>
          </cell>
          <cell r="I382">
            <v>45777</v>
          </cell>
          <cell r="J382">
            <v>45777</v>
          </cell>
          <cell r="K382">
            <v>45777</v>
          </cell>
          <cell r="P382" t="str">
            <v>COLABORATIVA S.A.C.</v>
          </cell>
          <cell r="Q382">
            <v>-10500</v>
          </cell>
          <cell r="R382">
            <v>-1890</v>
          </cell>
          <cell r="S382">
            <v>-12390</v>
          </cell>
          <cell r="T382">
            <v>-12390</v>
          </cell>
          <cell r="V382" t="str">
            <v>PEN</v>
          </cell>
          <cell r="W382" t="b">
            <v>0</v>
          </cell>
          <cell r="X382" t="str">
            <v>Pagado</v>
          </cell>
          <cell r="AB382" t="str">
            <v>Registrado</v>
          </cell>
          <cell r="AN382">
            <v>45777</v>
          </cell>
          <cell r="AO382" t="e">
            <v>#N/A</v>
          </cell>
          <cell r="AP382" t="str">
            <v>F E001-00000485</v>
          </cell>
        </row>
        <row r="383">
          <cell r="E383" t="str">
            <v>F E001-00000484</v>
          </cell>
          <cell r="F383">
            <v>0</v>
          </cell>
          <cell r="H383" t="str">
            <v>CATORCE &amp; SEIS S.A.C.</v>
          </cell>
          <cell r="I383">
            <v>45777</v>
          </cell>
          <cell r="J383">
            <v>45777</v>
          </cell>
          <cell r="K383">
            <v>45777</v>
          </cell>
          <cell r="P383" t="str">
            <v>COLABORATIVA S.A.C.</v>
          </cell>
          <cell r="Q383">
            <v>-7450</v>
          </cell>
          <cell r="R383">
            <v>-1341</v>
          </cell>
          <cell r="S383">
            <v>-8791</v>
          </cell>
          <cell r="T383">
            <v>-8791</v>
          </cell>
          <cell r="V383" t="str">
            <v>PEN</v>
          </cell>
          <cell r="W383" t="b">
            <v>0</v>
          </cell>
          <cell r="X383" t="str">
            <v>Pagado</v>
          </cell>
          <cell r="AB383" t="str">
            <v>Registrado</v>
          </cell>
          <cell r="AN383">
            <v>45777</v>
          </cell>
          <cell r="AO383" t="e">
            <v>#N/A</v>
          </cell>
          <cell r="AP383" t="str">
            <v>F E001-00000484</v>
          </cell>
        </row>
        <row r="384">
          <cell r="E384" t="str">
            <v>F E001-00000483</v>
          </cell>
          <cell r="F384">
            <v>0</v>
          </cell>
          <cell r="H384" t="str">
            <v>CATORCE &amp; SEIS S.A.C.</v>
          </cell>
          <cell r="I384">
            <v>45777</v>
          </cell>
          <cell r="J384">
            <v>45777</v>
          </cell>
          <cell r="K384">
            <v>45777</v>
          </cell>
          <cell r="P384" t="str">
            <v>COLABORATIVA S.A.C.</v>
          </cell>
          <cell r="Q384">
            <v>-3140</v>
          </cell>
          <cell r="R384">
            <v>-565.20000000000005</v>
          </cell>
          <cell r="S384">
            <v>-3705.2</v>
          </cell>
          <cell r="T384">
            <v>-3705.2</v>
          </cell>
          <cell r="V384" t="str">
            <v>PEN</v>
          </cell>
          <cell r="W384" t="b">
            <v>0</v>
          </cell>
          <cell r="X384" t="str">
            <v>Pagado</v>
          </cell>
          <cell r="AB384" t="str">
            <v>Registrado</v>
          </cell>
          <cell r="AN384">
            <v>45777</v>
          </cell>
          <cell r="AO384" t="e">
            <v>#N/A</v>
          </cell>
          <cell r="AP384" t="str">
            <v>F E001-00000483</v>
          </cell>
        </row>
        <row r="385">
          <cell r="E385" t="str">
            <v>F E001-00000239</v>
          </cell>
          <cell r="F385">
            <v>0</v>
          </cell>
          <cell r="H385" t="str">
            <v>DANPRINT STUDIO (CINTHIA LISETH LOPEZ INGA)</v>
          </cell>
          <cell r="I385">
            <v>45777</v>
          </cell>
          <cell r="J385">
            <v>45777</v>
          </cell>
          <cell r="K385">
            <v>45777</v>
          </cell>
          <cell r="L385" t="str">
            <v>P00016</v>
          </cell>
          <cell r="P385" t="str">
            <v>COLABORATIVA S.A.C.</v>
          </cell>
          <cell r="Q385">
            <v>-440.68</v>
          </cell>
          <cell r="R385">
            <v>-79.319999999999993</v>
          </cell>
          <cell r="S385">
            <v>-520</v>
          </cell>
          <cell r="T385">
            <v>-520</v>
          </cell>
          <cell r="V385" t="str">
            <v>PEN</v>
          </cell>
          <cell r="W385" t="b">
            <v>0</v>
          </cell>
          <cell r="X385" t="str">
            <v>Pagado</v>
          </cell>
          <cell r="AB385" t="str">
            <v>Registrado</v>
          </cell>
          <cell r="AN385">
            <v>45777</v>
          </cell>
          <cell r="AO385" t="e">
            <v>#N/A</v>
          </cell>
          <cell r="AP385" t="str">
            <v>F E001-00000239</v>
          </cell>
        </row>
        <row r="386">
          <cell r="E386" t="str">
            <v>F E001-00000238</v>
          </cell>
          <cell r="F386">
            <v>0</v>
          </cell>
          <cell r="H386" t="str">
            <v>DANPRINT STUDIO (CINTHIA LISETH LOPEZ INGA)</v>
          </cell>
          <cell r="I386">
            <v>45777</v>
          </cell>
          <cell r="J386">
            <v>45777</v>
          </cell>
          <cell r="K386">
            <v>45796</v>
          </cell>
          <cell r="L386" t="str">
            <v>P00011</v>
          </cell>
          <cell r="P386" t="str">
            <v>COLABORATIVA S.A.C.</v>
          </cell>
          <cell r="Q386">
            <v>-4521.1899999999996</v>
          </cell>
          <cell r="R386">
            <v>-813.81</v>
          </cell>
          <cell r="S386">
            <v>-5335</v>
          </cell>
          <cell r="T386">
            <v>-5335</v>
          </cell>
          <cell r="V386" t="str">
            <v>PEN</v>
          </cell>
          <cell r="W386" t="b">
            <v>0</v>
          </cell>
          <cell r="X386" t="str">
            <v>Pagado</v>
          </cell>
          <cell r="AB386" t="str">
            <v>Registrado</v>
          </cell>
          <cell r="AN386">
            <v>45777</v>
          </cell>
          <cell r="AO386" t="e">
            <v>#N/A</v>
          </cell>
          <cell r="AP386" t="str">
            <v>F E001-00000238</v>
          </cell>
        </row>
        <row r="387">
          <cell r="E387" t="str">
            <v>F E001-00000055</v>
          </cell>
          <cell r="F387">
            <v>0</v>
          </cell>
          <cell r="H387" t="str">
            <v>ROJAS CASTILLO SUSANA</v>
          </cell>
          <cell r="I387">
            <v>45777</v>
          </cell>
          <cell r="J387">
            <v>45777</v>
          </cell>
          <cell r="K387">
            <v>45777</v>
          </cell>
          <cell r="P387" t="str">
            <v>COLABORATIVA S.A.C.</v>
          </cell>
          <cell r="Q387">
            <v>-1080</v>
          </cell>
          <cell r="R387">
            <v>-194.4</v>
          </cell>
          <cell r="S387">
            <v>-1274.4000000000001</v>
          </cell>
          <cell r="T387">
            <v>-1274.4000000000001</v>
          </cell>
          <cell r="V387" t="str">
            <v>PEN</v>
          </cell>
          <cell r="W387" t="b">
            <v>0</v>
          </cell>
          <cell r="X387" t="str">
            <v>Pagado</v>
          </cell>
          <cell r="AB387" t="str">
            <v>Registrado</v>
          </cell>
          <cell r="AN387">
            <v>45777</v>
          </cell>
          <cell r="AO387" t="e">
            <v>#N/A</v>
          </cell>
          <cell r="AP387" t="str">
            <v>F E001-00000055</v>
          </cell>
        </row>
        <row r="388">
          <cell r="E388" t="str">
            <v>F E001-00000031</v>
          </cell>
          <cell r="F388">
            <v>0</v>
          </cell>
          <cell r="H388" t="str">
            <v>GARRIDO ROJAS MARISABEL</v>
          </cell>
          <cell r="I388">
            <v>45777</v>
          </cell>
          <cell r="J388">
            <v>45777</v>
          </cell>
          <cell r="K388">
            <v>45777</v>
          </cell>
          <cell r="P388" t="str">
            <v>COLABORATIVA S.A.C.</v>
          </cell>
          <cell r="Q388">
            <v>-4500</v>
          </cell>
          <cell r="R388">
            <v>-810</v>
          </cell>
          <cell r="S388">
            <v>-5310</v>
          </cell>
          <cell r="T388">
            <v>-5310</v>
          </cell>
          <cell r="V388" t="str">
            <v>PEN</v>
          </cell>
          <cell r="W388" t="b">
            <v>0</v>
          </cell>
          <cell r="X388" t="str">
            <v>Pagado</v>
          </cell>
          <cell r="AB388" t="str">
            <v>Registrado</v>
          </cell>
          <cell r="AN388">
            <v>45777</v>
          </cell>
          <cell r="AO388" t="e">
            <v>#N/A</v>
          </cell>
          <cell r="AP388" t="str">
            <v>F E001-00000031</v>
          </cell>
        </row>
        <row r="389">
          <cell r="E389" t="str">
            <v>F E001-00000020</v>
          </cell>
          <cell r="F389">
            <v>0</v>
          </cell>
          <cell r="H389" t="str">
            <v>MUÑOZ VERANO JOHN BRACKSON</v>
          </cell>
          <cell r="I389">
            <v>45776</v>
          </cell>
          <cell r="J389">
            <v>45776</v>
          </cell>
          <cell r="K389">
            <v>45777</v>
          </cell>
          <cell r="P389" t="str">
            <v>COLABORATIVA S.A.C.</v>
          </cell>
          <cell r="Q389">
            <v>-880</v>
          </cell>
          <cell r="R389">
            <v>-158.4</v>
          </cell>
          <cell r="S389">
            <v>-1038.4000000000001</v>
          </cell>
          <cell r="T389">
            <v>-1038.4000000000001</v>
          </cell>
          <cell r="V389" t="str">
            <v>PEN</v>
          </cell>
          <cell r="W389" t="b">
            <v>0</v>
          </cell>
          <cell r="X389" t="str">
            <v>Pagado</v>
          </cell>
          <cell r="AB389" t="str">
            <v>Registrado</v>
          </cell>
          <cell r="AN389">
            <v>45776</v>
          </cell>
          <cell r="AO389" t="e">
            <v>#N/A</v>
          </cell>
          <cell r="AP389" t="str">
            <v>F E001-00000020</v>
          </cell>
        </row>
        <row r="390">
          <cell r="E390" t="str">
            <v>F E001-00000019</v>
          </cell>
          <cell r="F390">
            <v>0</v>
          </cell>
          <cell r="H390" t="str">
            <v>MUÑOZ VERANO JOHN BRACKSON</v>
          </cell>
          <cell r="I390">
            <v>45776</v>
          </cell>
          <cell r="J390">
            <v>45776</v>
          </cell>
          <cell r="K390">
            <v>45777</v>
          </cell>
          <cell r="P390" t="str">
            <v>COLABORATIVA S.A.C.</v>
          </cell>
          <cell r="Q390">
            <v>-795</v>
          </cell>
          <cell r="R390">
            <v>-143.1</v>
          </cell>
          <cell r="S390">
            <v>-938.1</v>
          </cell>
          <cell r="T390">
            <v>-938.1</v>
          </cell>
          <cell r="V390" t="str">
            <v>PEN</v>
          </cell>
          <cell r="W390" t="b">
            <v>0</v>
          </cell>
          <cell r="X390" t="str">
            <v>Pagado</v>
          </cell>
          <cell r="AB390" t="str">
            <v>Registrado</v>
          </cell>
          <cell r="AN390">
            <v>45776</v>
          </cell>
          <cell r="AO390" t="e">
            <v>#N/A</v>
          </cell>
          <cell r="AP390" t="str">
            <v>F E001-00000019</v>
          </cell>
        </row>
        <row r="391">
          <cell r="E391" t="str">
            <v>F F001-00008733</v>
          </cell>
          <cell r="F391">
            <v>0</v>
          </cell>
          <cell r="H391" t="str">
            <v>PRECINTOS PERU E.I.R.L</v>
          </cell>
          <cell r="I391">
            <v>45775</v>
          </cell>
          <cell r="J391">
            <v>45775</v>
          </cell>
          <cell r="K391">
            <v>45777</v>
          </cell>
          <cell r="L391" t="str">
            <v>P00026</v>
          </cell>
          <cell r="P391" t="str">
            <v>COLABORATIVA S.A.C.</v>
          </cell>
          <cell r="Q391">
            <v>-1220.3399999999999</v>
          </cell>
          <cell r="R391">
            <v>-219.66</v>
          </cell>
          <cell r="S391">
            <v>-1440</v>
          </cell>
          <cell r="T391">
            <v>-1440</v>
          </cell>
          <cell r="V391" t="str">
            <v>PEN</v>
          </cell>
          <cell r="W391" t="b">
            <v>0</v>
          </cell>
          <cell r="X391" t="str">
            <v>Pagado</v>
          </cell>
          <cell r="AB391" t="str">
            <v>Registrado</v>
          </cell>
          <cell r="AN391">
            <v>45775</v>
          </cell>
          <cell r="AO391" t="e">
            <v>#N/A</v>
          </cell>
          <cell r="AP391" t="str">
            <v>F F001-00008733</v>
          </cell>
        </row>
        <row r="392">
          <cell r="E392" t="str">
            <v>F E001-00000029</v>
          </cell>
          <cell r="F392">
            <v>0</v>
          </cell>
          <cell r="H392" t="str">
            <v>MAGIKBYTE E.I.R.L.</v>
          </cell>
          <cell r="I392">
            <v>45771</v>
          </cell>
          <cell r="J392">
            <v>45771</v>
          </cell>
          <cell r="K392">
            <v>45771</v>
          </cell>
          <cell r="L392" t="str">
            <v>P00023</v>
          </cell>
          <cell r="P392" t="str">
            <v>COLABORATIVA S.A.C.</v>
          </cell>
          <cell r="Q392">
            <v>-4011.02</v>
          </cell>
          <cell r="R392">
            <v>-721.98</v>
          </cell>
          <cell r="S392">
            <v>-4733</v>
          </cell>
          <cell r="T392">
            <v>-4733</v>
          </cell>
          <cell r="V392" t="str">
            <v>PEN</v>
          </cell>
          <cell r="W392" t="b">
            <v>0</v>
          </cell>
          <cell r="X392" t="str">
            <v>Pagado</v>
          </cell>
          <cell r="AB392" t="str">
            <v>Registrado</v>
          </cell>
          <cell r="AN392">
            <v>45771</v>
          </cell>
          <cell r="AO392" t="e">
            <v>#N/A</v>
          </cell>
          <cell r="AP392" t="str">
            <v>F E001-00000029</v>
          </cell>
        </row>
        <row r="393">
          <cell r="E393" t="str">
            <v>F F001-00000184</v>
          </cell>
          <cell r="F393">
            <v>0</v>
          </cell>
          <cell r="H393" t="str">
            <v>VILCHEZ GARCES ANA DEL CARMEN</v>
          </cell>
          <cell r="I393">
            <v>45770</v>
          </cell>
          <cell r="J393">
            <v>45770</v>
          </cell>
          <cell r="K393">
            <v>45770</v>
          </cell>
          <cell r="L393" t="str">
            <v>P00022</v>
          </cell>
          <cell r="P393" t="str">
            <v>COLABORATIVA S.A.C.</v>
          </cell>
          <cell r="Q393">
            <v>-248.31</v>
          </cell>
          <cell r="R393">
            <v>-44.69</v>
          </cell>
          <cell r="S393">
            <v>-293</v>
          </cell>
          <cell r="T393">
            <v>-293</v>
          </cell>
          <cell r="V393" t="str">
            <v>PEN</v>
          </cell>
          <cell r="W393" t="b">
            <v>0</v>
          </cell>
          <cell r="X393" t="str">
            <v>Pagado</v>
          </cell>
          <cell r="AB393" t="str">
            <v>Registrado</v>
          </cell>
          <cell r="AN393">
            <v>45770</v>
          </cell>
          <cell r="AO393" t="e">
            <v>#N/A</v>
          </cell>
          <cell r="AP393" t="str">
            <v>F F001 - 00000184</v>
          </cell>
        </row>
        <row r="394">
          <cell r="E394" t="str">
            <v>F F001-00000183</v>
          </cell>
          <cell r="F394">
            <v>0</v>
          </cell>
          <cell r="H394" t="str">
            <v>VILCHEZ GARCES ANA DEL CARMEN</v>
          </cell>
          <cell r="I394">
            <v>45769</v>
          </cell>
          <cell r="J394">
            <v>45769</v>
          </cell>
          <cell r="K394">
            <v>45769</v>
          </cell>
          <cell r="L394" t="str">
            <v>P00020</v>
          </cell>
          <cell r="P394" t="str">
            <v>COLABORATIVA S.A.C.</v>
          </cell>
          <cell r="Q394">
            <v>-1688.47</v>
          </cell>
          <cell r="R394">
            <v>-303.93</v>
          </cell>
          <cell r="S394">
            <v>-1992.4</v>
          </cell>
          <cell r="T394">
            <v>-1992.4</v>
          </cell>
          <cell r="V394" t="str">
            <v>PEN</v>
          </cell>
          <cell r="W394" t="b">
            <v>0</v>
          </cell>
          <cell r="X394" t="str">
            <v>Pagado</v>
          </cell>
          <cell r="AB394" t="str">
            <v>Registrado</v>
          </cell>
          <cell r="AN394">
            <v>45769</v>
          </cell>
          <cell r="AO394" t="e">
            <v>#N/A</v>
          </cell>
          <cell r="AP394" t="str">
            <v>F F001 - 00000183</v>
          </cell>
        </row>
        <row r="395">
          <cell r="E395" t="str">
            <v>F E001-00000012</v>
          </cell>
          <cell r="F395">
            <v>0</v>
          </cell>
          <cell r="H395" t="str">
            <v>MUÑOZ VERANO JOHN BRACKSON</v>
          </cell>
          <cell r="I395">
            <v>45769</v>
          </cell>
          <cell r="J395">
            <v>45769</v>
          </cell>
          <cell r="K395">
            <v>45769</v>
          </cell>
          <cell r="L395" t="str">
            <v>P00021</v>
          </cell>
          <cell r="P395" t="str">
            <v>COLABORATIVA S.A.C.</v>
          </cell>
          <cell r="Q395">
            <v>-480</v>
          </cell>
          <cell r="R395">
            <v>-86.4</v>
          </cell>
          <cell r="S395">
            <v>-566.4</v>
          </cell>
          <cell r="T395">
            <v>-566.4</v>
          </cell>
          <cell r="V395" t="str">
            <v>PEN</v>
          </cell>
          <cell r="W395" t="b">
            <v>0</v>
          </cell>
          <cell r="X395" t="str">
            <v>Pagado</v>
          </cell>
          <cell r="AB395" t="str">
            <v>Registrado</v>
          </cell>
          <cell r="AN395">
            <v>45769</v>
          </cell>
          <cell r="AO395" t="e">
            <v>#N/A</v>
          </cell>
          <cell r="AP395" t="str">
            <v>F E001-00000012</v>
          </cell>
        </row>
        <row r="396">
          <cell r="E396" t="str">
            <v>R E001-19</v>
          </cell>
          <cell r="F396">
            <v>0</v>
          </cell>
          <cell r="H396" t="str">
            <v>ESPINO MORI LEANDRO JOAQUIN</v>
          </cell>
          <cell r="I396">
            <v>45764</v>
          </cell>
          <cell r="J396">
            <v>45764</v>
          </cell>
          <cell r="K396">
            <v>45768</v>
          </cell>
          <cell r="P396" t="str">
            <v>COLABORATIVA S.A.C.</v>
          </cell>
          <cell r="Q396">
            <v>-1040</v>
          </cell>
          <cell r="S396">
            <v>-1040</v>
          </cell>
          <cell r="T396">
            <v>-1040</v>
          </cell>
          <cell r="V396" t="str">
            <v>PEN</v>
          </cell>
          <cell r="W396" t="b">
            <v>0</v>
          </cell>
          <cell r="X396" t="str">
            <v>Pagado</v>
          </cell>
          <cell r="AB396" t="str">
            <v>Registrado</v>
          </cell>
          <cell r="AN396">
            <v>45764</v>
          </cell>
          <cell r="AO396" t="e">
            <v>#N/A</v>
          </cell>
          <cell r="AP396" t="str">
            <v>R E001- 19</v>
          </cell>
        </row>
        <row r="397">
          <cell r="E397" t="str">
            <v>F E001-00000303</v>
          </cell>
          <cell r="F397">
            <v>0</v>
          </cell>
          <cell r="H397" t="str">
            <v>CHUQUISTA ALCARRAZ SAMUEL</v>
          </cell>
          <cell r="I397">
            <v>45764</v>
          </cell>
          <cell r="J397">
            <v>45764</v>
          </cell>
          <cell r="K397">
            <v>45768</v>
          </cell>
          <cell r="P397" t="str">
            <v>COLABORATIVA S.A.C.</v>
          </cell>
          <cell r="Q397">
            <v>-1550.7</v>
          </cell>
          <cell r="R397">
            <v>-279.13</v>
          </cell>
          <cell r="S397">
            <v>-1829.83</v>
          </cell>
          <cell r="T397">
            <v>-484.98</v>
          </cell>
          <cell r="V397" t="str">
            <v>USD</v>
          </cell>
          <cell r="W397" t="b">
            <v>0</v>
          </cell>
          <cell r="X397" t="str">
            <v>Pagado</v>
          </cell>
          <cell r="AB397" t="str">
            <v>Registrado</v>
          </cell>
          <cell r="AN397">
            <v>45764</v>
          </cell>
          <cell r="AO397" t="e">
            <v>#N/A</v>
          </cell>
          <cell r="AP397" t="str">
            <v>F E001-00000303</v>
          </cell>
        </row>
        <row r="398">
          <cell r="E398" t="str">
            <v>F F052-01510600</v>
          </cell>
          <cell r="F398">
            <v>0</v>
          </cell>
          <cell r="H398" t="str">
            <v>MAPFRE PERU S.A.</v>
          </cell>
          <cell r="I398">
            <v>45761</v>
          </cell>
          <cell r="J398">
            <v>45761</v>
          </cell>
          <cell r="K398">
            <v>45759</v>
          </cell>
          <cell r="L398" t="str">
            <v>P00017</v>
          </cell>
          <cell r="P398" t="str">
            <v>COLABORATIVA S.A.C.</v>
          </cell>
          <cell r="Q398">
            <v>-100</v>
          </cell>
          <cell r="R398">
            <v>-18</v>
          </cell>
          <cell r="S398">
            <v>-118</v>
          </cell>
          <cell r="T398">
            <v>-118</v>
          </cell>
          <cell r="V398" t="str">
            <v>PEN</v>
          </cell>
          <cell r="W398" t="b">
            <v>0</v>
          </cell>
          <cell r="X398" t="str">
            <v>Pagado</v>
          </cell>
          <cell r="AB398" t="str">
            <v>Registrado</v>
          </cell>
          <cell r="AN398">
            <v>45761</v>
          </cell>
          <cell r="AO398" t="e">
            <v>#N/A</v>
          </cell>
          <cell r="AP398" t="str">
            <v>F F052-01510600</v>
          </cell>
        </row>
        <row r="399">
          <cell r="E399" t="str">
            <v>F F001-00008662</v>
          </cell>
          <cell r="F399">
            <v>0</v>
          </cell>
          <cell r="H399" t="str">
            <v>PRECINTOS PERU E.I.R.L</v>
          </cell>
          <cell r="I399">
            <v>45761</v>
          </cell>
          <cell r="J399">
            <v>45761</v>
          </cell>
          <cell r="K399">
            <v>45761</v>
          </cell>
          <cell r="L399" t="str">
            <v>P00019</v>
          </cell>
          <cell r="P399" t="str">
            <v>COLABORATIVA S.A.C.</v>
          </cell>
          <cell r="Q399">
            <v>-10415.25</v>
          </cell>
          <cell r="R399">
            <v>-1874.75</v>
          </cell>
          <cell r="S399">
            <v>-12290</v>
          </cell>
          <cell r="T399">
            <v>-12290</v>
          </cell>
          <cell r="V399" t="str">
            <v>PEN</v>
          </cell>
          <cell r="W399" t="b">
            <v>0</v>
          </cell>
          <cell r="X399" t="str">
            <v>Pagado</v>
          </cell>
          <cell r="AB399" t="str">
            <v>Registrado</v>
          </cell>
          <cell r="AN399">
            <v>45761</v>
          </cell>
          <cell r="AO399" t="e">
            <v>#N/A</v>
          </cell>
          <cell r="AP399" t="str">
            <v>F F001-00008662</v>
          </cell>
        </row>
        <row r="400">
          <cell r="E400" t="str">
            <v>F E001-00000027</v>
          </cell>
          <cell r="F400">
            <v>0</v>
          </cell>
          <cell r="H400" t="str">
            <v>MAGIKBYTE E.I.R.L.</v>
          </cell>
          <cell r="I400">
            <v>45761</v>
          </cell>
          <cell r="J400">
            <v>45761</v>
          </cell>
          <cell r="K400">
            <v>45761</v>
          </cell>
          <cell r="L400" t="str">
            <v>P00018</v>
          </cell>
          <cell r="P400" t="str">
            <v>COLABORATIVA S.A.C.</v>
          </cell>
          <cell r="Q400">
            <v>-262.70999999999998</v>
          </cell>
          <cell r="R400">
            <v>-47.29</v>
          </cell>
          <cell r="S400">
            <v>-310</v>
          </cell>
          <cell r="T400">
            <v>-310</v>
          </cell>
          <cell r="V400" t="str">
            <v>PEN</v>
          </cell>
          <cell r="W400" t="b">
            <v>0</v>
          </cell>
          <cell r="X400" t="str">
            <v>Pagado</v>
          </cell>
          <cell r="AB400" t="str">
            <v>Registrado</v>
          </cell>
          <cell r="AN400">
            <v>45761</v>
          </cell>
          <cell r="AO400" t="e">
            <v>#N/A</v>
          </cell>
          <cell r="AP400" t="str">
            <v>F E001-00000027</v>
          </cell>
        </row>
        <row r="401">
          <cell r="E401" t="str">
            <v>F E001-00000123</v>
          </cell>
          <cell r="F401">
            <v>0</v>
          </cell>
          <cell r="H401" t="str">
            <v>VILCA SILVA JOHAN ALDAIR</v>
          </cell>
          <cell r="I401">
            <v>45757</v>
          </cell>
          <cell r="J401">
            <v>45757</v>
          </cell>
          <cell r="K401">
            <v>45757</v>
          </cell>
          <cell r="L401" t="str">
            <v>P00010</v>
          </cell>
          <cell r="P401" t="str">
            <v>COLABORATIVA S.A.C.</v>
          </cell>
          <cell r="Q401">
            <v>-220</v>
          </cell>
          <cell r="R401">
            <v>-39.6</v>
          </cell>
          <cell r="S401">
            <v>-259.60000000000002</v>
          </cell>
          <cell r="T401">
            <v>-259.60000000000002</v>
          </cell>
          <cell r="V401" t="str">
            <v>PEN</v>
          </cell>
          <cell r="W401" t="b">
            <v>0</v>
          </cell>
          <cell r="X401" t="str">
            <v>Pagado</v>
          </cell>
          <cell r="AB401" t="str">
            <v>Registrado</v>
          </cell>
          <cell r="AN401">
            <v>45757</v>
          </cell>
          <cell r="AO401" t="e">
            <v>#N/A</v>
          </cell>
          <cell r="AP401" t="str">
            <v>F E001-00000123</v>
          </cell>
        </row>
        <row r="402">
          <cell r="E402" t="str">
            <v>F F001-00000691</v>
          </cell>
          <cell r="F402">
            <v>0</v>
          </cell>
          <cell r="H402" t="str">
            <v>GMONEY S.A.</v>
          </cell>
          <cell r="I402">
            <v>45756</v>
          </cell>
          <cell r="J402">
            <v>45756</v>
          </cell>
          <cell r="K402">
            <v>45840</v>
          </cell>
          <cell r="P402" t="str">
            <v>COLABORATIVA S.A.C.</v>
          </cell>
          <cell r="Q402">
            <v>-1500</v>
          </cell>
          <cell r="R402">
            <v>-270</v>
          </cell>
          <cell r="S402">
            <v>-1770</v>
          </cell>
          <cell r="T402">
            <v>-1770</v>
          </cell>
          <cell r="V402" t="str">
            <v>PEN</v>
          </cell>
          <cell r="W402" t="b">
            <v>0</v>
          </cell>
          <cell r="X402" t="str">
            <v>Pagado</v>
          </cell>
          <cell r="AB402" t="str">
            <v>Registrado</v>
          </cell>
          <cell r="AN402">
            <v>45756</v>
          </cell>
          <cell r="AO402" t="e">
            <v>#N/A</v>
          </cell>
          <cell r="AP402" t="str">
            <v>F F001-00000691</v>
          </cell>
        </row>
        <row r="403">
          <cell r="E403" t="str">
            <v>F E001-00000247</v>
          </cell>
          <cell r="F403">
            <v>0</v>
          </cell>
          <cell r="H403" t="str">
            <v>Juan Diego Bances - VENTITAS HOME PERÚ</v>
          </cell>
          <cell r="I403">
            <v>45756</v>
          </cell>
          <cell r="J403">
            <v>45756</v>
          </cell>
          <cell r="K403">
            <v>45756</v>
          </cell>
          <cell r="L403" t="str">
            <v>P00014</v>
          </cell>
          <cell r="P403" t="str">
            <v>COLABORATIVA S.A.C.</v>
          </cell>
          <cell r="Q403">
            <v>-502.54</v>
          </cell>
          <cell r="R403">
            <v>-90.46</v>
          </cell>
          <cell r="S403">
            <v>-593</v>
          </cell>
          <cell r="T403">
            <v>-593</v>
          </cell>
          <cell r="V403" t="str">
            <v>PEN</v>
          </cell>
          <cell r="W403" t="b">
            <v>0</v>
          </cell>
          <cell r="X403" t="str">
            <v>Revertido</v>
          </cell>
          <cell r="AB403" t="str">
            <v>Registrado</v>
          </cell>
          <cell r="AN403">
            <v>45756</v>
          </cell>
          <cell r="AO403" t="e">
            <v>#N/A</v>
          </cell>
          <cell r="AP403" t="str">
            <v>F E001-00000247</v>
          </cell>
        </row>
        <row r="404">
          <cell r="E404" t="str">
            <v>F E001-00000051</v>
          </cell>
          <cell r="F404">
            <v>0</v>
          </cell>
          <cell r="H404" t="str">
            <v>COMPLEJO SANTA ROSA - MARCAQUISPE CABEZA MACEDONIO</v>
          </cell>
          <cell r="I404">
            <v>45756</v>
          </cell>
          <cell r="J404">
            <v>45756</v>
          </cell>
          <cell r="K404">
            <v>45756</v>
          </cell>
          <cell r="P404" t="str">
            <v>COLABORATIVA S.A.C.</v>
          </cell>
          <cell r="Q404">
            <v>-9657.44</v>
          </cell>
          <cell r="R404">
            <v>-1738.34</v>
          </cell>
          <cell r="S404">
            <v>-11395.78</v>
          </cell>
          <cell r="T404">
            <v>-11395.78</v>
          </cell>
          <cell r="V404" t="str">
            <v>PEN</v>
          </cell>
          <cell r="W404" t="b">
            <v>0</v>
          </cell>
          <cell r="X404" t="str">
            <v>Pagado</v>
          </cell>
          <cell r="AB404" t="str">
            <v>Registrado</v>
          </cell>
          <cell r="AN404">
            <v>45756</v>
          </cell>
          <cell r="AO404" t="e">
            <v>#N/A</v>
          </cell>
          <cell r="AP404" t="str">
            <v>F E001-00000051</v>
          </cell>
        </row>
        <row r="405">
          <cell r="E405" t="str">
            <v>F E001-00000005</v>
          </cell>
          <cell r="F405">
            <v>0</v>
          </cell>
          <cell r="H405" t="str">
            <v>MUÑOZ VERANO JOHN BRACKSON</v>
          </cell>
          <cell r="I405">
            <v>45756</v>
          </cell>
          <cell r="J405">
            <v>45756</v>
          </cell>
          <cell r="K405">
            <v>45756</v>
          </cell>
          <cell r="P405" t="str">
            <v>COLABORATIVA S.A.C.</v>
          </cell>
          <cell r="Q405">
            <v>-840</v>
          </cell>
          <cell r="R405">
            <v>-151.19999999999999</v>
          </cell>
          <cell r="S405">
            <v>-991.2</v>
          </cell>
          <cell r="T405">
            <v>-991.2</v>
          </cell>
          <cell r="V405" t="str">
            <v>PEN</v>
          </cell>
          <cell r="W405" t="b">
            <v>0</v>
          </cell>
          <cell r="X405" t="str">
            <v>Pagado</v>
          </cell>
          <cell r="AB405" t="str">
            <v>Registrado</v>
          </cell>
          <cell r="AN405">
            <v>45756</v>
          </cell>
          <cell r="AO405" t="e">
            <v>#N/A</v>
          </cell>
          <cell r="AP405" t="str">
            <v>F E001-00000005</v>
          </cell>
        </row>
        <row r="406">
          <cell r="E406" t="str">
            <v>F E001-00000476</v>
          </cell>
          <cell r="F406">
            <v>0</v>
          </cell>
          <cell r="H406" t="str">
            <v>CATORCE &amp; SEIS S.A.C.</v>
          </cell>
          <cell r="I406">
            <v>45754</v>
          </cell>
          <cell r="J406">
            <v>45754</v>
          </cell>
          <cell r="K406">
            <v>45754</v>
          </cell>
          <cell r="P406" t="str">
            <v>COLABORATIVA S.A.C.</v>
          </cell>
          <cell r="Q406">
            <v>-6209.86</v>
          </cell>
          <cell r="R406">
            <v>-1117.78</v>
          </cell>
          <cell r="S406">
            <v>-7327.64</v>
          </cell>
          <cell r="T406">
            <v>-7327.64</v>
          </cell>
          <cell r="V406" t="str">
            <v>PEN</v>
          </cell>
          <cell r="W406" t="b">
            <v>0</v>
          </cell>
          <cell r="X406" t="str">
            <v>Pagado</v>
          </cell>
          <cell r="AB406" t="str">
            <v>Registrado</v>
          </cell>
          <cell r="AN406">
            <v>45754</v>
          </cell>
          <cell r="AO406" t="e">
            <v>#N/A</v>
          </cell>
          <cell r="AP406" t="str">
            <v>F E001-00000476</v>
          </cell>
        </row>
        <row r="407">
          <cell r="E407" t="str">
            <v>F E001-00000475</v>
          </cell>
          <cell r="F407">
            <v>0</v>
          </cell>
          <cell r="H407" t="str">
            <v>CATORCE &amp; SEIS S.A.C.</v>
          </cell>
          <cell r="I407">
            <v>45754</v>
          </cell>
          <cell r="J407">
            <v>45754</v>
          </cell>
          <cell r="K407">
            <v>45754</v>
          </cell>
          <cell r="P407" t="str">
            <v>COLABORATIVA S.A.C.</v>
          </cell>
          <cell r="Q407">
            <v>-18758.310000000001</v>
          </cell>
          <cell r="R407">
            <v>-3376.5</v>
          </cell>
          <cell r="S407">
            <v>-22134.81</v>
          </cell>
          <cell r="T407">
            <v>-22134.81</v>
          </cell>
          <cell r="V407" t="str">
            <v>PEN</v>
          </cell>
          <cell r="W407" t="b">
            <v>0</v>
          </cell>
          <cell r="X407" t="str">
            <v>Pagado</v>
          </cell>
          <cell r="AB407" t="str">
            <v>Registrado</v>
          </cell>
          <cell r="AN407">
            <v>45754</v>
          </cell>
          <cell r="AO407" t="e">
            <v>#N/A</v>
          </cell>
          <cell r="AP407" t="str">
            <v>F E001-00000475</v>
          </cell>
        </row>
        <row r="408">
          <cell r="E408" t="str">
            <v>F E001-00000474</v>
          </cell>
          <cell r="F408">
            <v>0</v>
          </cell>
          <cell r="H408" t="str">
            <v>CATORCE &amp; SEIS S.A.C.</v>
          </cell>
          <cell r="I408">
            <v>45754</v>
          </cell>
          <cell r="J408">
            <v>45754</v>
          </cell>
          <cell r="K408">
            <v>45754</v>
          </cell>
          <cell r="P408" t="str">
            <v>COLABORATIVA S.A.C.</v>
          </cell>
          <cell r="Q408">
            <v>-18794.919999999998</v>
          </cell>
          <cell r="R408">
            <v>-3383.09</v>
          </cell>
          <cell r="S408">
            <v>-22178.01</v>
          </cell>
          <cell r="T408">
            <v>-22178.01</v>
          </cell>
          <cell r="V408" t="str">
            <v>PEN</v>
          </cell>
          <cell r="W408" t="b">
            <v>0</v>
          </cell>
          <cell r="X408" t="str">
            <v>Pagado</v>
          </cell>
          <cell r="AB408" t="str">
            <v>Registrado</v>
          </cell>
          <cell r="AN408">
            <v>45754</v>
          </cell>
          <cell r="AO408" t="e">
            <v>#N/A</v>
          </cell>
          <cell r="AP408" t="str">
            <v>F E001-00000474</v>
          </cell>
        </row>
        <row r="409">
          <cell r="E409" t="str">
            <v>F E001-00000088</v>
          </cell>
          <cell r="F409">
            <v>0</v>
          </cell>
          <cell r="H409" t="str">
            <v>FULLSTACK SAC</v>
          </cell>
          <cell r="I409">
            <v>45754</v>
          </cell>
          <cell r="J409">
            <v>45754</v>
          </cell>
          <cell r="K409">
            <v>45756</v>
          </cell>
          <cell r="L409" t="str">
            <v>P00013</v>
          </cell>
          <cell r="P409" t="str">
            <v>COLABORATIVA S.A.C.</v>
          </cell>
          <cell r="Q409">
            <v>-825</v>
          </cell>
          <cell r="R409">
            <v>-148.5</v>
          </cell>
          <cell r="S409">
            <v>-973.5</v>
          </cell>
          <cell r="T409">
            <v>-973.5</v>
          </cell>
          <cell r="V409" t="str">
            <v>PEN</v>
          </cell>
          <cell r="W409" t="b">
            <v>0</v>
          </cell>
          <cell r="X409" t="str">
            <v>Pagado</v>
          </cell>
          <cell r="AB409" t="str">
            <v>Registrado</v>
          </cell>
          <cell r="AN409">
            <v>45754</v>
          </cell>
          <cell r="AO409" t="e">
            <v>#N/A</v>
          </cell>
          <cell r="AP409" t="str">
            <v>F E001-00000088</v>
          </cell>
        </row>
        <row r="410">
          <cell r="E410" t="str">
            <v>F F001-00008616</v>
          </cell>
          <cell r="F410">
            <v>0</v>
          </cell>
          <cell r="H410" t="str">
            <v>PRECINTOS PERU E.I.R.L</v>
          </cell>
          <cell r="I410">
            <v>45752</v>
          </cell>
          <cell r="J410">
            <v>45752</v>
          </cell>
          <cell r="K410">
            <v>45755</v>
          </cell>
          <cell r="P410" t="str">
            <v>COLABORATIVA S.A.C.</v>
          </cell>
          <cell r="Q410">
            <v>-525.41999999999996</v>
          </cell>
          <cell r="R410">
            <v>-94.58</v>
          </cell>
          <cell r="S410">
            <v>-620</v>
          </cell>
          <cell r="T410">
            <v>-620</v>
          </cell>
          <cell r="V410" t="str">
            <v>PEN</v>
          </cell>
          <cell r="W410" t="b">
            <v>0</v>
          </cell>
          <cell r="X410" t="str">
            <v>Pagado</v>
          </cell>
          <cell r="AB410" t="str">
            <v>Registrado</v>
          </cell>
          <cell r="AN410">
            <v>45752</v>
          </cell>
          <cell r="AO410" t="e">
            <v>#N/A</v>
          </cell>
          <cell r="AP410" t="str">
            <v>F F001-00008616</v>
          </cell>
        </row>
        <row r="411">
          <cell r="E411" t="str">
            <v>R E001-14</v>
          </cell>
          <cell r="F411">
            <v>0</v>
          </cell>
          <cell r="H411" t="str">
            <v>SAIDA SAAVEDRA HERRERA</v>
          </cell>
          <cell r="I411">
            <v>45751</v>
          </cell>
          <cell r="J411">
            <v>45751</v>
          </cell>
          <cell r="K411">
            <v>45755</v>
          </cell>
          <cell r="P411" t="str">
            <v>COLABORATIVA S.A.C.</v>
          </cell>
          <cell r="Q411">
            <v>-300</v>
          </cell>
          <cell r="S411">
            <v>-300</v>
          </cell>
          <cell r="T411">
            <v>-300</v>
          </cell>
          <cell r="V411" t="str">
            <v>PEN</v>
          </cell>
          <cell r="W411" t="b">
            <v>0</v>
          </cell>
          <cell r="X411" t="str">
            <v>Pagado</v>
          </cell>
          <cell r="AB411" t="str">
            <v>Registrado</v>
          </cell>
          <cell r="AN411">
            <v>45751</v>
          </cell>
          <cell r="AO411" t="e">
            <v>#N/A</v>
          </cell>
          <cell r="AP411" t="str">
            <v>R E001-14</v>
          </cell>
        </row>
        <row r="412">
          <cell r="E412" t="str">
            <v>R E001-23</v>
          </cell>
          <cell r="F412">
            <v>0</v>
          </cell>
          <cell r="H412" t="str">
            <v>SALDAÑA VASQUEZ GENESIS</v>
          </cell>
          <cell r="I412">
            <v>45750</v>
          </cell>
          <cell r="J412">
            <v>45750</v>
          </cell>
          <cell r="K412">
            <v>45750</v>
          </cell>
          <cell r="P412" t="str">
            <v>COLABORATIVA S.A.C.</v>
          </cell>
          <cell r="Q412">
            <v>-1680</v>
          </cell>
          <cell r="S412">
            <v>-1680</v>
          </cell>
          <cell r="T412">
            <v>-1680</v>
          </cell>
          <cell r="V412" t="str">
            <v>PEN</v>
          </cell>
          <cell r="W412" t="b">
            <v>0</v>
          </cell>
          <cell r="X412" t="str">
            <v>Pagado</v>
          </cell>
          <cell r="AB412" t="str">
            <v>Registrado</v>
          </cell>
          <cell r="AN412">
            <v>45750</v>
          </cell>
          <cell r="AO412" t="e">
            <v>#N/A</v>
          </cell>
          <cell r="AP412" t="str">
            <v>R E001- 23</v>
          </cell>
        </row>
        <row r="413">
          <cell r="E413" t="str">
            <v>F FFF1-00001498</v>
          </cell>
          <cell r="F413">
            <v>0</v>
          </cell>
          <cell r="H413" t="str">
            <v>Inversiones Rentables SAC</v>
          </cell>
          <cell r="I413">
            <v>45749</v>
          </cell>
          <cell r="J413">
            <v>45749</v>
          </cell>
          <cell r="K413">
            <v>45750</v>
          </cell>
          <cell r="P413" t="str">
            <v>COLABORATIVA S.A.C.</v>
          </cell>
          <cell r="Q413">
            <v>-210.17</v>
          </cell>
          <cell r="R413">
            <v>-37.83</v>
          </cell>
          <cell r="S413">
            <v>-248</v>
          </cell>
          <cell r="T413">
            <v>-248</v>
          </cell>
          <cell r="V413" t="str">
            <v>PEN</v>
          </cell>
          <cell r="W413" t="b">
            <v>0</v>
          </cell>
          <cell r="X413" t="str">
            <v>Pagado</v>
          </cell>
          <cell r="AB413" t="str">
            <v>Registrado</v>
          </cell>
          <cell r="AN413">
            <v>45749</v>
          </cell>
          <cell r="AO413" t="e">
            <v>#N/A</v>
          </cell>
          <cell r="AP413" t="str">
            <v>F FFF1-00001498</v>
          </cell>
        </row>
        <row r="414">
          <cell r="E414" t="str">
            <v>F F002-00001290</v>
          </cell>
          <cell r="F414">
            <v>0</v>
          </cell>
          <cell r="H414" t="str">
            <v>PRAGMATIC S.A.C.</v>
          </cell>
          <cell r="I414">
            <v>45749</v>
          </cell>
          <cell r="J414">
            <v>45749</v>
          </cell>
          <cell r="K414">
            <v>45916</v>
          </cell>
          <cell r="L414" t="str">
            <v>P00226</v>
          </cell>
          <cell r="P414" t="str">
            <v>COLABORATIVA S.A.C.</v>
          </cell>
          <cell r="Q414">
            <v>-750</v>
          </cell>
          <cell r="R414">
            <v>-135</v>
          </cell>
          <cell r="S414">
            <v>-885</v>
          </cell>
          <cell r="T414">
            <v>-885</v>
          </cell>
          <cell r="V414" t="str">
            <v>PEN</v>
          </cell>
          <cell r="W414" t="b">
            <v>0</v>
          </cell>
          <cell r="X414" t="str">
            <v>Pagado</v>
          </cell>
          <cell r="AB414" t="str">
            <v>Registrado</v>
          </cell>
          <cell r="AN414">
            <v>45749</v>
          </cell>
          <cell r="AO414" t="e">
            <v>#N/A</v>
          </cell>
          <cell r="AP414" t="str">
            <v>F F002-00001290</v>
          </cell>
        </row>
        <row r="415">
          <cell r="E415" t="str">
            <v>F FE24-00003202</v>
          </cell>
          <cell r="F415">
            <v>0</v>
          </cell>
          <cell r="H415" t="str">
            <v>Verisure Peru SAC</v>
          </cell>
          <cell r="I415">
            <v>45748</v>
          </cell>
          <cell r="J415">
            <v>45748</v>
          </cell>
          <cell r="K415">
            <v>45797</v>
          </cell>
          <cell r="P415" t="str">
            <v>COLABORATIVA S.A.C.</v>
          </cell>
          <cell r="Q415">
            <v>-193.23</v>
          </cell>
          <cell r="R415">
            <v>-34.78</v>
          </cell>
          <cell r="S415">
            <v>-228.01</v>
          </cell>
          <cell r="T415">
            <v>-228.01</v>
          </cell>
          <cell r="V415" t="str">
            <v>PEN</v>
          </cell>
          <cell r="W415" t="b">
            <v>0</v>
          </cell>
          <cell r="X415" t="str">
            <v>Pagado</v>
          </cell>
          <cell r="AB415" t="str">
            <v>Registrado</v>
          </cell>
          <cell r="AN415">
            <v>45748</v>
          </cell>
          <cell r="AO415" t="e">
            <v>#N/A</v>
          </cell>
          <cell r="AP415" t="str">
            <v>F FE24-00003202</v>
          </cell>
        </row>
        <row r="416">
          <cell r="E416" t="str">
            <v>R E001-136</v>
          </cell>
          <cell r="F416">
            <v>0</v>
          </cell>
          <cell r="H416" t="str">
            <v>MUÑOZ VERANO JOHN BRACKSON</v>
          </cell>
          <cell r="I416">
            <v>45747</v>
          </cell>
          <cell r="J416">
            <v>45747</v>
          </cell>
          <cell r="K416">
            <v>45747</v>
          </cell>
          <cell r="L416" t="str">
            <v>P00009</v>
          </cell>
          <cell r="P416" t="str">
            <v>COLABORATIVA S.A.C.</v>
          </cell>
          <cell r="Q416">
            <v>-840</v>
          </cell>
          <cell r="S416">
            <v>-840</v>
          </cell>
          <cell r="T416">
            <v>-840</v>
          </cell>
          <cell r="V416" t="str">
            <v>PEN</v>
          </cell>
          <cell r="W416" t="b">
            <v>0</v>
          </cell>
          <cell r="X416" t="str">
            <v>Pagado</v>
          </cell>
          <cell r="AB416" t="str">
            <v>Registrado</v>
          </cell>
          <cell r="AN416">
            <v>45747</v>
          </cell>
          <cell r="AO416" t="e">
            <v>#N/A</v>
          </cell>
          <cell r="AP416" t="str">
            <v>R E001- 136</v>
          </cell>
        </row>
        <row r="417">
          <cell r="E417" t="str">
            <v>R E001-2</v>
          </cell>
          <cell r="F417">
            <v>0</v>
          </cell>
          <cell r="H417" t="str">
            <v>Nelly Judith Mendoza Bravo</v>
          </cell>
          <cell r="I417">
            <v>45744</v>
          </cell>
          <cell r="J417">
            <v>45744</v>
          </cell>
          <cell r="K417">
            <v>45744</v>
          </cell>
          <cell r="P417" t="str">
            <v>COLABORATIVA S.A.C.</v>
          </cell>
          <cell r="Q417">
            <v>-1200</v>
          </cell>
          <cell r="S417">
            <v>-1200</v>
          </cell>
          <cell r="T417">
            <v>-1200</v>
          </cell>
          <cell r="V417" t="str">
            <v>PEN</v>
          </cell>
          <cell r="W417" t="b">
            <v>0</v>
          </cell>
          <cell r="X417" t="str">
            <v>Pagado</v>
          </cell>
          <cell r="AB417" t="str">
            <v>Registrado</v>
          </cell>
          <cell r="AN417">
            <v>45744</v>
          </cell>
          <cell r="AO417" t="e">
            <v>#N/A</v>
          </cell>
          <cell r="AP417" t="str">
            <v>R E001-2</v>
          </cell>
        </row>
        <row r="418">
          <cell r="E418" t="str">
            <v>F FFF1-00001494</v>
          </cell>
          <cell r="F418">
            <v>0</v>
          </cell>
          <cell r="H418" t="str">
            <v>Inversiones Rentables SAC</v>
          </cell>
          <cell r="I418">
            <v>45744</v>
          </cell>
          <cell r="J418">
            <v>45744</v>
          </cell>
          <cell r="K418">
            <v>45744</v>
          </cell>
          <cell r="L418" t="str">
            <v>P00005</v>
          </cell>
          <cell r="P418" t="str">
            <v>COLABORATIVA S.A.C.</v>
          </cell>
          <cell r="Q418">
            <v>-661.02</v>
          </cell>
          <cell r="R418">
            <v>-118.98</v>
          </cell>
          <cell r="S418">
            <v>-780</v>
          </cell>
          <cell r="T418">
            <v>-780</v>
          </cell>
          <cell r="V418" t="str">
            <v>PEN</v>
          </cell>
          <cell r="W418" t="b">
            <v>0</v>
          </cell>
          <cell r="X418" t="str">
            <v>Pagado</v>
          </cell>
          <cell r="AB418" t="str">
            <v>Registrado</v>
          </cell>
          <cell r="AN418">
            <v>45744</v>
          </cell>
          <cell r="AO418" t="e">
            <v>#N/A</v>
          </cell>
          <cell r="AP418" t="str">
            <v>F FFF1-00001494</v>
          </cell>
        </row>
        <row r="419">
          <cell r="E419" t="str">
            <v>F FFF1-00001493</v>
          </cell>
          <cell r="F419">
            <v>0</v>
          </cell>
          <cell r="H419" t="str">
            <v>Inversiones Rentables SAC</v>
          </cell>
          <cell r="I419">
            <v>45744</v>
          </cell>
          <cell r="J419">
            <v>45744</v>
          </cell>
          <cell r="K419">
            <v>45744</v>
          </cell>
          <cell r="L419" t="str">
            <v>P00006</v>
          </cell>
          <cell r="P419" t="str">
            <v>COLABORATIVA S.A.C.</v>
          </cell>
          <cell r="Q419">
            <v>-1327.12</v>
          </cell>
          <cell r="R419">
            <v>-238.88</v>
          </cell>
          <cell r="S419">
            <v>-1566</v>
          </cell>
          <cell r="T419">
            <v>-1566</v>
          </cell>
          <cell r="V419" t="str">
            <v>PEN</v>
          </cell>
          <cell r="W419" t="b">
            <v>0</v>
          </cell>
          <cell r="X419" t="str">
            <v>Pagado</v>
          </cell>
          <cell r="AB419" t="str">
            <v>Registrado</v>
          </cell>
          <cell r="AN419">
            <v>45744</v>
          </cell>
          <cell r="AO419" t="e">
            <v>#N/A</v>
          </cell>
          <cell r="AP419" t="str">
            <v>F FFF1-00001493</v>
          </cell>
        </row>
        <row r="420">
          <cell r="E420" t="str">
            <v>R E001-13</v>
          </cell>
          <cell r="F420">
            <v>0</v>
          </cell>
          <cell r="H420" t="str">
            <v>SAIDA SAAVEDRA HERRERA</v>
          </cell>
          <cell r="I420">
            <v>45742</v>
          </cell>
          <cell r="J420">
            <v>45742</v>
          </cell>
          <cell r="K420">
            <v>45743</v>
          </cell>
          <cell r="P420" t="str">
            <v>COLABORATIVA S.A.C.</v>
          </cell>
          <cell r="Q420">
            <v>-300</v>
          </cell>
          <cell r="S420">
            <v>-300</v>
          </cell>
          <cell r="T420">
            <v>-300</v>
          </cell>
          <cell r="V420" t="str">
            <v>PEN</v>
          </cell>
          <cell r="W420" t="b">
            <v>0</v>
          </cell>
          <cell r="X420" t="str">
            <v>Pagado</v>
          </cell>
          <cell r="AB420" t="str">
            <v>Registrado</v>
          </cell>
          <cell r="AN420">
            <v>45742</v>
          </cell>
          <cell r="AO420" t="e">
            <v>#N/A</v>
          </cell>
          <cell r="AP420" t="str">
            <v>R E001-13</v>
          </cell>
        </row>
        <row r="421">
          <cell r="E421" t="str">
            <v>F F001-00006261</v>
          </cell>
          <cell r="F421">
            <v>0</v>
          </cell>
          <cell r="H421" t="str">
            <v>MANDOMEDIO PERU S.A</v>
          </cell>
          <cell r="I421">
            <v>45740</v>
          </cell>
          <cell r="J421">
            <v>45742</v>
          </cell>
          <cell r="K421">
            <v>45740</v>
          </cell>
          <cell r="L421" t="str">
            <v>P00001</v>
          </cell>
          <cell r="P421" t="str">
            <v>COLABORATIVA S.A.C.</v>
          </cell>
          <cell r="Q421">
            <v>-2700</v>
          </cell>
          <cell r="R421">
            <v>-486</v>
          </cell>
          <cell r="S421">
            <v>-3186</v>
          </cell>
          <cell r="T421">
            <v>-3186</v>
          </cell>
          <cell r="V421" t="str">
            <v>PEN</v>
          </cell>
          <cell r="W421" t="b">
            <v>0</v>
          </cell>
          <cell r="X421" t="str">
            <v>Pagado</v>
          </cell>
          <cell r="AB421" t="str">
            <v>Registrado</v>
          </cell>
          <cell r="AN421">
            <v>45740</v>
          </cell>
          <cell r="AO421" t="e">
            <v>#N/A</v>
          </cell>
          <cell r="AP421" t="str">
            <v>F F001-00006261</v>
          </cell>
        </row>
        <row r="422">
          <cell r="E422" t="str">
            <v>F F002-00001286</v>
          </cell>
          <cell r="F422">
            <v>0</v>
          </cell>
          <cell r="H422" t="str">
            <v>PRAGMATIC S.A.C.</v>
          </cell>
          <cell r="I422">
            <v>45740</v>
          </cell>
          <cell r="J422">
            <v>45740</v>
          </cell>
          <cell r="K422">
            <v>45761</v>
          </cell>
          <cell r="L422" t="str">
            <v>P00002</v>
          </cell>
          <cell r="P422" t="str">
            <v>COLABORATIVA S.A.C.</v>
          </cell>
          <cell r="Q422">
            <v>-1800</v>
          </cell>
          <cell r="R422">
            <v>-324</v>
          </cell>
          <cell r="S422">
            <v>-2124</v>
          </cell>
          <cell r="T422">
            <v>-2124</v>
          </cell>
          <cell r="V422" t="str">
            <v>PEN</v>
          </cell>
          <cell r="W422" t="b">
            <v>0</v>
          </cell>
          <cell r="X422" t="str">
            <v>Pagado</v>
          </cell>
          <cell r="AB422" t="str">
            <v>Registrado</v>
          </cell>
          <cell r="AN422">
            <v>45740</v>
          </cell>
          <cell r="AO422" t="e">
            <v>#N/A</v>
          </cell>
          <cell r="AP422" t="str">
            <v>F F002-00001286</v>
          </cell>
        </row>
        <row r="423">
          <cell r="E423" t="str">
            <v>F F002-00001282</v>
          </cell>
          <cell r="F423">
            <v>0</v>
          </cell>
          <cell r="H423" t="str">
            <v>PRAGMATIC S.A.C.</v>
          </cell>
          <cell r="I423">
            <v>45735</v>
          </cell>
          <cell r="J423">
            <v>45735</v>
          </cell>
          <cell r="K423">
            <v>45916</v>
          </cell>
          <cell r="L423" t="str">
            <v>P00225</v>
          </cell>
          <cell r="P423" t="str">
            <v>COLABORATIVA S.A.C.</v>
          </cell>
          <cell r="Q423">
            <v>-2220</v>
          </cell>
          <cell r="R423">
            <v>-399.6</v>
          </cell>
          <cell r="S423">
            <v>-2619.6</v>
          </cell>
          <cell r="T423">
            <v>-2619.6</v>
          </cell>
          <cell r="V423" t="str">
            <v>PEN</v>
          </cell>
          <cell r="W423" t="b">
            <v>0</v>
          </cell>
          <cell r="X423" t="str">
            <v>Pagado</v>
          </cell>
          <cell r="AB423" t="str">
            <v>Registrado</v>
          </cell>
          <cell r="AN423">
            <v>45735</v>
          </cell>
          <cell r="AO423" t="e">
            <v>#N/A</v>
          </cell>
          <cell r="AP423" t="str">
            <v>F F002-00001282</v>
          </cell>
        </row>
        <row r="424">
          <cell r="E424" t="str">
            <v>R E001-18</v>
          </cell>
          <cell r="F424">
            <v>0</v>
          </cell>
          <cell r="H424" t="str">
            <v>ESPINO MORI LEANDRO JOAQUIN</v>
          </cell>
          <cell r="I424">
            <v>45733</v>
          </cell>
          <cell r="J424">
            <v>45733</v>
          </cell>
          <cell r="K424">
            <v>45749</v>
          </cell>
          <cell r="L424" t="str">
            <v>P00012</v>
          </cell>
          <cell r="P424" t="str">
            <v>COLABORATIVA S.A.C.</v>
          </cell>
          <cell r="Q424">
            <v>-170</v>
          </cell>
          <cell r="S424">
            <v>-170</v>
          </cell>
          <cell r="T424">
            <v>-170</v>
          </cell>
          <cell r="V424" t="str">
            <v>PEN</v>
          </cell>
          <cell r="W424" t="b">
            <v>0</v>
          </cell>
          <cell r="X424" t="str">
            <v>Pagado</v>
          </cell>
          <cell r="AB424" t="str">
            <v>Registrado</v>
          </cell>
          <cell r="AN424">
            <v>45733</v>
          </cell>
          <cell r="AO424" t="e">
            <v>#N/A</v>
          </cell>
          <cell r="AP424" t="str">
            <v>R E001- 18</v>
          </cell>
        </row>
        <row r="425">
          <cell r="E425" t="str">
            <v>F FE23-00003622</v>
          </cell>
          <cell r="F425">
            <v>0</v>
          </cell>
          <cell r="H425" t="str">
            <v>Verisure Peru SAC</v>
          </cell>
          <cell r="I425">
            <v>45717</v>
          </cell>
          <cell r="J425">
            <v>45717</v>
          </cell>
          <cell r="K425">
            <v>45797</v>
          </cell>
          <cell r="P425" t="str">
            <v>COLABORATIVA S.A.C.</v>
          </cell>
          <cell r="Q425">
            <v>-193.23</v>
          </cell>
          <cell r="R425">
            <v>-34.78</v>
          </cell>
          <cell r="S425">
            <v>-228.01</v>
          </cell>
          <cell r="T425">
            <v>-228.01</v>
          </cell>
          <cell r="V425" t="str">
            <v>PEN</v>
          </cell>
          <cell r="W425" t="b">
            <v>0</v>
          </cell>
          <cell r="X425" t="str">
            <v>Pagado</v>
          </cell>
          <cell r="AB425" t="str">
            <v>Registrado</v>
          </cell>
          <cell r="AN425">
            <v>45717</v>
          </cell>
          <cell r="AO425" t="e">
            <v>#N/A</v>
          </cell>
          <cell r="AP425" t="str">
            <v>F FE23-00003622</v>
          </cell>
        </row>
        <row r="426">
          <cell r="AN426">
            <v>0</v>
          </cell>
          <cell r="AO426" t="e">
            <v>#N/A</v>
          </cell>
        </row>
        <row r="427">
          <cell r="AN427">
            <v>0</v>
          </cell>
          <cell r="AO427" t="e">
            <v>#N/A</v>
          </cell>
        </row>
        <row r="428">
          <cell r="AN428">
            <v>0</v>
          </cell>
          <cell r="AO428" t="e">
            <v>#N/A</v>
          </cell>
        </row>
        <row r="429">
          <cell r="AN429">
            <v>0</v>
          </cell>
          <cell r="AO429" t="e">
            <v>#N/A</v>
          </cell>
        </row>
        <row r="430">
          <cell r="AN430">
            <v>0</v>
          </cell>
          <cell r="AO430" t="e">
            <v>#N/A</v>
          </cell>
        </row>
        <row r="431">
          <cell r="AN431">
            <v>0</v>
          </cell>
          <cell r="AO431" t="e">
            <v>#N/A</v>
          </cell>
        </row>
        <row r="432">
          <cell r="AN432">
            <v>0</v>
          </cell>
          <cell r="AO432" t="e">
            <v>#N/A</v>
          </cell>
        </row>
        <row r="433">
          <cell r="AN433">
            <v>0</v>
          </cell>
          <cell r="AO433" t="e">
            <v>#N/A</v>
          </cell>
        </row>
        <row r="434">
          <cell r="AN434">
            <v>0</v>
          </cell>
          <cell r="AO434" t="e">
            <v>#N/A</v>
          </cell>
        </row>
        <row r="435">
          <cell r="AN435">
            <v>0</v>
          </cell>
          <cell r="AO435" t="e">
            <v>#N/A</v>
          </cell>
        </row>
        <row r="436">
          <cell r="AN436">
            <v>0</v>
          </cell>
          <cell r="AO436" t="e">
            <v>#N/A</v>
          </cell>
        </row>
        <row r="437">
          <cell r="AN437">
            <v>0</v>
          </cell>
          <cell r="AO437" t="e">
            <v>#N/A</v>
          </cell>
        </row>
        <row r="438">
          <cell r="AN438">
            <v>0</v>
          </cell>
          <cell r="AO438" t="e">
            <v>#N/A</v>
          </cell>
        </row>
        <row r="439">
          <cell r="AN439">
            <v>0</v>
          </cell>
          <cell r="AO439" t="e">
            <v>#N/A</v>
          </cell>
        </row>
        <row r="440">
          <cell r="AN440">
            <v>0</v>
          </cell>
          <cell r="AO440" t="e">
            <v>#N/A</v>
          </cell>
        </row>
        <row r="441">
          <cell r="AN441">
            <v>0</v>
          </cell>
          <cell r="AO441" t="e">
            <v>#N/A</v>
          </cell>
        </row>
        <row r="442">
          <cell r="AN442">
            <v>0</v>
          </cell>
          <cell r="AO442" t="e">
            <v>#N/A</v>
          </cell>
        </row>
        <row r="443">
          <cell r="AN443">
            <v>0</v>
          </cell>
          <cell r="AO443" t="e">
            <v>#N/A</v>
          </cell>
        </row>
        <row r="444">
          <cell r="AN444">
            <v>0</v>
          </cell>
          <cell r="AO444" t="e">
            <v>#N/A</v>
          </cell>
        </row>
        <row r="445">
          <cell r="AN445">
            <v>0</v>
          </cell>
          <cell r="AO445" t="e">
            <v>#N/A</v>
          </cell>
        </row>
        <row r="446">
          <cell r="AN446">
            <v>0</v>
          </cell>
          <cell r="AO446" t="e">
            <v>#N/A</v>
          </cell>
        </row>
        <row r="447">
          <cell r="AN447">
            <v>0</v>
          </cell>
          <cell r="AO447" t="e">
            <v>#N/A</v>
          </cell>
        </row>
        <row r="448">
          <cell r="AN448">
            <v>0</v>
          </cell>
          <cell r="AO448" t="e">
            <v>#N/A</v>
          </cell>
        </row>
        <row r="449">
          <cell r="AN449">
            <v>0</v>
          </cell>
          <cell r="AO449" t="e">
            <v>#N/A</v>
          </cell>
        </row>
        <row r="450">
          <cell r="AN450">
            <v>0</v>
          </cell>
          <cell r="AO450" t="e">
            <v>#N/A</v>
          </cell>
        </row>
        <row r="451">
          <cell r="AN451">
            <v>0</v>
          </cell>
          <cell r="AO451" t="e">
            <v>#N/A</v>
          </cell>
        </row>
        <row r="452">
          <cell r="AN452">
            <v>0</v>
          </cell>
          <cell r="AO452" t="e">
            <v>#N/A</v>
          </cell>
        </row>
        <row r="453">
          <cell r="AN453">
            <v>0</v>
          </cell>
          <cell r="AO453" t="e">
            <v>#N/A</v>
          </cell>
        </row>
        <row r="454">
          <cell r="AN454">
            <v>0</v>
          </cell>
          <cell r="AO454" t="e">
            <v>#N/A</v>
          </cell>
        </row>
        <row r="455">
          <cell r="AN455">
            <v>0</v>
          </cell>
          <cell r="AO455" t="e">
            <v>#N/A</v>
          </cell>
        </row>
        <row r="456">
          <cell r="AN456">
            <v>0</v>
          </cell>
          <cell r="AO456" t="e">
            <v>#N/A</v>
          </cell>
        </row>
        <row r="457">
          <cell r="AN457">
            <v>0</v>
          </cell>
          <cell r="AO457" t="e">
            <v>#N/A</v>
          </cell>
        </row>
        <row r="458">
          <cell r="AN458">
            <v>0</v>
          </cell>
          <cell r="AO458" t="e">
            <v>#N/A</v>
          </cell>
        </row>
        <row r="459">
          <cell r="AN459">
            <v>0</v>
          </cell>
          <cell r="AO459" t="e">
            <v>#N/A</v>
          </cell>
        </row>
        <row r="460">
          <cell r="AN460">
            <v>0</v>
          </cell>
          <cell r="AO460" t="e">
            <v>#N/A</v>
          </cell>
        </row>
        <row r="461">
          <cell r="AN461">
            <v>0</v>
          </cell>
          <cell r="AO461" t="e">
            <v>#N/A</v>
          </cell>
        </row>
        <row r="462">
          <cell r="AN462">
            <v>0</v>
          </cell>
          <cell r="AO462" t="e">
            <v>#N/A</v>
          </cell>
        </row>
        <row r="463">
          <cell r="AN463">
            <v>0</v>
          </cell>
          <cell r="AO463" t="e">
            <v>#N/A</v>
          </cell>
        </row>
        <row r="464">
          <cell r="AN464">
            <v>0</v>
          </cell>
          <cell r="AO464" t="e">
            <v>#N/A</v>
          </cell>
        </row>
        <row r="465">
          <cell r="AN465">
            <v>0</v>
          </cell>
          <cell r="AO465" t="e">
            <v>#N/A</v>
          </cell>
        </row>
        <row r="466">
          <cell r="AN466">
            <v>0</v>
          </cell>
          <cell r="AO466" t="e">
            <v>#N/A</v>
          </cell>
        </row>
        <row r="467">
          <cell r="AN467">
            <v>0</v>
          </cell>
          <cell r="AO467" t="e">
            <v>#N/A</v>
          </cell>
        </row>
        <row r="468">
          <cell r="AN468">
            <v>0</v>
          </cell>
          <cell r="AO468" t="e">
            <v>#N/A</v>
          </cell>
        </row>
        <row r="469">
          <cell r="AN469">
            <v>0</v>
          </cell>
          <cell r="AO469" t="e">
            <v>#N/A</v>
          </cell>
        </row>
        <row r="470">
          <cell r="AN470">
            <v>0</v>
          </cell>
          <cell r="AO470" t="e">
            <v>#N/A</v>
          </cell>
        </row>
        <row r="471">
          <cell r="AN471">
            <v>0</v>
          </cell>
          <cell r="AO471" t="e">
            <v>#N/A</v>
          </cell>
        </row>
        <row r="472">
          <cell r="AN472">
            <v>0</v>
          </cell>
          <cell r="AO472" t="e">
            <v>#N/A</v>
          </cell>
        </row>
        <row r="473">
          <cell r="AN473">
            <v>0</v>
          </cell>
          <cell r="AO473" t="e">
            <v>#N/A</v>
          </cell>
        </row>
        <row r="474">
          <cell r="AN474">
            <v>0</v>
          </cell>
          <cell r="AO474" t="e">
            <v>#N/A</v>
          </cell>
        </row>
        <row r="475">
          <cell r="AN475">
            <v>0</v>
          </cell>
          <cell r="AO475" t="e">
            <v>#N/A</v>
          </cell>
        </row>
        <row r="476">
          <cell r="AN476">
            <v>0</v>
          </cell>
          <cell r="AO476" t="e">
            <v>#N/A</v>
          </cell>
        </row>
        <row r="477">
          <cell r="AN477">
            <v>0</v>
          </cell>
          <cell r="AO477" t="e">
            <v>#N/A</v>
          </cell>
        </row>
        <row r="478">
          <cell r="AN478">
            <v>0</v>
          </cell>
          <cell r="AO478" t="e">
            <v>#N/A</v>
          </cell>
        </row>
        <row r="479">
          <cell r="AN479">
            <v>0</v>
          </cell>
          <cell r="AO479" t="e">
            <v>#N/A</v>
          </cell>
        </row>
        <row r="480">
          <cell r="AN480">
            <v>0</v>
          </cell>
          <cell r="AO480" t="e">
            <v>#N/A</v>
          </cell>
        </row>
        <row r="481">
          <cell r="AN481">
            <v>0</v>
          </cell>
          <cell r="AO481" t="e">
            <v>#N/A</v>
          </cell>
        </row>
        <row r="482">
          <cell r="AN482">
            <v>0</v>
          </cell>
          <cell r="AO482" t="e">
            <v>#N/A</v>
          </cell>
        </row>
        <row r="483">
          <cell r="AN483">
            <v>0</v>
          </cell>
          <cell r="AO483" t="e">
            <v>#N/A</v>
          </cell>
        </row>
        <row r="484">
          <cell r="AN484">
            <v>0</v>
          </cell>
          <cell r="AO484" t="e">
            <v>#N/A</v>
          </cell>
        </row>
        <row r="485">
          <cell r="AN485">
            <v>0</v>
          </cell>
          <cell r="AO485" t="e">
            <v>#N/A</v>
          </cell>
        </row>
        <row r="486">
          <cell r="AN486">
            <v>0</v>
          </cell>
          <cell r="AO486" t="e">
            <v>#N/A</v>
          </cell>
        </row>
        <row r="487">
          <cell r="AN487">
            <v>0</v>
          </cell>
          <cell r="AO487" t="e">
            <v>#N/A</v>
          </cell>
        </row>
        <row r="488">
          <cell r="AN488">
            <v>0</v>
          </cell>
          <cell r="AO488" t="e">
            <v>#N/A</v>
          </cell>
        </row>
        <row r="489">
          <cell r="AN489">
            <v>0</v>
          </cell>
          <cell r="AO489" t="e">
            <v>#N/A</v>
          </cell>
        </row>
        <row r="490">
          <cell r="AN490">
            <v>0</v>
          </cell>
          <cell r="AO490" t="e">
            <v>#N/A</v>
          </cell>
        </row>
        <row r="491">
          <cell r="AN491">
            <v>0</v>
          </cell>
          <cell r="AO491" t="e">
            <v>#N/A</v>
          </cell>
        </row>
        <row r="492">
          <cell r="AN492">
            <v>0</v>
          </cell>
          <cell r="AO492" t="e">
            <v>#N/A</v>
          </cell>
        </row>
        <row r="493">
          <cell r="AN493">
            <v>0</v>
          </cell>
          <cell r="AO493" t="e">
            <v>#N/A</v>
          </cell>
        </row>
        <row r="494">
          <cell r="AN494">
            <v>0</v>
          </cell>
          <cell r="AO494" t="e">
            <v>#N/A</v>
          </cell>
        </row>
        <row r="495">
          <cell r="AN495">
            <v>0</v>
          </cell>
          <cell r="AO495" t="e">
            <v>#N/A</v>
          </cell>
        </row>
        <row r="496">
          <cell r="AN496">
            <v>0</v>
          </cell>
          <cell r="AO496" t="e">
            <v>#N/A</v>
          </cell>
        </row>
        <row r="497">
          <cell r="AN497">
            <v>0</v>
          </cell>
          <cell r="AO497" t="e">
            <v>#N/A</v>
          </cell>
        </row>
        <row r="498">
          <cell r="AN498">
            <v>0</v>
          </cell>
          <cell r="AO498" t="e">
            <v>#N/A</v>
          </cell>
        </row>
        <row r="499">
          <cell r="AN499">
            <v>0</v>
          </cell>
          <cell r="AO499" t="e">
            <v>#N/A</v>
          </cell>
        </row>
        <row r="500">
          <cell r="AN500">
            <v>0</v>
          </cell>
          <cell r="AO500" t="e">
            <v>#N/A</v>
          </cell>
        </row>
        <row r="501">
          <cell r="AN501">
            <v>0</v>
          </cell>
          <cell r="AO501" t="e">
            <v>#N/A</v>
          </cell>
        </row>
        <row r="502">
          <cell r="AN502">
            <v>0</v>
          </cell>
          <cell r="AO502" t="e">
            <v>#N/A</v>
          </cell>
        </row>
        <row r="503">
          <cell r="AN503">
            <v>0</v>
          </cell>
          <cell r="AO503" t="e">
            <v>#N/A</v>
          </cell>
        </row>
        <row r="504">
          <cell r="AN504">
            <v>0</v>
          </cell>
          <cell r="AO504" t="e">
            <v>#N/A</v>
          </cell>
        </row>
        <row r="505">
          <cell r="AN505">
            <v>0</v>
          </cell>
          <cell r="AO505" t="e">
            <v>#N/A</v>
          </cell>
        </row>
        <row r="506">
          <cell r="AN506">
            <v>0</v>
          </cell>
          <cell r="AO506" t="e">
            <v>#N/A</v>
          </cell>
        </row>
        <row r="507">
          <cell r="AN507">
            <v>0</v>
          </cell>
          <cell r="AO507" t="e">
            <v>#N/A</v>
          </cell>
        </row>
        <row r="508">
          <cell r="AN508">
            <v>0</v>
          </cell>
          <cell r="AO508" t="e">
            <v>#N/A</v>
          </cell>
        </row>
        <row r="509">
          <cell r="AN509">
            <v>0</v>
          </cell>
          <cell r="AO509" t="e">
            <v>#N/A</v>
          </cell>
        </row>
        <row r="510">
          <cell r="AN510">
            <v>0</v>
          </cell>
          <cell r="AO510" t="e">
            <v>#N/A</v>
          </cell>
        </row>
        <row r="511">
          <cell r="AN511">
            <v>0</v>
          </cell>
          <cell r="AO511" t="e">
            <v>#N/A</v>
          </cell>
        </row>
        <row r="512">
          <cell r="AN512">
            <v>0</v>
          </cell>
          <cell r="AO512" t="e">
            <v>#N/A</v>
          </cell>
        </row>
        <row r="513">
          <cell r="AN513">
            <v>0</v>
          </cell>
          <cell r="AO513" t="e">
            <v>#N/A</v>
          </cell>
        </row>
        <row r="514">
          <cell r="AN514">
            <v>0</v>
          </cell>
          <cell r="AO514" t="e">
            <v>#N/A</v>
          </cell>
        </row>
        <row r="515">
          <cell r="AN515">
            <v>0</v>
          </cell>
          <cell r="AO515" t="e">
            <v>#N/A</v>
          </cell>
        </row>
        <row r="516">
          <cell r="AN516">
            <v>0</v>
          </cell>
          <cell r="AO516" t="e">
            <v>#N/A</v>
          </cell>
        </row>
        <row r="517">
          <cell r="AN517">
            <v>0</v>
          </cell>
          <cell r="AO517" t="e">
            <v>#N/A</v>
          </cell>
        </row>
        <row r="518">
          <cell r="AN518">
            <v>0</v>
          </cell>
          <cell r="AO518" t="e">
            <v>#N/A</v>
          </cell>
        </row>
        <row r="519">
          <cell r="AN519">
            <v>0</v>
          </cell>
          <cell r="AO519" t="e">
            <v>#N/A</v>
          </cell>
        </row>
        <row r="520">
          <cell r="AN520">
            <v>0</v>
          </cell>
          <cell r="AO520" t="e">
            <v>#N/A</v>
          </cell>
        </row>
        <row r="521">
          <cell r="AN521">
            <v>0</v>
          </cell>
          <cell r="AO521" t="e">
            <v>#N/A</v>
          </cell>
        </row>
        <row r="522">
          <cell r="AN522">
            <v>0</v>
          </cell>
          <cell r="AO522" t="e">
            <v>#N/A</v>
          </cell>
        </row>
        <row r="523">
          <cell r="AN523">
            <v>0</v>
          </cell>
          <cell r="AO523" t="e">
            <v>#N/A</v>
          </cell>
        </row>
        <row r="524">
          <cell r="AN524">
            <v>0</v>
          </cell>
          <cell r="AO524" t="e">
            <v>#N/A</v>
          </cell>
        </row>
        <row r="525">
          <cell r="AN525">
            <v>0</v>
          </cell>
          <cell r="AO525" t="e">
            <v>#N/A</v>
          </cell>
        </row>
        <row r="526">
          <cell r="AN526">
            <v>0</v>
          </cell>
          <cell r="AO526" t="e">
            <v>#N/A</v>
          </cell>
        </row>
        <row r="527">
          <cell r="AN527">
            <v>0</v>
          </cell>
          <cell r="AO527" t="e">
            <v>#N/A</v>
          </cell>
        </row>
        <row r="528">
          <cell r="AN528">
            <v>0</v>
          </cell>
          <cell r="AO528" t="e">
            <v>#N/A</v>
          </cell>
        </row>
        <row r="529">
          <cell r="AN529">
            <v>0</v>
          </cell>
          <cell r="AO529" t="e">
            <v>#N/A</v>
          </cell>
        </row>
        <row r="530">
          <cell r="AN530">
            <v>0</v>
          </cell>
          <cell r="AO530" t="e">
            <v>#N/A</v>
          </cell>
        </row>
        <row r="531">
          <cell r="AN531">
            <v>0</v>
          </cell>
          <cell r="AO531" t="e">
            <v>#N/A</v>
          </cell>
        </row>
        <row r="532">
          <cell r="AN532">
            <v>0</v>
          </cell>
          <cell r="AO532" t="e">
            <v>#N/A</v>
          </cell>
        </row>
        <row r="533">
          <cell r="AN533">
            <v>0</v>
          </cell>
          <cell r="AO533" t="e">
            <v>#N/A</v>
          </cell>
        </row>
        <row r="534">
          <cell r="AN534">
            <v>0</v>
          </cell>
          <cell r="AO534" t="e">
            <v>#N/A</v>
          </cell>
        </row>
        <row r="535">
          <cell r="AN535">
            <v>0</v>
          </cell>
          <cell r="AO535" t="e">
            <v>#N/A</v>
          </cell>
        </row>
        <row r="536">
          <cell r="AN536">
            <v>0</v>
          </cell>
          <cell r="AO536" t="e">
            <v>#N/A</v>
          </cell>
        </row>
        <row r="537">
          <cell r="AN537">
            <v>0</v>
          </cell>
          <cell r="AO537" t="e">
            <v>#N/A</v>
          </cell>
        </row>
        <row r="538">
          <cell r="AN538">
            <v>0</v>
          </cell>
          <cell r="AO538" t="e">
            <v>#N/A</v>
          </cell>
        </row>
        <row r="539">
          <cell r="AN539">
            <v>0</v>
          </cell>
          <cell r="AO539" t="e">
            <v>#N/A</v>
          </cell>
        </row>
        <row r="540">
          <cell r="AN540">
            <v>0</v>
          </cell>
          <cell r="AO540" t="e">
            <v>#N/A</v>
          </cell>
        </row>
        <row r="541">
          <cell r="AN541">
            <v>0</v>
          </cell>
          <cell r="AO541" t="e">
            <v>#N/A</v>
          </cell>
        </row>
        <row r="542">
          <cell r="AN542">
            <v>0</v>
          </cell>
          <cell r="AO542" t="e">
            <v>#N/A</v>
          </cell>
        </row>
        <row r="543">
          <cell r="AN543">
            <v>0</v>
          </cell>
          <cell r="AO543" t="e">
            <v>#N/A</v>
          </cell>
        </row>
        <row r="544">
          <cell r="AN544">
            <v>0</v>
          </cell>
          <cell r="AO544" t="e">
            <v>#N/A</v>
          </cell>
        </row>
        <row r="545">
          <cell r="AN545">
            <v>0</v>
          </cell>
          <cell r="AO545" t="e">
            <v>#N/A</v>
          </cell>
        </row>
        <row r="546">
          <cell r="AN546">
            <v>0</v>
          </cell>
          <cell r="AO546" t="e">
            <v>#N/A</v>
          </cell>
        </row>
        <row r="547">
          <cell r="AN547">
            <v>0</v>
          </cell>
          <cell r="AO547" t="e">
            <v>#N/A</v>
          </cell>
        </row>
        <row r="548">
          <cell r="AN548">
            <v>0</v>
          </cell>
          <cell r="AO548" t="e">
            <v>#N/A</v>
          </cell>
        </row>
        <row r="549">
          <cell r="AN549">
            <v>0</v>
          </cell>
          <cell r="AO549" t="e">
            <v>#N/A</v>
          </cell>
        </row>
        <row r="550">
          <cell r="AN550">
            <v>0</v>
          </cell>
          <cell r="AO550" t="e">
            <v>#N/A</v>
          </cell>
        </row>
        <row r="551">
          <cell r="AN551">
            <v>0</v>
          </cell>
          <cell r="AO551" t="e">
            <v>#N/A</v>
          </cell>
        </row>
        <row r="552">
          <cell r="AN552">
            <v>0</v>
          </cell>
          <cell r="AO552" t="e">
            <v>#N/A</v>
          </cell>
        </row>
        <row r="553">
          <cell r="AN553">
            <v>0</v>
          </cell>
          <cell r="AO553" t="e">
            <v>#N/A</v>
          </cell>
        </row>
        <row r="554">
          <cell r="AN554">
            <v>0</v>
          </cell>
          <cell r="AO554" t="e">
            <v>#N/A</v>
          </cell>
        </row>
        <row r="555">
          <cell r="AN555">
            <v>0</v>
          </cell>
          <cell r="AO555" t="e">
            <v>#N/A</v>
          </cell>
        </row>
        <row r="556">
          <cell r="AN556">
            <v>0</v>
          </cell>
          <cell r="AO556" t="e">
            <v>#N/A</v>
          </cell>
        </row>
        <row r="557">
          <cell r="AN557">
            <v>0</v>
          </cell>
          <cell r="AO557" t="e">
            <v>#N/A</v>
          </cell>
        </row>
        <row r="558">
          <cell r="AN558">
            <v>0</v>
          </cell>
          <cell r="AO558" t="e">
            <v>#N/A</v>
          </cell>
        </row>
        <row r="559">
          <cell r="AN559">
            <v>0</v>
          </cell>
          <cell r="AO559" t="e">
            <v>#N/A</v>
          </cell>
        </row>
        <row r="560">
          <cell r="AN560">
            <v>0</v>
          </cell>
          <cell r="AO560" t="e">
            <v>#N/A</v>
          </cell>
        </row>
        <row r="561">
          <cell r="AN561">
            <v>0</v>
          </cell>
          <cell r="AO561" t="e">
            <v>#N/A</v>
          </cell>
        </row>
        <row r="562">
          <cell r="AN562">
            <v>0</v>
          </cell>
          <cell r="AO562" t="e">
            <v>#N/A</v>
          </cell>
        </row>
        <row r="563">
          <cell r="AN563">
            <v>0</v>
          </cell>
          <cell r="AO563" t="e">
            <v>#N/A</v>
          </cell>
        </row>
        <row r="564">
          <cell r="AN564">
            <v>0</v>
          </cell>
          <cell r="AO564" t="e">
            <v>#N/A</v>
          </cell>
        </row>
        <row r="565">
          <cell r="AN565">
            <v>0</v>
          </cell>
          <cell r="AO565" t="e">
            <v>#N/A</v>
          </cell>
        </row>
        <row r="566">
          <cell r="AN566">
            <v>0</v>
          </cell>
          <cell r="AO566" t="e">
            <v>#N/A</v>
          </cell>
        </row>
        <row r="567">
          <cell r="AN567">
            <v>0</v>
          </cell>
          <cell r="AO567" t="e">
            <v>#N/A</v>
          </cell>
        </row>
        <row r="568">
          <cell r="AN568">
            <v>0</v>
          </cell>
          <cell r="AO568" t="e">
            <v>#N/A</v>
          </cell>
        </row>
        <row r="569">
          <cell r="AN569">
            <v>0</v>
          </cell>
          <cell r="AO569" t="e">
            <v>#N/A</v>
          </cell>
        </row>
        <row r="570">
          <cell r="AN570">
            <v>0</v>
          </cell>
          <cell r="AO570" t="e">
            <v>#N/A</v>
          </cell>
        </row>
        <row r="571">
          <cell r="AN571">
            <v>0</v>
          </cell>
          <cell r="AO571" t="e">
            <v>#N/A</v>
          </cell>
        </row>
        <row r="572">
          <cell r="AN572">
            <v>0</v>
          </cell>
          <cell r="AO572" t="e">
            <v>#N/A</v>
          </cell>
        </row>
        <row r="573">
          <cell r="AN573">
            <v>0</v>
          </cell>
          <cell r="AO573" t="e">
            <v>#N/A</v>
          </cell>
        </row>
        <row r="574">
          <cell r="AN574">
            <v>0</v>
          </cell>
          <cell r="AO574" t="e">
            <v>#N/A</v>
          </cell>
        </row>
        <row r="575">
          <cell r="AN575">
            <v>0</v>
          </cell>
          <cell r="AO575" t="e">
            <v>#N/A</v>
          </cell>
        </row>
        <row r="576">
          <cell r="AN576">
            <v>0</v>
          </cell>
          <cell r="AO576" t="e">
            <v>#N/A</v>
          </cell>
        </row>
        <row r="577">
          <cell r="AN577">
            <v>0</v>
          </cell>
          <cell r="AO577" t="e">
            <v>#N/A</v>
          </cell>
        </row>
        <row r="578">
          <cell r="AN578">
            <v>0</v>
          </cell>
          <cell r="AO578" t="e">
            <v>#N/A</v>
          </cell>
        </row>
        <row r="579">
          <cell r="AN579">
            <v>0</v>
          </cell>
          <cell r="AO579" t="e">
            <v>#N/A</v>
          </cell>
        </row>
        <row r="580">
          <cell r="AN580">
            <v>0</v>
          </cell>
          <cell r="AO580" t="e">
            <v>#N/A</v>
          </cell>
        </row>
        <row r="581">
          <cell r="AN581">
            <v>0</v>
          </cell>
          <cell r="AO581" t="e">
            <v>#N/A</v>
          </cell>
        </row>
        <row r="582">
          <cell r="AN582">
            <v>0</v>
          </cell>
          <cell r="AO582" t="e">
            <v>#N/A</v>
          </cell>
        </row>
        <row r="583">
          <cell r="AN583">
            <v>0</v>
          </cell>
          <cell r="AO583" t="e">
            <v>#N/A</v>
          </cell>
        </row>
        <row r="584">
          <cell r="AN584">
            <v>0</v>
          </cell>
          <cell r="AO584" t="e">
            <v>#N/A</v>
          </cell>
        </row>
        <row r="585">
          <cell r="AN585">
            <v>0</v>
          </cell>
          <cell r="AO585" t="e">
            <v>#N/A</v>
          </cell>
        </row>
        <row r="586">
          <cell r="AN586">
            <v>0</v>
          </cell>
          <cell r="AO586" t="e">
            <v>#N/A</v>
          </cell>
        </row>
        <row r="587">
          <cell r="AN587">
            <v>0</v>
          </cell>
          <cell r="AO587" t="e">
            <v>#N/A</v>
          </cell>
        </row>
        <row r="588">
          <cell r="AN588">
            <v>0</v>
          </cell>
          <cell r="AO588" t="e">
            <v>#N/A</v>
          </cell>
        </row>
        <row r="589">
          <cell r="AN589">
            <v>0</v>
          </cell>
          <cell r="AO589" t="e">
            <v>#N/A</v>
          </cell>
        </row>
        <row r="590">
          <cell r="AN590">
            <v>0</v>
          </cell>
          <cell r="AO590" t="e">
            <v>#N/A</v>
          </cell>
        </row>
        <row r="591">
          <cell r="AN591">
            <v>0</v>
          </cell>
          <cell r="AO591" t="e">
            <v>#N/A</v>
          </cell>
        </row>
        <row r="592">
          <cell r="AN592">
            <v>0</v>
          </cell>
          <cell r="AO592" t="e">
            <v>#N/A</v>
          </cell>
        </row>
        <row r="593">
          <cell r="AN593">
            <v>0</v>
          </cell>
          <cell r="AO593" t="e">
            <v>#N/A</v>
          </cell>
        </row>
        <row r="594">
          <cell r="AN594">
            <v>0</v>
          </cell>
          <cell r="AO594" t="e">
            <v>#N/A</v>
          </cell>
        </row>
        <row r="595">
          <cell r="AN595">
            <v>0</v>
          </cell>
          <cell r="AO595" t="e">
            <v>#N/A</v>
          </cell>
        </row>
        <row r="596">
          <cell r="AN596">
            <v>0</v>
          </cell>
          <cell r="AO596" t="e">
            <v>#N/A</v>
          </cell>
        </row>
        <row r="597">
          <cell r="AN597">
            <v>0</v>
          </cell>
          <cell r="AO597" t="e">
            <v>#N/A</v>
          </cell>
        </row>
        <row r="598">
          <cell r="AN598">
            <v>0</v>
          </cell>
          <cell r="AO598" t="e">
            <v>#N/A</v>
          </cell>
        </row>
        <row r="599">
          <cell r="AN599">
            <v>0</v>
          </cell>
          <cell r="AO599" t="e">
            <v>#N/A</v>
          </cell>
        </row>
        <row r="600">
          <cell r="AN600">
            <v>0</v>
          </cell>
          <cell r="AO600" t="e">
            <v>#N/A</v>
          </cell>
        </row>
        <row r="601">
          <cell r="AN601">
            <v>0</v>
          </cell>
          <cell r="AO601" t="e">
            <v>#N/A</v>
          </cell>
        </row>
        <row r="602">
          <cell r="AN602">
            <v>0</v>
          </cell>
          <cell r="AO602" t="e">
            <v>#N/A</v>
          </cell>
        </row>
        <row r="603">
          <cell r="AN603">
            <v>0</v>
          </cell>
          <cell r="AO603" t="e">
            <v>#N/A</v>
          </cell>
        </row>
        <row r="604">
          <cell r="AN604">
            <v>0</v>
          </cell>
          <cell r="AO604" t="e">
            <v>#N/A</v>
          </cell>
        </row>
        <row r="605">
          <cell r="AN605">
            <v>0</v>
          </cell>
          <cell r="AO605" t="e">
            <v>#N/A</v>
          </cell>
        </row>
        <row r="606">
          <cell r="AN606">
            <v>0</v>
          </cell>
          <cell r="AO606" t="e">
            <v>#N/A</v>
          </cell>
        </row>
        <row r="607">
          <cell r="AN607">
            <v>0</v>
          </cell>
          <cell r="AO607" t="e">
            <v>#N/A</v>
          </cell>
        </row>
        <row r="608">
          <cell r="AN608">
            <v>0</v>
          </cell>
          <cell r="AO608" t="e">
            <v>#N/A</v>
          </cell>
        </row>
        <row r="609">
          <cell r="AN609">
            <v>0</v>
          </cell>
          <cell r="AO609" t="e">
            <v>#N/A</v>
          </cell>
        </row>
        <row r="610">
          <cell r="AN610">
            <v>0</v>
          </cell>
          <cell r="AO610" t="e">
            <v>#N/A</v>
          </cell>
        </row>
        <row r="611">
          <cell r="AN611">
            <v>0</v>
          </cell>
          <cell r="AO611" t="e">
            <v>#N/A</v>
          </cell>
        </row>
        <row r="612">
          <cell r="AN612">
            <v>0</v>
          </cell>
          <cell r="AO612" t="e">
            <v>#N/A</v>
          </cell>
        </row>
        <row r="613">
          <cell r="AN613">
            <v>0</v>
          </cell>
          <cell r="AO613" t="e">
            <v>#N/A</v>
          </cell>
        </row>
        <row r="614">
          <cell r="AN614">
            <v>0</v>
          </cell>
          <cell r="AO614" t="e">
            <v>#N/A</v>
          </cell>
        </row>
        <row r="615">
          <cell r="AN615">
            <v>0</v>
          </cell>
          <cell r="AO615" t="e">
            <v>#N/A</v>
          </cell>
        </row>
        <row r="616">
          <cell r="AN616">
            <v>0</v>
          </cell>
          <cell r="AO616" t="e">
            <v>#N/A</v>
          </cell>
        </row>
        <row r="617">
          <cell r="AN617">
            <v>0</v>
          </cell>
          <cell r="AO617" t="e">
            <v>#N/A</v>
          </cell>
        </row>
        <row r="618">
          <cell r="AN618">
            <v>0</v>
          </cell>
          <cell r="AO618" t="e">
            <v>#N/A</v>
          </cell>
        </row>
        <row r="619">
          <cell r="AN619">
            <v>0</v>
          </cell>
          <cell r="AO619" t="e">
            <v>#N/A</v>
          </cell>
        </row>
        <row r="620">
          <cell r="AN620">
            <v>0</v>
          </cell>
          <cell r="AO620" t="e">
            <v>#N/A</v>
          </cell>
        </row>
        <row r="621">
          <cell r="AN621">
            <v>0</v>
          </cell>
          <cell r="AO621" t="e">
            <v>#N/A</v>
          </cell>
        </row>
        <row r="622">
          <cell r="AN622">
            <v>0</v>
          </cell>
          <cell r="AO622" t="e">
            <v>#N/A</v>
          </cell>
        </row>
        <row r="623">
          <cell r="AN623">
            <v>0</v>
          </cell>
          <cell r="AO623" t="e">
            <v>#N/A</v>
          </cell>
        </row>
        <row r="624">
          <cell r="AN624">
            <v>0</v>
          </cell>
          <cell r="AO624" t="e">
            <v>#N/A</v>
          </cell>
        </row>
        <row r="625">
          <cell r="AN625">
            <v>0</v>
          </cell>
          <cell r="AO625" t="e">
            <v>#N/A</v>
          </cell>
        </row>
        <row r="626">
          <cell r="AN626">
            <v>0</v>
          </cell>
          <cell r="AO626" t="e">
            <v>#N/A</v>
          </cell>
        </row>
        <row r="627">
          <cell r="AN627">
            <v>0</v>
          </cell>
          <cell r="AO627" t="e">
            <v>#N/A</v>
          </cell>
        </row>
        <row r="628">
          <cell r="AN628">
            <v>0</v>
          </cell>
          <cell r="AO628" t="e">
            <v>#N/A</v>
          </cell>
        </row>
        <row r="629">
          <cell r="AN629">
            <v>0</v>
          </cell>
          <cell r="AO629" t="e">
            <v>#N/A</v>
          </cell>
        </row>
        <row r="630">
          <cell r="AN630">
            <v>0</v>
          </cell>
          <cell r="AO630" t="e">
            <v>#N/A</v>
          </cell>
        </row>
        <row r="631">
          <cell r="AN631">
            <v>0</v>
          </cell>
          <cell r="AO631" t="e">
            <v>#N/A</v>
          </cell>
        </row>
        <row r="632">
          <cell r="AN632">
            <v>0</v>
          </cell>
          <cell r="AO632" t="e">
            <v>#N/A</v>
          </cell>
        </row>
        <row r="633">
          <cell r="AN633">
            <v>0</v>
          </cell>
          <cell r="AO633" t="e">
            <v>#N/A</v>
          </cell>
        </row>
        <row r="634">
          <cell r="AN634">
            <v>0</v>
          </cell>
          <cell r="AO634" t="e">
            <v>#N/A</v>
          </cell>
        </row>
        <row r="635">
          <cell r="AN635">
            <v>0</v>
          </cell>
          <cell r="AO635" t="e">
            <v>#N/A</v>
          </cell>
        </row>
        <row r="636">
          <cell r="AN636">
            <v>0</v>
          </cell>
          <cell r="AO636" t="e">
            <v>#N/A</v>
          </cell>
        </row>
        <row r="637">
          <cell r="AN637">
            <v>0</v>
          </cell>
          <cell r="AO637" t="e">
            <v>#N/A</v>
          </cell>
        </row>
        <row r="638">
          <cell r="AN638">
            <v>0</v>
          </cell>
          <cell r="AO638" t="e">
            <v>#N/A</v>
          </cell>
        </row>
        <row r="639">
          <cell r="AN639">
            <v>0</v>
          </cell>
          <cell r="AO639" t="e">
            <v>#N/A</v>
          </cell>
        </row>
        <row r="640">
          <cell r="AN640">
            <v>0</v>
          </cell>
          <cell r="AO640" t="e">
            <v>#N/A</v>
          </cell>
        </row>
        <row r="641">
          <cell r="AN641">
            <v>0</v>
          </cell>
          <cell r="AO641" t="e">
            <v>#N/A</v>
          </cell>
        </row>
        <row r="642">
          <cell r="AN642">
            <v>0</v>
          </cell>
          <cell r="AO642" t="e">
            <v>#N/A</v>
          </cell>
        </row>
        <row r="643">
          <cell r="AN643">
            <v>0</v>
          </cell>
          <cell r="AO643" t="e">
            <v>#N/A</v>
          </cell>
        </row>
        <row r="644">
          <cell r="AN644">
            <v>0</v>
          </cell>
          <cell r="AO644" t="e">
            <v>#N/A</v>
          </cell>
        </row>
        <row r="645">
          <cell r="AN645">
            <v>0</v>
          </cell>
          <cell r="AO645" t="e">
            <v>#N/A</v>
          </cell>
        </row>
        <row r="646">
          <cell r="AN646">
            <v>0</v>
          </cell>
          <cell r="AO646" t="e">
            <v>#N/A</v>
          </cell>
        </row>
        <row r="647">
          <cell r="AN647">
            <v>0</v>
          </cell>
          <cell r="AO647" t="e">
            <v>#N/A</v>
          </cell>
        </row>
        <row r="648">
          <cell r="AN648">
            <v>0</v>
          </cell>
          <cell r="AO648" t="e">
            <v>#N/A</v>
          </cell>
        </row>
        <row r="649">
          <cell r="AN649">
            <v>0</v>
          </cell>
          <cell r="AO649" t="e">
            <v>#N/A</v>
          </cell>
        </row>
        <row r="650">
          <cell r="AN650">
            <v>0</v>
          </cell>
          <cell r="AO650" t="e">
            <v>#N/A</v>
          </cell>
        </row>
        <row r="651">
          <cell r="AN651">
            <v>0</v>
          </cell>
          <cell r="AO651" t="e">
            <v>#N/A</v>
          </cell>
        </row>
        <row r="652">
          <cell r="AN652">
            <v>0</v>
          </cell>
          <cell r="AO652" t="e">
            <v>#N/A</v>
          </cell>
        </row>
        <row r="653">
          <cell r="AN653">
            <v>0</v>
          </cell>
          <cell r="AO653" t="e">
            <v>#N/A</v>
          </cell>
        </row>
        <row r="654">
          <cell r="AN654">
            <v>0</v>
          </cell>
          <cell r="AO654" t="e">
            <v>#N/A</v>
          </cell>
        </row>
        <row r="655">
          <cell r="AN655">
            <v>0</v>
          </cell>
          <cell r="AO655" t="e">
            <v>#N/A</v>
          </cell>
        </row>
        <row r="656">
          <cell r="AN656">
            <v>0</v>
          </cell>
          <cell r="AO656" t="e">
            <v>#N/A</v>
          </cell>
        </row>
        <row r="657">
          <cell r="AN657">
            <v>0</v>
          </cell>
          <cell r="AO657" t="e">
            <v>#N/A</v>
          </cell>
        </row>
        <row r="658">
          <cell r="AN658">
            <v>0</v>
          </cell>
          <cell r="AO658" t="e">
            <v>#N/A</v>
          </cell>
        </row>
        <row r="659">
          <cell r="AN659">
            <v>0</v>
          </cell>
          <cell r="AO659" t="e">
            <v>#N/A</v>
          </cell>
        </row>
        <row r="660">
          <cell r="AN660">
            <v>0</v>
          </cell>
          <cell r="AO660" t="e">
            <v>#N/A</v>
          </cell>
        </row>
        <row r="661">
          <cell r="AN661">
            <v>0</v>
          </cell>
          <cell r="AO661" t="e">
            <v>#N/A</v>
          </cell>
        </row>
        <row r="662">
          <cell r="AN662">
            <v>0</v>
          </cell>
          <cell r="AO662" t="e">
            <v>#N/A</v>
          </cell>
        </row>
        <row r="663">
          <cell r="AN663">
            <v>0</v>
          </cell>
          <cell r="AO663" t="e">
            <v>#N/A</v>
          </cell>
        </row>
        <row r="664">
          <cell r="AN664">
            <v>0</v>
          </cell>
          <cell r="AO664" t="e">
            <v>#N/A</v>
          </cell>
        </row>
        <row r="665">
          <cell r="AN665">
            <v>0</v>
          </cell>
          <cell r="AO665" t="e">
            <v>#N/A</v>
          </cell>
        </row>
        <row r="666">
          <cell r="AN666">
            <v>0</v>
          </cell>
          <cell r="AO666" t="e">
            <v>#N/A</v>
          </cell>
        </row>
        <row r="667">
          <cell r="AN667">
            <v>0</v>
          </cell>
          <cell r="AO667" t="e">
            <v>#N/A</v>
          </cell>
        </row>
        <row r="668">
          <cell r="AN668">
            <v>0</v>
          </cell>
          <cell r="AO668" t="e">
            <v>#N/A</v>
          </cell>
        </row>
        <row r="669">
          <cell r="AN669">
            <v>0</v>
          </cell>
          <cell r="AO669" t="e">
            <v>#N/A</v>
          </cell>
        </row>
        <row r="670">
          <cell r="AN670">
            <v>0</v>
          </cell>
          <cell r="AO670" t="e">
            <v>#N/A</v>
          </cell>
        </row>
        <row r="671">
          <cell r="AN671">
            <v>0</v>
          </cell>
          <cell r="AO671" t="e">
            <v>#N/A</v>
          </cell>
        </row>
        <row r="672">
          <cell r="AN672">
            <v>0</v>
          </cell>
          <cell r="AO672" t="e">
            <v>#N/A</v>
          </cell>
        </row>
        <row r="673">
          <cell r="AN673">
            <v>0</v>
          </cell>
          <cell r="AO673" t="e">
            <v>#N/A</v>
          </cell>
        </row>
        <row r="674">
          <cell r="AN674">
            <v>0</v>
          </cell>
          <cell r="AO674" t="e">
            <v>#N/A</v>
          </cell>
        </row>
        <row r="675">
          <cell r="AN675">
            <v>0</v>
          </cell>
          <cell r="AO675" t="e">
            <v>#N/A</v>
          </cell>
        </row>
        <row r="676">
          <cell r="AN676">
            <v>0</v>
          </cell>
          <cell r="AO676" t="e">
            <v>#N/A</v>
          </cell>
        </row>
        <row r="677">
          <cell r="AN677">
            <v>0</v>
          </cell>
          <cell r="AO677" t="e">
            <v>#N/A</v>
          </cell>
        </row>
        <row r="678">
          <cell r="AN678">
            <v>0</v>
          </cell>
          <cell r="AO678" t="e">
            <v>#N/A</v>
          </cell>
        </row>
        <row r="679">
          <cell r="AN679">
            <v>0</v>
          </cell>
          <cell r="AO679" t="e">
            <v>#N/A</v>
          </cell>
        </row>
        <row r="680">
          <cell r="AN680">
            <v>0</v>
          </cell>
          <cell r="AO680" t="e">
            <v>#N/A</v>
          </cell>
        </row>
        <row r="681">
          <cell r="AN681">
            <v>0</v>
          </cell>
          <cell r="AO681" t="e">
            <v>#N/A</v>
          </cell>
        </row>
        <row r="682">
          <cell r="AN682">
            <v>0</v>
          </cell>
          <cell r="AO682" t="e">
            <v>#N/A</v>
          </cell>
        </row>
        <row r="683">
          <cell r="AN683">
            <v>0</v>
          </cell>
          <cell r="AO683" t="e">
            <v>#N/A</v>
          </cell>
        </row>
        <row r="684">
          <cell r="AN684">
            <v>0</v>
          </cell>
          <cell r="AO684" t="e">
            <v>#N/A</v>
          </cell>
        </row>
        <row r="685">
          <cell r="AN685">
            <v>0</v>
          </cell>
          <cell r="AO685" t="e">
            <v>#N/A</v>
          </cell>
        </row>
        <row r="686">
          <cell r="AN686">
            <v>0</v>
          </cell>
          <cell r="AO686" t="e">
            <v>#N/A</v>
          </cell>
        </row>
        <row r="687">
          <cell r="AN687">
            <v>0</v>
          </cell>
          <cell r="AO687" t="e">
            <v>#N/A</v>
          </cell>
        </row>
        <row r="688">
          <cell r="AN688">
            <v>0</v>
          </cell>
          <cell r="AO688" t="e">
            <v>#N/A</v>
          </cell>
        </row>
        <row r="689">
          <cell r="AN689">
            <v>0</v>
          </cell>
          <cell r="AO689" t="e">
            <v>#N/A</v>
          </cell>
        </row>
        <row r="690">
          <cell r="AN690">
            <v>0</v>
          </cell>
          <cell r="AO690" t="e">
            <v>#N/A</v>
          </cell>
        </row>
        <row r="691">
          <cell r="AN691">
            <v>0</v>
          </cell>
          <cell r="AO691" t="e">
            <v>#N/A</v>
          </cell>
        </row>
        <row r="692">
          <cell r="AN692">
            <v>0</v>
          </cell>
          <cell r="AO692" t="e">
            <v>#N/A</v>
          </cell>
        </row>
        <row r="693">
          <cell r="AN693">
            <v>0</v>
          </cell>
          <cell r="AO693" t="e">
            <v>#N/A</v>
          </cell>
        </row>
        <row r="694">
          <cell r="AN694">
            <v>0</v>
          </cell>
          <cell r="AO694" t="e">
            <v>#N/A</v>
          </cell>
        </row>
        <row r="695">
          <cell r="AN695">
            <v>0</v>
          </cell>
          <cell r="AO695" t="e">
            <v>#N/A</v>
          </cell>
        </row>
        <row r="696">
          <cell r="AN696">
            <v>0</v>
          </cell>
          <cell r="AO696" t="e">
            <v>#N/A</v>
          </cell>
        </row>
        <row r="697">
          <cell r="AN697">
            <v>0</v>
          </cell>
          <cell r="AO697" t="e">
            <v>#N/A</v>
          </cell>
        </row>
        <row r="698">
          <cell r="AN698">
            <v>0</v>
          </cell>
          <cell r="AO698" t="e">
            <v>#N/A</v>
          </cell>
        </row>
        <row r="699">
          <cell r="AN699">
            <v>0</v>
          </cell>
          <cell r="AO699" t="e">
            <v>#N/A</v>
          </cell>
        </row>
        <row r="700">
          <cell r="AN700">
            <v>0</v>
          </cell>
          <cell r="AO700" t="e">
            <v>#N/A</v>
          </cell>
        </row>
        <row r="701">
          <cell r="AN701">
            <v>0</v>
          </cell>
          <cell r="AO701" t="e">
            <v>#N/A</v>
          </cell>
        </row>
        <row r="702">
          <cell r="AN702">
            <v>0</v>
          </cell>
          <cell r="AO702" t="e">
            <v>#N/A</v>
          </cell>
        </row>
        <row r="703">
          <cell r="AN703">
            <v>0</v>
          </cell>
          <cell r="AO703" t="e">
            <v>#N/A</v>
          </cell>
        </row>
        <row r="704">
          <cell r="AN704">
            <v>0</v>
          </cell>
          <cell r="AO704" t="e">
            <v>#N/A</v>
          </cell>
        </row>
        <row r="705">
          <cell r="AN705">
            <v>0</v>
          </cell>
          <cell r="AO705" t="e">
            <v>#N/A</v>
          </cell>
        </row>
        <row r="706">
          <cell r="AN706">
            <v>0</v>
          </cell>
          <cell r="AO706" t="e">
            <v>#N/A</v>
          </cell>
        </row>
        <row r="707">
          <cell r="AN707">
            <v>0</v>
          </cell>
          <cell r="AO707" t="e">
            <v>#N/A</v>
          </cell>
        </row>
        <row r="708">
          <cell r="AN708">
            <v>0</v>
          </cell>
          <cell r="AO708" t="e">
            <v>#N/A</v>
          </cell>
        </row>
        <row r="709">
          <cell r="AN709">
            <v>0</v>
          </cell>
          <cell r="AO709" t="e">
            <v>#N/A</v>
          </cell>
        </row>
        <row r="710">
          <cell r="AN710">
            <v>0</v>
          </cell>
          <cell r="AO710" t="e">
            <v>#N/A</v>
          </cell>
        </row>
        <row r="711">
          <cell r="AN711">
            <v>0</v>
          </cell>
          <cell r="AO711" t="e">
            <v>#N/A</v>
          </cell>
        </row>
        <row r="712">
          <cell r="AN712">
            <v>0</v>
          </cell>
          <cell r="AO712" t="e">
            <v>#N/A</v>
          </cell>
        </row>
        <row r="713">
          <cell r="AN713">
            <v>0</v>
          </cell>
          <cell r="AO713" t="e">
            <v>#N/A</v>
          </cell>
        </row>
        <row r="714">
          <cell r="AN714">
            <v>0</v>
          </cell>
          <cell r="AO714" t="e">
            <v>#N/A</v>
          </cell>
        </row>
        <row r="715">
          <cell r="AN715">
            <v>0</v>
          </cell>
          <cell r="AO715" t="e">
            <v>#N/A</v>
          </cell>
        </row>
        <row r="716">
          <cell r="AN716">
            <v>0</v>
          </cell>
          <cell r="AO716" t="e">
            <v>#N/A</v>
          </cell>
        </row>
        <row r="717">
          <cell r="AN717">
            <v>0</v>
          </cell>
          <cell r="AO717" t="e">
            <v>#N/A</v>
          </cell>
        </row>
        <row r="718">
          <cell r="AN718">
            <v>0</v>
          </cell>
          <cell r="AO718" t="e">
            <v>#N/A</v>
          </cell>
        </row>
        <row r="719">
          <cell r="AN719">
            <v>0</v>
          </cell>
          <cell r="AO719" t="e">
            <v>#N/A</v>
          </cell>
        </row>
        <row r="720">
          <cell r="AN720">
            <v>0</v>
          </cell>
          <cell r="AO720" t="e">
            <v>#N/A</v>
          </cell>
        </row>
        <row r="721">
          <cell r="AN721">
            <v>0</v>
          </cell>
          <cell r="AO721" t="e">
            <v>#N/A</v>
          </cell>
        </row>
        <row r="722">
          <cell r="AN722">
            <v>0</v>
          </cell>
          <cell r="AO722" t="e">
            <v>#N/A</v>
          </cell>
        </row>
        <row r="723">
          <cell r="AN723">
            <v>0</v>
          </cell>
          <cell r="AO723" t="e">
            <v>#N/A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 Zuniga" refreshedDate="45954.679460879626" createdVersion="8" refreshedVersion="8" minRefreshableVersion="3" recordCount="216" xr:uid="{95D3F7A0-9776-46A8-9A7E-429F5A58D8E3}">
  <cacheSource type="worksheet">
    <worksheetSource ref="A1:AA217" sheet="Hoja1"/>
  </cacheSource>
  <cacheFields count="27">
    <cacheField name="EgresoID" numFmtId="0">
      <sharedItems containsSemiMixedTypes="0" containsString="0" containsNumber="1" containsInteger="1" minValue="2" maxValue="841"/>
    </cacheField>
    <cacheField name="FechaFacturaID" numFmtId="0">
      <sharedItems containsSemiMixedTypes="0" containsString="0" containsNumber="1" containsInteger="1" minValue="20250408" maxValue="20251013"/>
    </cacheField>
    <cacheField name="FechaID" numFmtId="0">
      <sharedItems containsSemiMixedTypes="0" containsString="0" containsNumber="1" containsInteger="1" minValue="20250408" maxValue="20251013"/>
    </cacheField>
    <cacheField name="EventoID" numFmtId="0">
      <sharedItems containsNonDate="0" containsString="0" containsBlank="1"/>
    </cacheField>
    <cacheField name="ProductoID" numFmtId="0">
      <sharedItems containsSemiMixedTypes="0" containsString="0" containsNumber="1" containsInteger="1" minValue="0" maxValue="2284"/>
    </cacheField>
    <cacheField name="CantidadProd" numFmtId="0">
      <sharedItems containsSemiMixedTypes="0" containsString="0" containsNumber="1" containsInteger="1" minValue="1" maxValue="5000"/>
    </cacheField>
    <cacheField name="SinImpuesto" numFmtId="0">
      <sharedItems containsSemiMixedTypes="0" containsString="0" containsNumber="1" minValue="0" maxValue="13520.66"/>
    </cacheField>
    <cacheField name="TipoGastoID" numFmtId="0">
      <sharedItems containsSemiMixedTypes="0" containsString="0" containsNumber="1" containsInteger="1" minValue="2" maxValue="5"/>
    </cacheField>
    <cacheField name="Total" numFmtId="0">
      <sharedItems containsSemiMixedTypes="0" containsString="0" containsNumber="1" minValue="0" maxValue="15954.38"/>
    </cacheField>
    <cacheField name="PercentDist" numFmtId="0">
      <sharedItems containsSemiMixedTypes="0" containsString="0" containsNumber="1" containsInteger="1" minValue="100" maxValue="100"/>
    </cacheField>
    <cacheField name="FacturaDetalleID" numFmtId="0">
      <sharedItems containsSemiMixedTypes="0" containsString="0" containsNumber="1" containsInteger="1" minValue="28152" maxValue="31114"/>
    </cacheField>
    <cacheField name="Impuesto" numFmtId="0">
      <sharedItems containsSemiMixedTypes="0" containsString="0" containsNumber="1" minValue="0" maxValue="2433.7199999999998"/>
    </cacheField>
    <cacheField name="EstadoFacturaID" numFmtId="0">
      <sharedItems containsSemiMixedTypes="0" containsString="0" containsNumber="1" containsInteger="1" minValue="1" maxValue="3"/>
    </cacheField>
    <cacheField name="DistribucionID" numFmtId="0">
      <sharedItems containsSemiMixedTypes="0" containsString="0" containsNumber="1" containsInteger="1" minValue="0" maxValue="0"/>
    </cacheField>
    <cacheField name="FacturaID" numFmtId="0">
      <sharedItems/>
    </cacheField>
    <cacheField name="CuentaID" numFmtId="0">
      <sharedItems containsSemiMixedTypes="0" containsString="0" containsNumber="1" containsInteger="1" minValue="877" maxValue="6962"/>
    </cacheField>
    <cacheField name="valor_unitario" numFmtId="0">
      <sharedItems containsSemiMixedTypes="0" containsString="0" containsNumber="1" minValue="0" maxValue="9657.44"/>
    </cacheField>
    <cacheField name="precio_unitario" numFmtId="0">
      <sharedItems containsSemiMixedTypes="0" containsString="0" containsNumber="1" minValue="0" maxValue="11395.78"/>
    </cacheField>
    <cacheField name="descuento" numFmtId="0">
      <sharedItems containsSemiMixedTypes="0" containsString="0" containsNumber="1" containsInteger="1" minValue="0" maxValue="0"/>
    </cacheField>
    <cacheField name="porcentaje_igv" numFmtId="0">
      <sharedItems containsSemiMixedTypes="0" containsString="0" containsNumber="1" minValue="0" maxValue="18.239999999999998"/>
    </cacheField>
    <cacheField name="moneda" numFmtId="0">
      <sharedItems containsSemiMixedTypes="0" containsString="0" containsNumber="1" containsInteger="1" minValue="1" maxValue="2"/>
    </cacheField>
    <cacheField name="tipo_cambio" numFmtId="0">
      <sharedItems containsSemiMixedTypes="0" containsString="0" containsNumber="1" minValue="1" maxValue="3.4889999999999999"/>
    </cacheField>
    <cacheField name="nombreEmpresa" numFmtId="0">
      <sharedItems/>
    </cacheField>
    <cacheField name="Fuente" numFmtId="0">
      <sharedItems/>
    </cacheField>
    <cacheField name="FechaCarga" numFmtId="22">
      <sharedItems containsSemiMixedTypes="0" containsNonDate="0" containsDate="1" containsString="0" minDate="2025-10-24T10:25:05" maxDate="2025-10-24T10:26:23"/>
    </cacheField>
    <cacheField name="ProveedorID" numFmtId="0">
      <sharedItems containsSemiMixedTypes="0" containsString="0" containsNumber="1" containsInteger="1" minValue="384" maxValue="6473"/>
    </cacheField>
    <cacheField name="factura" numFmtId="0">
      <sharedItems count="75">
        <s v="FXP/2025/10/0116"/>
        <s v="FXP/2025/10/0113"/>
        <s v="FXP/2025/10/0096"/>
        <s v="FXP/2025/10/0095"/>
        <s v="FXP/2025/10/0097"/>
        <s v="FXP/2025/10/0084"/>
        <s v="FXP/2025/10/0072"/>
        <s v="FXP/2025/09/0006"/>
        <s v="FXP/2025/10/0059"/>
        <s v="FXP/2025/10/0058"/>
        <s v="FXP/2025/10/0057"/>
        <s v="FXP/2025/10/0054"/>
        <s v="FXP/2025/10/0053"/>
        <s v="F S108-00389525"/>
        <s v="FXP/2025/09/0049"/>
        <s v="FXP/2025/09/0034"/>
        <s v="FXP/2025/09/0004"/>
        <s v="FXP/2025/09/0047"/>
        <s v="F E001-00000527"/>
        <s v="F E001-00000526"/>
        <s v="F F001-00009446"/>
        <s v="F E001-00000049"/>
        <s v="F F002-00032725"/>
        <s v="F F004-01101419"/>
        <e v="#N/A"/>
        <s v="F F004-00025461"/>
        <s v="F E001-00001195"/>
        <s v="F E001-00000557"/>
        <s v="F E001-00003801"/>
        <s v="F E001-00000270"/>
        <s v="F F101-00013907"/>
        <s v="F F052-01567501"/>
        <s v="R E001 17"/>
        <s v="R E001 73"/>
        <s v="R E001 16"/>
        <s v="F F002-00031139"/>
        <s v="F F001-00024304"/>
        <s v="F F001-00024303"/>
        <s v="F E001-00000055"/>
        <s v="F E001-00000495"/>
        <s v="F E001-00000494"/>
        <s v="F E001-00000037"/>
        <s v="F E001-00000050"/>
        <s v="F F002-00031007"/>
        <s v="R E001 15"/>
        <s v="F F001-00008887"/>
        <s v="R 10412704113"/>
        <s v="R E001-22"/>
        <s v="F E001-00000027"/>
        <s v="F E001-00000354"/>
        <s v="F E001-00000141"/>
        <s v="F E001-00000036"/>
        <s v="F E001-00000492"/>
        <s v="F E001-00000035"/>
        <s v="F F001 - 00007417"/>
        <s v="F E001-00001288"/>
        <s v="R E001 - 115"/>
        <s v="F FX02-00343038"/>
        <s v="F E001-00000250"/>
        <s v="F E001-00000249"/>
        <s v="F F001 - 000 1167"/>
        <s v="R S108-84224 N-BV-04145"/>
        <s v="F F001-00024068"/>
        <s v="F F052-01536673"/>
        <s v="F E001-00000029"/>
        <s v="F F001-00008823"/>
        <s v="F E001-00000033"/>
        <s v="F E001-00001285"/>
        <s v="R E001-13"/>
        <s v="F E001-00000032"/>
        <s v="R E001-18"/>
        <s v="F E001-00000031"/>
        <s v="F E001-00000242"/>
        <s v="F E001-00000247"/>
        <s v="F E001-0000005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6">
  <r>
    <n v="2"/>
    <n v="20251013"/>
    <n v="20251013"/>
    <m/>
    <n v="1956"/>
    <n v="1"/>
    <n v="450"/>
    <n v="2"/>
    <n v="531"/>
    <n v="100"/>
    <n v="31114"/>
    <n v="81"/>
    <n v="1"/>
    <n v="0"/>
    <s v="F002-00001584"/>
    <n v="6740"/>
    <n v="450"/>
    <n v="531"/>
    <n v="0"/>
    <n v="18"/>
    <n v="1"/>
    <n v="1"/>
    <s v="COLABORATIVA S.A.C."/>
    <s v="Odoo"/>
    <d v="2025-10-24T10:25:05"/>
    <n v="565"/>
    <x v="0"/>
  </r>
  <r>
    <n v="3"/>
    <n v="20251012"/>
    <n v="20251012"/>
    <m/>
    <n v="2029"/>
    <n v="1"/>
    <n v="3550"/>
    <n v="2"/>
    <n v="3550"/>
    <n v="100"/>
    <n v="31041"/>
    <n v="0"/>
    <n v="1"/>
    <n v="0"/>
    <s v="E001-00000005"/>
    <n v="6723"/>
    <n v="3550"/>
    <n v="3550"/>
    <n v="0"/>
    <n v="0"/>
    <n v="1"/>
    <n v="1"/>
    <s v="COLABORATIVA S.A.C."/>
    <s v="Odoo"/>
    <d v="2025-10-24T10:25:05"/>
    <n v="6473"/>
    <x v="1"/>
  </r>
  <r>
    <n v="13"/>
    <n v="20251008"/>
    <n v="20251008"/>
    <m/>
    <n v="2026"/>
    <n v="1"/>
    <n v="84.75"/>
    <n v="5"/>
    <n v="100.01"/>
    <n v="100"/>
    <n v="30926"/>
    <n v="15.26"/>
    <n v="1"/>
    <n v="0"/>
    <s v="E001-00000493"/>
    <n v="877"/>
    <n v="84.75"/>
    <n v="100.01"/>
    <n v="0"/>
    <n v="18.010000000000002"/>
    <n v="1"/>
    <n v="1"/>
    <s v="COLABORATIVA S.A.C."/>
    <s v="Odoo"/>
    <d v="2025-10-24T10:25:06"/>
    <n v="1579"/>
    <x v="2"/>
  </r>
  <r>
    <n v="14"/>
    <n v="20251008"/>
    <n v="20251008"/>
    <m/>
    <n v="2026"/>
    <n v="1"/>
    <n v="25.42"/>
    <n v="2"/>
    <n v="30"/>
    <n v="100"/>
    <n v="30927"/>
    <n v="4.58"/>
    <n v="1"/>
    <n v="0"/>
    <s v="E001-00000493"/>
    <n v="877"/>
    <n v="25.42"/>
    <n v="30"/>
    <n v="0"/>
    <n v="18.02"/>
    <n v="1"/>
    <n v="1"/>
    <s v="COLABORATIVA S.A.C."/>
    <s v="Odoo"/>
    <d v="2025-10-24T10:25:06"/>
    <n v="1579"/>
    <x v="2"/>
  </r>
  <r>
    <n v="15"/>
    <n v="20251008"/>
    <n v="20251008"/>
    <m/>
    <n v="2026"/>
    <n v="1"/>
    <n v="186.44"/>
    <n v="5"/>
    <n v="220"/>
    <n v="100"/>
    <n v="30915"/>
    <n v="33.56"/>
    <n v="1"/>
    <n v="0"/>
    <s v="E001-00000492"/>
    <n v="877"/>
    <n v="186.44"/>
    <n v="220"/>
    <n v="0"/>
    <n v="18"/>
    <n v="1"/>
    <n v="1"/>
    <s v="COLABORATIVA S.A.C."/>
    <s v="Odoo"/>
    <d v="2025-10-24T10:25:06"/>
    <n v="1579"/>
    <x v="3"/>
  </r>
  <r>
    <n v="16"/>
    <n v="20251008"/>
    <n v="20251008"/>
    <m/>
    <n v="2026"/>
    <n v="1"/>
    <n v="1.7"/>
    <n v="5"/>
    <n v="2.0099999999999998"/>
    <n v="100"/>
    <n v="30916"/>
    <n v="0.31"/>
    <n v="1"/>
    <n v="0"/>
    <s v="E001-00000492"/>
    <n v="877"/>
    <n v="1.7"/>
    <n v="2.0099999999999998"/>
    <n v="0"/>
    <n v="18.239999999999998"/>
    <n v="1"/>
    <n v="1"/>
    <s v="COLABORATIVA S.A.C."/>
    <s v="Odoo"/>
    <d v="2025-10-24T10:25:07"/>
    <n v="1579"/>
    <x v="3"/>
  </r>
  <r>
    <n v="17"/>
    <n v="20251008"/>
    <n v="20251008"/>
    <m/>
    <n v="2026"/>
    <n v="1"/>
    <n v="22.03"/>
    <n v="5"/>
    <n v="26"/>
    <n v="100"/>
    <n v="30917"/>
    <n v="3.97"/>
    <n v="1"/>
    <n v="0"/>
    <s v="E001-00000492"/>
    <n v="877"/>
    <n v="22.03"/>
    <n v="26"/>
    <n v="0"/>
    <n v="18.02"/>
    <n v="1"/>
    <n v="1"/>
    <s v="COLABORATIVA S.A.C."/>
    <s v="Odoo"/>
    <d v="2025-10-24T10:25:07"/>
    <n v="1579"/>
    <x v="3"/>
  </r>
  <r>
    <n v="18"/>
    <n v="20251008"/>
    <n v="20251008"/>
    <m/>
    <n v="2026"/>
    <n v="1"/>
    <n v="42.37"/>
    <n v="5"/>
    <n v="50"/>
    <n v="100"/>
    <n v="30918"/>
    <n v="7.63"/>
    <n v="1"/>
    <n v="0"/>
    <s v="E001-00000492"/>
    <n v="877"/>
    <n v="42.37"/>
    <n v="50"/>
    <n v="0"/>
    <n v="18.010000000000002"/>
    <n v="1"/>
    <n v="1"/>
    <s v="COLABORATIVA S.A.C."/>
    <s v="Odoo"/>
    <d v="2025-10-24T10:25:07"/>
    <n v="1579"/>
    <x v="3"/>
  </r>
  <r>
    <n v="19"/>
    <n v="20251008"/>
    <n v="20251008"/>
    <m/>
    <n v="2026"/>
    <n v="1"/>
    <n v="23.73"/>
    <n v="5"/>
    <n v="28"/>
    <n v="100"/>
    <n v="30919"/>
    <n v="4.2699999999999996"/>
    <n v="1"/>
    <n v="0"/>
    <s v="E001-00000492"/>
    <n v="877"/>
    <n v="23.73"/>
    <n v="28"/>
    <n v="0"/>
    <n v="17.989999999999998"/>
    <n v="1"/>
    <n v="1"/>
    <s v="COLABORATIVA S.A.C."/>
    <s v="Odoo"/>
    <d v="2025-10-24T10:25:07"/>
    <n v="1579"/>
    <x v="3"/>
  </r>
  <r>
    <n v="20"/>
    <n v="20251008"/>
    <n v="20251008"/>
    <m/>
    <n v="2026"/>
    <n v="1"/>
    <n v="5.93"/>
    <n v="5"/>
    <n v="7"/>
    <n v="100"/>
    <n v="30920"/>
    <n v="1.07"/>
    <n v="1"/>
    <n v="0"/>
    <s v="E001-00000492"/>
    <n v="877"/>
    <n v="5.93"/>
    <n v="7"/>
    <n v="0"/>
    <n v="18.04"/>
    <n v="1"/>
    <n v="1"/>
    <s v="COLABORATIVA S.A.C."/>
    <s v="Odoo"/>
    <d v="2025-10-24T10:25:07"/>
    <n v="1579"/>
    <x v="3"/>
  </r>
  <r>
    <n v="21"/>
    <n v="20251008"/>
    <n v="20251008"/>
    <m/>
    <n v="2026"/>
    <n v="1"/>
    <n v="50.85"/>
    <n v="5"/>
    <n v="60"/>
    <n v="100"/>
    <n v="30921"/>
    <n v="9.15"/>
    <n v="1"/>
    <n v="0"/>
    <s v="E001-00000492"/>
    <n v="877"/>
    <n v="50.85"/>
    <n v="60"/>
    <n v="0"/>
    <n v="17.989999999999998"/>
    <n v="1"/>
    <n v="1"/>
    <s v="COLABORATIVA S.A.C."/>
    <s v="Odoo"/>
    <d v="2025-10-24T10:25:07"/>
    <n v="1579"/>
    <x v="3"/>
  </r>
  <r>
    <n v="22"/>
    <n v="20251008"/>
    <n v="20251008"/>
    <m/>
    <n v="2026"/>
    <n v="1"/>
    <n v="22.88"/>
    <n v="5"/>
    <n v="27"/>
    <n v="100"/>
    <n v="30922"/>
    <n v="4.12"/>
    <n v="1"/>
    <n v="0"/>
    <s v="E001-00000492"/>
    <n v="877"/>
    <n v="22.88"/>
    <n v="27"/>
    <n v="0"/>
    <n v="18.010000000000002"/>
    <n v="1"/>
    <n v="1"/>
    <s v="COLABORATIVA S.A.C."/>
    <s v="Odoo"/>
    <d v="2025-10-24T10:25:07"/>
    <n v="1579"/>
    <x v="3"/>
  </r>
  <r>
    <n v="23"/>
    <n v="20251008"/>
    <n v="20251008"/>
    <m/>
    <n v="2026"/>
    <n v="1"/>
    <n v="194.92"/>
    <n v="2"/>
    <n v="230.01"/>
    <n v="100"/>
    <n v="30923"/>
    <n v="35.090000000000003"/>
    <n v="1"/>
    <n v="0"/>
    <s v="E001-00000492"/>
    <n v="877"/>
    <n v="194.92"/>
    <n v="230.01"/>
    <n v="0"/>
    <n v="18"/>
    <n v="1"/>
    <n v="1"/>
    <s v="COLABORATIVA S.A.C."/>
    <s v="Odoo"/>
    <d v="2025-10-24T10:25:07"/>
    <n v="1579"/>
    <x v="3"/>
  </r>
  <r>
    <n v="31"/>
    <n v="20251008"/>
    <n v="20251008"/>
    <m/>
    <n v="2258"/>
    <n v="1"/>
    <n v="160"/>
    <n v="2"/>
    <n v="160"/>
    <n v="100"/>
    <n v="30930"/>
    <n v="0"/>
    <n v="1"/>
    <n v="0"/>
    <s v="E001-38"/>
    <n v="877"/>
    <n v="160"/>
    <n v="160"/>
    <n v="0"/>
    <n v="0"/>
    <n v="1"/>
    <n v="1"/>
    <s v="COLABORATIVA S.A.C."/>
    <s v="Odoo"/>
    <d v="2025-10-24T10:25:08"/>
    <n v="1553"/>
    <x v="4"/>
  </r>
  <r>
    <n v="38"/>
    <n v="20251004"/>
    <n v="20251004"/>
    <m/>
    <n v="2258"/>
    <n v="1"/>
    <n v="120"/>
    <n v="2"/>
    <n v="120"/>
    <n v="100"/>
    <n v="30843"/>
    <n v="0"/>
    <n v="1"/>
    <n v="0"/>
    <s v="E001-00000015"/>
    <n v="877"/>
    <n v="120"/>
    <n v="120"/>
    <n v="0"/>
    <n v="0"/>
    <n v="1"/>
    <n v="1"/>
    <s v="COLABORATIVA S.A.C."/>
    <s v="Odoo"/>
    <d v="2025-10-24T10:25:09"/>
    <n v="1430"/>
    <x v="5"/>
  </r>
  <r>
    <n v="67"/>
    <n v="20251001"/>
    <n v="20251001"/>
    <m/>
    <n v="2258"/>
    <n v="1"/>
    <n v="2470"/>
    <n v="2"/>
    <n v="2914.6"/>
    <n v="100"/>
    <n v="30654"/>
    <n v="444.6"/>
    <n v="1"/>
    <n v="0"/>
    <s v="E001-00000122"/>
    <n v="877"/>
    <n v="2470"/>
    <n v="2914.6"/>
    <n v="0"/>
    <n v="18"/>
    <n v="1"/>
    <n v="1"/>
    <s v="COLABORATIVA S.A.C."/>
    <s v="Odoo"/>
    <d v="2025-10-24T10:25:12"/>
    <n v="1389"/>
    <x v="6"/>
  </r>
  <r>
    <n v="90"/>
    <n v="20250923"/>
    <n v="20250923"/>
    <m/>
    <n v="2284"/>
    <n v="12"/>
    <n v="456"/>
    <n v="5"/>
    <n v="538.08000000000004"/>
    <n v="100"/>
    <n v="30466"/>
    <n v="82.08"/>
    <n v="1"/>
    <n v="0"/>
    <s v="E001-00000020"/>
    <n v="6962"/>
    <n v="38"/>
    <n v="44.84"/>
    <n v="0"/>
    <n v="18"/>
    <n v="1"/>
    <n v="1"/>
    <s v="COLABORATIVA S.A.C."/>
    <s v="Odoo"/>
    <d v="2025-10-24T10:25:14"/>
    <n v="5991"/>
    <x v="7"/>
  </r>
  <r>
    <n v="127"/>
    <n v="20250930"/>
    <n v="20250930"/>
    <m/>
    <n v="2025"/>
    <n v="1"/>
    <n v="528.27"/>
    <n v="5"/>
    <n v="623.34"/>
    <n v="100"/>
    <n v="30463"/>
    <n v="95.08"/>
    <n v="1"/>
    <n v="0"/>
    <s v="F090-00187668"/>
    <n v="6796"/>
    <n v="528.27"/>
    <n v="623.34"/>
    <n v="0"/>
    <n v="18"/>
    <n v="2"/>
    <n v="3.4889999999999999"/>
    <s v="COLABORATIVA S.A.C."/>
    <s v="Odoo"/>
    <d v="2025-10-24T10:25:17"/>
    <n v="5880"/>
    <x v="8"/>
  </r>
  <r>
    <n v="128"/>
    <n v="20250930"/>
    <n v="20250930"/>
    <m/>
    <n v="2025"/>
    <n v="1"/>
    <n v="528.03"/>
    <n v="5"/>
    <n v="623.07000000000005"/>
    <n v="100"/>
    <n v="30460"/>
    <n v="95.04"/>
    <n v="1"/>
    <n v="0"/>
    <s v="F090-00187667"/>
    <n v="6796"/>
    <n v="528.03"/>
    <n v="623.07000000000005"/>
    <n v="0"/>
    <n v="18"/>
    <n v="2"/>
    <n v="3.4889999999999999"/>
    <s v="COLABORATIVA S.A.C."/>
    <s v="Odoo"/>
    <d v="2025-10-24T10:25:17"/>
    <n v="5880"/>
    <x v="9"/>
  </r>
  <r>
    <n v="129"/>
    <n v="20250930"/>
    <n v="20250930"/>
    <m/>
    <n v="2025"/>
    <n v="1"/>
    <n v="528.03"/>
    <n v="5"/>
    <n v="623.07000000000005"/>
    <n v="100"/>
    <n v="30457"/>
    <n v="95.04"/>
    <n v="1"/>
    <n v="0"/>
    <s v="F090-00187665"/>
    <n v="6796"/>
    <n v="528.03"/>
    <n v="623.07000000000005"/>
    <n v="0"/>
    <n v="18"/>
    <n v="2"/>
    <n v="3.4889999999999999"/>
    <s v="COLABORATIVA S.A.C."/>
    <s v="Odoo"/>
    <d v="2025-10-24T10:25:17"/>
    <n v="5880"/>
    <x v="10"/>
  </r>
  <r>
    <n v="130"/>
    <n v="20250930"/>
    <n v="20250930"/>
    <m/>
    <n v="2025"/>
    <n v="1"/>
    <n v="528.03"/>
    <n v="5"/>
    <n v="623.07000000000005"/>
    <n v="100"/>
    <n v="30454"/>
    <n v="95.04"/>
    <n v="1"/>
    <n v="0"/>
    <s v="F090-00187666"/>
    <n v="6796"/>
    <n v="528.03"/>
    <n v="623.07000000000005"/>
    <n v="0"/>
    <n v="18"/>
    <n v="2"/>
    <n v="3.4889999999999999"/>
    <s v="COLABORATIVA S.A.C."/>
    <s v="Odoo"/>
    <d v="2025-10-24T10:25:17"/>
    <n v="5880"/>
    <x v="11"/>
  </r>
  <r>
    <n v="134"/>
    <n v="20250930"/>
    <n v="20250930"/>
    <m/>
    <n v="2045"/>
    <n v="34"/>
    <n v="2550"/>
    <n v="5"/>
    <n v="3009"/>
    <n v="100"/>
    <n v="30423"/>
    <n v="459"/>
    <n v="1"/>
    <n v="0"/>
    <s v="F002-00001533"/>
    <n v="6743"/>
    <n v="75"/>
    <n v="88.5"/>
    <n v="0"/>
    <n v="18"/>
    <n v="1"/>
    <n v="1"/>
    <s v="COLABORATIVA S.A.C."/>
    <s v="Odoo"/>
    <d v="2025-10-24T10:25:17"/>
    <n v="565"/>
    <x v="12"/>
  </r>
  <r>
    <n v="142"/>
    <n v="20250911"/>
    <n v="20250911"/>
    <m/>
    <n v="2023"/>
    <n v="1"/>
    <n v="626.19000000000005"/>
    <n v="2"/>
    <n v="738.9"/>
    <n v="100"/>
    <n v="30373"/>
    <n v="112.71"/>
    <n v="1"/>
    <n v="0"/>
    <s v="F S108-00389525"/>
    <n v="877"/>
    <n v="626.19000000000005"/>
    <n v="738.9"/>
    <n v="0"/>
    <n v="18"/>
    <n v="1"/>
    <n v="1"/>
    <s v="COLABORATIVA S.A.C."/>
    <s v="Odoo"/>
    <d v="2025-10-24T10:25:18"/>
    <n v="1450"/>
    <x v="13"/>
  </r>
  <r>
    <n v="149"/>
    <n v="20250929"/>
    <n v="20250929"/>
    <m/>
    <n v="1916"/>
    <n v="1"/>
    <n v="16.95"/>
    <n v="5"/>
    <n v="20"/>
    <n v="100"/>
    <n v="30437"/>
    <n v="3.05"/>
    <n v="1"/>
    <n v="0"/>
    <s v="FI40-00016363"/>
    <n v="6746"/>
    <n v="16.95"/>
    <n v="20"/>
    <n v="0"/>
    <n v="17.989999999999998"/>
    <n v="1"/>
    <n v="1"/>
    <s v="COLABORATIVA S.A.C."/>
    <s v="Odoo"/>
    <d v="2025-10-24T10:25:19"/>
    <n v="2224"/>
    <x v="14"/>
  </r>
  <r>
    <n v="150"/>
    <n v="20250929"/>
    <n v="20250929"/>
    <m/>
    <n v="241"/>
    <n v="4"/>
    <n v="71.19"/>
    <n v="5"/>
    <n v="84"/>
    <n v="100"/>
    <n v="30440"/>
    <n v="12.81"/>
    <n v="1"/>
    <n v="0"/>
    <s v="FI40-00016363"/>
    <n v="6746"/>
    <n v="17.8"/>
    <n v="21"/>
    <n v="0"/>
    <n v="17.989999999999998"/>
    <n v="1"/>
    <n v="1"/>
    <s v="COLABORATIVA S.A.C."/>
    <s v="Odoo"/>
    <d v="2025-10-24T10:25:19"/>
    <n v="2224"/>
    <x v="14"/>
  </r>
  <r>
    <n v="151"/>
    <n v="20250929"/>
    <n v="20250929"/>
    <m/>
    <n v="243"/>
    <n v="2"/>
    <n v="156.78"/>
    <n v="5"/>
    <n v="185"/>
    <n v="100"/>
    <n v="30441"/>
    <n v="28.22"/>
    <n v="1"/>
    <n v="0"/>
    <s v="FI40-00016363"/>
    <n v="6746"/>
    <n v="78.39"/>
    <n v="92.5"/>
    <n v="0"/>
    <n v="18"/>
    <n v="1"/>
    <n v="1"/>
    <s v="COLABORATIVA S.A.C."/>
    <s v="Odoo"/>
    <d v="2025-10-24T10:25:19"/>
    <n v="2224"/>
    <x v="14"/>
  </r>
  <r>
    <n v="152"/>
    <n v="20250929"/>
    <n v="20250929"/>
    <m/>
    <n v="264"/>
    <n v="1"/>
    <n v="51.27"/>
    <n v="5"/>
    <n v="60.5"/>
    <n v="100"/>
    <n v="30442"/>
    <n v="9.23"/>
    <n v="1"/>
    <n v="0"/>
    <s v="FI40-00016363"/>
    <n v="6746"/>
    <n v="51.27"/>
    <n v="60.5"/>
    <n v="0"/>
    <n v="18"/>
    <n v="1"/>
    <n v="1"/>
    <s v="COLABORATIVA S.A.C."/>
    <s v="Odoo"/>
    <d v="2025-10-24T10:25:19"/>
    <n v="2224"/>
    <x v="14"/>
  </r>
  <r>
    <n v="167"/>
    <n v="20250928"/>
    <n v="20250928"/>
    <m/>
    <n v="1994"/>
    <n v="1"/>
    <n v="141.5"/>
    <n v="5"/>
    <n v="141.5"/>
    <n v="100"/>
    <n v="30647"/>
    <n v="0"/>
    <n v="1"/>
    <n v="0"/>
    <s v="F017-00003599"/>
    <n v="6726"/>
    <n v="141.5"/>
    <n v="141.5"/>
    <n v="0"/>
    <n v="0"/>
    <n v="1"/>
    <n v="1"/>
    <s v="COLABORATIVA S.A.C."/>
    <s v="Odoo"/>
    <d v="2025-10-24T10:25:20"/>
    <n v="1417"/>
    <x v="15"/>
  </r>
  <r>
    <n v="194"/>
    <n v="20250923"/>
    <n v="20250923"/>
    <m/>
    <n v="0"/>
    <n v="1"/>
    <n v="0"/>
    <n v="5"/>
    <n v="0"/>
    <n v="100"/>
    <n v="30506"/>
    <n v="0"/>
    <n v="1"/>
    <n v="0"/>
    <s v="F003-00000798"/>
    <n v="6726"/>
    <n v="0"/>
    <n v="0"/>
    <n v="0"/>
    <n v="0"/>
    <n v="1"/>
    <n v="1"/>
    <s v="COLABORATIVA S.A.C."/>
    <s v="Odoo"/>
    <d v="2025-10-24T10:25:23"/>
    <n v="1529"/>
    <x v="16"/>
  </r>
  <r>
    <n v="224"/>
    <n v="20250929"/>
    <n v="20250929"/>
    <m/>
    <n v="244"/>
    <n v="2"/>
    <n v="3355.93"/>
    <n v="5"/>
    <n v="3960"/>
    <n v="100"/>
    <n v="30443"/>
    <n v="604.07000000000005"/>
    <n v="1"/>
    <n v="0"/>
    <s v="FI37-00027698"/>
    <n v="6387"/>
    <n v="1677.97"/>
    <n v="1980"/>
    <n v="0"/>
    <n v="18"/>
    <n v="1"/>
    <n v="1"/>
    <s v="COLABORATIVA S.A.C."/>
    <s v="Odoo"/>
    <d v="2025-10-24T10:25:26"/>
    <n v="2224"/>
    <x v="17"/>
  </r>
  <r>
    <n v="225"/>
    <n v="20250929"/>
    <n v="20250929"/>
    <m/>
    <n v="240"/>
    <n v="2"/>
    <n v="0"/>
    <n v="5"/>
    <n v="0"/>
    <n v="100"/>
    <n v="30444"/>
    <n v="0"/>
    <n v="1"/>
    <n v="0"/>
    <s v="FI37-00027698"/>
    <n v="6387"/>
    <n v="0"/>
    <n v="0"/>
    <n v="0"/>
    <n v="0"/>
    <n v="1"/>
    <n v="1"/>
    <s v="COLABORATIVA S.A.C."/>
    <s v="Odoo"/>
    <d v="2025-10-24T10:25:26"/>
    <n v="2224"/>
    <x v="17"/>
  </r>
  <r>
    <n v="226"/>
    <n v="20250929"/>
    <n v="20250929"/>
    <m/>
    <n v="238"/>
    <n v="1"/>
    <n v="233.98"/>
    <n v="5"/>
    <n v="276.10000000000002"/>
    <n v="100"/>
    <n v="30445"/>
    <n v="42.12"/>
    <n v="1"/>
    <n v="0"/>
    <s v="FI37-00027698"/>
    <n v="6387"/>
    <n v="233.98"/>
    <n v="276.10000000000002"/>
    <n v="0"/>
    <n v="18"/>
    <n v="1"/>
    <n v="1"/>
    <s v="COLABORATIVA S.A.C."/>
    <s v="Odoo"/>
    <d v="2025-10-24T10:25:26"/>
    <n v="2224"/>
    <x v="17"/>
  </r>
  <r>
    <n v="227"/>
    <n v="20250929"/>
    <n v="20250929"/>
    <m/>
    <n v="245"/>
    <n v="1"/>
    <n v="79.239999999999995"/>
    <n v="5"/>
    <n v="93.5"/>
    <n v="100"/>
    <n v="30446"/>
    <n v="14.26"/>
    <n v="1"/>
    <n v="0"/>
    <s v="FI37-00027698"/>
    <n v="6387"/>
    <n v="79.239999999999995"/>
    <n v="93.5"/>
    <n v="0"/>
    <n v="18"/>
    <n v="1"/>
    <n v="1"/>
    <s v="COLABORATIVA S.A.C."/>
    <s v="Odoo"/>
    <d v="2025-10-24T10:25:26"/>
    <n v="2224"/>
    <x v="17"/>
  </r>
  <r>
    <n v="236"/>
    <n v="20250829"/>
    <n v="20250829"/>
    <m/>
    <n v="1830"/>
    <n v="20"/>
    <n v="7489"/>
    <n v="5"/>
    <n v="8837.02"/>
    <n v="100"/>
    <n v="30112"/>
    <n v="1348.02"/>
    <n v="1"/>
    <n v="0"/>
    <s v="F E001-00000527"/>
    <n v="6743"/>
    <n v="374.45"/>
    <n v="441.85"/>
    <n v="0"/>
    <n v="18"/>
    <n v="1"/>
    <n v="1"/>
    <s v="COLABORATIVA S.A.C."/>
    <s v="Odoo"/>
    <d v="2025-10-24T10:25:27"/>
    <n v="384"/>
    <x v="18"/>
  </r>
  <r>
    <n v="237"/>
    <n v="20250829"/>
    <n v="20250829"/>
    <m/>
    <n v="1905"/>
    <n v="10"/>
    <n v="2276.85"/>
    <n v="5"/>
    <n v="2686.68"/>
    <n v="100"/>
    <n v="30113"/>
    <n v="409.83"/>
    <n v="1"/>
    <n v="0"/>
    <s v="F E001-00000527"/>
    <n v="6743"/>
    <n v="227.69"/>
    <n v="268.67"/>
    <n v="0"/>
    <n v="18"/>
    <n v="1"/>
    <n v="1"/>
    <s v="COLABORATIVA S.A.C."/>
    <s v="Odoo"/>
    <d v="2025-10-24T10:25:27"/>
    <n v="384"/>
    <x v="18"/>
  </r>
  <r>
    <n v="238"/>
    <n v="20250829"/>
    <n v="20250829"/>
    <m/>
    <n v="1903"/>
    <n v="3"/>
    <n v="2130.02"/>
    <n v="5"/>
    <n v="2513.42"/>
    <n v="100"/>
    <n v="30107"/>
    <n v="383.4"/>
    <n v="1"/>
    <n v="0"/>
    <s v="F E001-00000526"/>
    <n v="6743"/>
    <n v="710.01"/>
    <n v="837.81"/>
    <n v="0"/>
    <n v="18"/>
    <n v="1"/>
    <n v="1"/>
    <s v="COLABORATIVA S.A.C."/>
    <s v="Odoo"/>
    <d v="2025-10-24T10:25:27"/>
    <n v="384"/>
    <x v="19"/>
  </r>
  <r>
    <n v="239"/>
    <n v="20250829"/>
    <n v="20250829"/>
    <m/>
    <n v="1905"/>
    <n v="86"/>
    <n v="13520.66"/>
    <n v="5"/>
    <n v="15954.38"/>
    <n v="100"/>
    <n v="30108"/>
    <n v="2433.7199999999998"/>
    <n v="1"/>
    <n v="0"/>
    <s v="F E001-00000526"/>
    <n v="6743"/>
    <n v="157.22"/>
    <n v="185.52"/>
    <n v="0"/>
    <n v="18"/>
    <n v="1"/>
    <n v="1"/>
    <s v="COLABORATIVA S.A.C."/>
    <s v="Odoo"/>
    <d v="2025-10-24T10:25:27"/>
    <n v="384"/>
    <x v="19"/>
  </r>
  <r>
    <n v="240"/>
    <n v="20250829"/>
    <n v="20250829"/>
    <m/>
    <n v="1906"/>
    <n v="59"/>
    <n v="5723"/>
    <n v="5"/>
    <n v="6753.14"/>
    <n v="100"/>
    <n v="30109"/>
    <n v="1030.1400000000001"/>
    <n v="1"/>
    <n v="0"/>
    <s v="F E001-00000526"/>
    <n v="6743"/>
    <n v="97"/>
    <n v="114.46"/>
    <n v="0"/>
    <n v="18"/>
    <n v="1"/>
    <n v="1"/>
    <s v="COLABORATIVA S.A.C."/>
    <s v="Odoo"/>
    <d v="2025-10-24T10:25:27"/>
    <n v="384"/>
    <x v="19"/>
  </r>
  <r>
    <n v="242"/>
    <n v="20250828"/>
    <n v="20250828"/>
    <m/>
    <n v="223"/>
    <n v="5000"/>
    <n v="1355.93"/>
    <n v="5"/>
    <n v="1600"/>
    <n v="100"/>
    <n v="30157"/>
    <n v="244.07"/>
    <n v="1"/>
    <n v="0"/>
    <s v="F F001-00009446"/>
    <n v="877"/>
    <n v="0.27"/>
    <n v="0.32"/>
    <n v="0"/>
    <n v="18"/>
    <n v="1"/>
    <n v="1"/>
    <s v="COLABORATIVA S.A.C."/>
    <s v="Odoo"/>
    <d v="2025-10-24T10:25:27"/>
    <n v="1400"/>
    <x v="20"/>
  </r>
  <r>
    <n v="243"/>
    <n v="20250828"/>
    <n v="20250828"/>
    <m/>
    <n v="223"/>
    <n v="5000"/>
    <n v="1355.93"/>
    <n v="5"/>
    <n v="1600"/>
    <n v="100"/>
    <n v="30158"/>
    <n v="244.07"/>
    <n v="1"/>
    <n v="0"/>
    <s v="F F001-00009446"/>
    <n v="877"/>
    <n v="0.27"/>
    <n v="0.32"/>
    <n v="0"/>
    <n v="18"/>
    <n v="1"/>
    <n v="1"/>
    <s v="COLABORATIVA S.A.C."/>
    <s v="Odoo"/>
    <d v="2025-10-24T10:25:28"/>
    <n v="1400"/>
    <x v="20"/>
  </r>
  <r>
    <n v="244"/>
    <n v="20250828"/>
    <n v="20250828"/>
    <m/>
    <n v="1895"/>
    <n v="1500"/>
    <n v="232.63"/>
    <n v="5"/>
    <n v="274.5"/>
    <n v="100"/>
    <n v="30159"/>
    <n v="41.87"/>
    <n v="1"/>
    <n v="0"/>
    <s v="F F001-00009446"/>
    <n v="877"/>
    <n v="0.16"/>
    <n v="0.18"/>
    <n v="0"/>
    <n v="18"/>
    <n v="1"/>
    <n v="1"/>
    <s v="COLABORATIVA S.A.C."/>
    <s v="Odoo"/>
    <d v="2025-10-24T10:25:28"/>
    <n v="1400"/>
    <x v="20"/>
  </r>
  <r>
    <n v="245"/>
    <n v="20250828"/>
    <n v="20250828"/>
    <m/>
    <n v="1895"/>
    <n v="1000"/>
    <n v="155.08000000000001"/>
    <n v="5"/>
    <n v="183"/>
    <n v="100"/>
    <n v="30160"/>
    <n v="27.92"/>
    <n v="1"/>
    <n v="0"/>
    <s v="F F001-00009446"/>
    <n v="877"/>
    <n v="0.16"/>
    <n v="0.18"/>
    <n v="0"/>
    <n v="18"/>
    <n v="1"/>
    <n v="1"/>
    <s v="COLABORATIVA S.A.C."/>
    <s v="Odoo"/>
    <d v="2025-10-24T10:25:28"/>
    <n v="1400"/>
    <x v="20"/>
  </r>
  <r>
    <n v="246"/>
    <n v="20250828"/>
    <n v="20250828"/>
    <m/>
    <n v="1895"/>
    <n v="500"/>
    <n v="77.540000000000006"/>
    <n v="5"/>
    <n v="91.5"/>
    <n v="100"/>
    <n v="30161"/>
    <n v="13.96"/>
    <n v="1"/>
    <n v="0"/>
    <s v="F F001-00009446"/>
    <n v="877"/>
    <n v="0.16"/>
    <n v="0.18"/>
    <n v="0"/>
    <n v="18"/>
    <n v="1"/>
    <n v="1"/>
    <s v="COLABORATIVA S.A.C."/>
    <s v="Odoo"/>
    <d v="2025-10-24T10:25:28"/>
    <n v="1400"/>
    <x v="20"/>
  </r>
  <r>
    <n v="247"/>
    <n v="20250828"/>
    <n v="20250828"/>
    <m/>
    <n v="1895"/>
    <n v="500"/>
    <n v="77.540000000000006"/>
    <n v="5"/>
    <n v="91.5"/>
    <n v="100"/>
    <n v="30162"/>
    <n v="13.96"/>
    <n v="1"/>
    <n v="0"/>
    <s v="F F001-00009446"/>
    <n v="877"/>
    <n v="0.16"/>
    <n v="0.18"/>
    <n v="0"/>
    <n v="18"/>
    <n v="1"/>
    <n v="1"/>
    <s v="COLABORATIVA S.A.C."/>
    <s v="Odoo"/>
    <d v="2025-10-24T10:25:28"/>
    <n v="1400"/>
    <x v="20"/>
  </r>
  <r>
    <n v="248"/>
    <n v="20250828"/>
    <n v="20250828"/>
    <m/>
    <n v="1895"/>
    <n v="500"/>
    <n v="77.540000000000006"/>
    <n v="5"/>
    <n v="91.5"/>
    <n v="100"/>
    <n v="30163"/>
    <n v="13.96"/>
    <n v="1"/>
    <n v="0"/>
    <s v="F F001-00009446"/>
    <n v="877"/>
    <n v="0.16"/>
    <n v="0.18"/>
    <n v="0"/>
    <n v="18"/>
    <n v="1"/>
    <n v="1"/>
    <s v="COLABORATIVA S.A.C."/>
    <s v="Odoo"/>
    <d v="2025-10-24T10:25:28"/>
    <n v="1400"/>
    <x v="20"/>
  </r>
  <r>
    <n v="249"/>
    <n v="20250828"/>
    <n v="20250828"/>
    <m/>
    <n v="1895"/>
    <n v="500"/>
    <n v="77.540000000000006"/>
    <n v="5"/>
    <n v="91.5"/>
    <n v="100"/>
    <n v="30164"/>
    <n v="13.96"/>
    <n v="1"/>
    <n v="0"/>
    <s v="F F001-00009446"/>
    <n v="877"/>
    <n v="0.16"/>
    <n v="0.18"/>
    <n v="0"/>
    <n v="18"/>
    <n v="1"/>
    <n v="1"/>
    <s v="COLABORATIVA S.A.C."/>
    <s v="Odoo"/>
    <d v="2025-10-24T10:25:28"/>
    <n v="1400"/>
    <x v="20"/>
  </r>
  <r>
    <n v="250"/>
    <n v="20250828"/>
    <n v="20250828"/>
    <m/>
    <n v="1895"/>
    <n v="500"/>
    <n v="77.540000000000006"/>
    <n v="5"/>
    <n v="91.5"/>
    <n v="100"/>
    <n v="30165"/>
    <n v="13.96"/>
    <n v="1"/>
    <n v="0"/>
    <s v="F F001-00009446"/>
    <n v="877"/>
    <n v="0.16"/>
    <n v="0.18"/>
    <n v="0"/>
    <n v="18"/>
    <n v="1"/>
    <n v="1"/>
    <s v="COLABORATIVA S.A.C."/>
    <s v="Odoo"/>
    <d v="2025-10-24T10:25:28"/>
    <n v="1400"/>
    <x v="20"/>
  </r>
  <r>
    <n v="251"/>
    <n v="20250828"/>
    <n v="20250828"/>
    <m/>
    <n v="1895"/>
    <n v="1000"/>
    <n v="153.38999999999999"/>
    <n v="5"/>
    <n v="181"/>
    <n v="100"/>
    <n v="30166"/>
    <n v="27.61"/>
    <n v="1"/>
    <n v="0"/>
    <s v="F F001-00009446"/>
    <n v="877"/>
    <n v="0.15"/>
    <n v="0.18"/>
    <n v="0"/>
    <n v="18"/>
    <n v="1"/>
    <n v="1"/>
    <s v="COLABORATIVA S.A.C."/>
    <s v="Odoo"/>
    <d v="2025-10-24T10:25:28"/>
    <n v="1400"/>
    <x v="20"/>
  </r>
  <r>
    <n v="252"/>
    <n v="20250828"/>
    <n v="20250828"/>
    <m/>
    <n v="223"/>
    <n v="1000"/>
    <n v="271.19"/>
    <n v="5"/>
    <n v="320"/>
    <n v="100"/>
    <n v="30167"/>
    <n v="48.81"/>
    <n v="1"/>
    <n v="0"/>
    <s v="F F001-00009446"/>
    <n v="877"/>
    <n v="0.27"/>
    <n v="0.32"/>
    <n v="0"/>
    <n v="18"/>
    <n v="1"/>
    <n v="1"/>
    <s v="COLABORATIVA S.A.C."/>
    <s v="Odoo"/>
    <d v="2025-10-24T10:25:28"/>
    <n v="1400"/>
    <x v="20"/>
  </r>
  <r>
    <n v="253"/>
    <n v="20250828"/>
    <n v="20250828"/>
    <m/>
    <n v="223"/>
    <n v="1000"/>
    <n v="271.19"/>
    <n v="5"/>
    <n v="320"/>
    <n v="100"/>
    <n v="30168"/>
    <n v="48.81"/>
    <n v="1"/>
    <n v="0"/>
    <s v="F F001-00009446"/>
    <n v="877"/>
    <n v="0.27"/>
    <n v="0.32"/>
    <n v="0"/>
    <n v="18"/>
    <n v="1"/>
    <n v="1"/>
    <s v="COLABORATIVA S.A.C."/>
    <s v="Odoo"/>
    <d v="2025-10-24T10:25:28"/>
    <n v="1400"/>
    <x v="20"/>
  </r>
  <r>
    <n v="254"/>
    <n v="20250828"/>
    <n v="20250828"/>
    <m/>
    <n v="1895"/>
    <n v="1500"/>
    <n v="232.63"/>
    <n v="5"/>
    <n v="274.5"/>
    <n v="100"/>
    <n v="30169"/>
    <n v="41.87"/>
    <n v="1"/>
    <n v="0"/>
    <s v="F F001-00009446"/>
    <n v="877"/>
    <n v="0.16"/>
    <n v="0.18"/>
    <n v="0"/>
    <n v="18"/>
    <n v="1"/>
    <n v="1"/>
    <s v="COLABORATIVA S.A.C."/>
    <s v="Odoo"/>
    <d v="2025-10-24T10:25:28"/>
    <n v="1400"/>
    <x v="20"/>
  </r>
  <r>
    <n v="255"/>
    <n v="20250828"/>
    <n v="20250828"/>
    <m/>
    <n v="1895"/>
    <n v="1500"/>
    <n v="232.63"/>
    <n v="5"/>
    <n v="274.5"/>
    <n v="100"/>
    <n v="30170"/>
    <n v="41.87"/>
    <n v="1"/>
    <n v="0"/>
    <s v="F F001-00009446"/>
    <n v="877"/>
    <n v="0.16"/>
    <n v="0.18"/>
    <n v="0"/>
    <n v="18"/>
    <n v="1"/>
    <n v="1"/>
    <s v="COLABORATIVA S.A.C."/>
    <s v="Odoo"/>
    <d v="2025-10-24T10:25:28"/>
    <n v="1400"/>
    <x v="20"/>
  </r>
  <r>
    <n v="256"/>
    <n v="20250828"/>
    <n v="20250828"/>
    <m/>
    <n v="223"/>
    <n v="350"/>
    <n v="94.92"/>
    <n v="5"/>
    <n v="112"/>
    <n v="100"/>
    <n v="30171"/>
    <n v="17.079999999999998"/>
    <n v="1"/>
    <n v="0"/>
    <s v="F F001-00009446"/>
    <n v="877"/>
    <n v="0.27"/>
    <n v="0.32"/>
    <n v="0"/>
    <n v="17.989999999999998"/>
    <n v="1"/>
    <n v="1"/>
    <s v="COLABORATIVA S.A.C."/>
    <s v="Odoo"/>
    <d v="2025-10-24T10:25:29"/>
    <n v="1400"/>
    <x v="20"/>
  </r>
  <r>
    <n v="257"/>
    <n v="20250828"/>
    <n v="20250828"/>
    <m/>
    <n v="223"/>
    <n v="350"/>
    <n v="94.92"/>
    <n v="5"/>
    <n v="112"/>
    <n v="100"/>
    <n v="30172"/>
    <n v="17.079999999999998"/>
    <n v="1"/>
    <n v="0"/>
    <s v="F F001-00009446"/>
    <n v="877"/>
    <n v="0.27"/>
    <n v="0.32"/>
    <n v="0"/>
    <n v="17.989999999999998"/>
    <n v="1"/>
    <n v="1"/>
    <s v="COLABORATIVA S.A.C."/>
    <s v="Odoo"/>
    <d v="2025-10-24T10:25:29"/>
    <n v="1400"/>
    <x v="20"/>
  </r>
  <r>
    <n v="258"/>
    <n v="20250828"/>
    <n v="20250828"/>
    <m/>
    <n v="223"/>
    <n v="300"/>
    <n v="81.36"/>
    <n v="5"/>
    <n v="96"/>
    <n v="100"/>
    <n v="30173"/>
    <n v="14.64"/>
    <n v="1"/>
    <n v="0"/>
    <s v="F F001-00009446"/>
    <n v="877"/>
    <n v="0.27"/>
    <n v="0.32"/>
    <n v="0"/>
    <n v="17.989999999999998"/>
    <n v="1"/>
    <n v="1"/>
    <s v="COLABORATIVA S.A.C."/>
    <s v="Odoo"/>
    <d v="2025-10-24T10:25:29"/>
    <n v="1400"/>
    <x v="20"/>
  </r>
  <r>
    <n v="259"/>
    <n v="20250828"/>
    <n v="20250828"/>
    <m/>
    <n v="1895"/>
    <n v="500"/>
    <n v="84.75"/>
    <n v="5"/>
    <n v="100"/>
    <n v="100"/>
    <n v="30174"/>
    <n v="15.25"/>
    <n v="1"/>
    <n v="0"/>
    <s v="F F001-00009446"/>
    <n v="877"/>
    <n v="0.17"/>
    <n v="0.2"/>
    <n v="0"/>
    <n v="17.989999999999998"/>
    <n v="1"/>
    <n v="1"/>
    <s v="COLABORATIVA S.A.C."/>
    <s v="Odoo"/>
    <d v="2025-10-24T10:25:29"/>
    <n v="1400"/>
    <x v="20"/>
  </r>
  <r>
    <n v="260"/>
    <n v="20250828"/>
    <n v="20250828"/>
    <m/>
    <n v="1895"/>
    <n v="500"/>
    <n v="88.98"/>
    <n v="5"/>
    <n v="105"/>
    <n v="100"/>
    <n v="30175"/>
    <n v="16.02"/>
    <n v="1"/>
    <n v="0"/>
    <s v="F F001-00009446"/>
    <n v="877"/>
    <n v="0.18"/>
    <n v="0.21"/>
    <n v="0"/>
    <n v="18"/>
    <n v="1"/>
    <n v="1"/>
    <s v="COLABORATIVA S.A.C."/>
    <s v="Odoo"/>
    <d v="2025-10-24T10:25:29"/>
    <n v="1400"/>
    <x v="20"/>
  </r>
  <r>
    <n v="261"/>
    <n v="20250828"/>
    <n v="20250828"/>
    <m/>
    <n v="223"/>
    <n v="1000"/>
    <n v="271.19"/>
    <n v="5"/>
    <n v="320"/>
    <n v="100"/>
    <n v="30176"/>
    <n v="48.81"/>
    <n v="1"/>
    <n v="0"/>
    <s v="F F001-00009446"/>
    <n v="877"/>
    <n v="0.27"/>
    <n v="0.32"/>
    <n v="0"/>
    <n v="18"/>
    <n v="1"/>
    <n v="1"/>
    <s v="COLABORATIVA S.A.C."/>
    <s v="Odoo"/>
    <d v="2025-10-24T10:25:29"/>
    <n v="1400"/>
    <x v="20"/>
  </r>
  <r>
    <n v="263"/>
    <n v="20250828"/>
    <n v="20250828"/>
    <m/>
    <n v="2026"/>
    <n v="1"/>
    <n v="75"/>
    <n v="2"/>
    <n v="88.5"/>
    <n v="100"/>
    <n v="30096"/>
    <n v="13.5"/>
    <n v="1"/>
    <n v="0"/>
    <s v="F E001-00000049"/>
    <n v="6742"/>
    <n v="75"/>
    <n v="88.5"/>
    <n v="0"/>
    <n v="18"/>
    <n v="1"/>
    <n v="1"/>
    <s v="COLABORATIVA S.A.C."/>
    <s v="Odoo"/>
    <d v="2025-10-24T10:25:29"/>
    <n v="4858"/>
    <x v="21"/>
  </r>
  <r>
    <n v="264"/>
    <n v="20250828"/>
    <n v="20250828"/>
    <m/>
    <n v="2026"/>
    <n v="1"/>
    <n v="75"/>
    <n v="5"/>
    <n v="88.5"/>
    <n v="100"/>
    <n v="30097"/>
    <n v="13.5"/>
    <n v="1"/>
    <n v="0"/>
    <s v="F E001-00000049"/>
    <n v="6742"/>
    <n v="75"/>
    <n v="88.5"/>
    <n v="0"/>
    <n v="18"/>
    <n v="1"/>
    <n v="1"/>
    <s v="COLABORATIVA S.A.C."/>
    <s v="Odoo"/>
    <d v="2025-10-24T10:25:29"/>
    <n v="4858"/>
    <x v="21"/>
  </r>
  <r>
    <n v="272"/>
    <n v="20250824"/>
    <n v="20250824"/>
    <m/>
    <n v="1895"/>
    <n v="5000"/>
    <n v="805.08"/>
    <n v="5"/>
    <n v="950"/>
    <n v="100"/>
    <n v="30179"/>
    <n v="144.91999999999999"/>
    <n v="1"/>
    <n v="0"/>
    <s v="F F002-00032725"/>
    <n v="877"/>
    <n v="0.16"/>
    <n v="0.19"/>
    <n v="0"/>
    <n v="18"/>
    <n v="1"/>
    <n v="1"/>
    <s v="COLABORATIVA S.A.C."/>
    <s v="Odoo"/>
    <d v="2025-10-24T10:25:30"/>
    <n v="1555"/>
    <x v="22"/>
  </r>
  <r>
    <n v="273"/>
    <n v="20250824"/>
    <n v="20250824"/>
    <m/>
    <n v="1895"/>
    <n v="5000"/>
    <n v="805.08"/>
    <n v="5"/>
    <n v="950"/>
    <n v="100"/>
    <n v="30180"/>
    <n v="144.91999999999999"/>
    <n v="1"/>
    <n v="0"/>
    <s v="F F002-00032725"/>
    <n v="877"/>
    <n v="0.16"/>
    <n v="0.19"/>
    <n v="0"/>
    <n v="18"/>
    <n v="1"/>
    <n v="1"/>
    <s v="COLABORATIVA S.A.C."/>
    <s v="Odoo"/>
    <d v="2025-10-24T10:25:30"/>
    <n v="1555"/>
    <x v="22"/>
  </r>
  <r>
    <n v="274"/>
    <n v="20250824"/>
    <n v="20250824"/>
    <m/>
    <n v="1895"/>
    <n v="5000"/>
    <n v="805.08"/>
    <n v="5"/>
    <n v="950"/>
    <n v="100"/>
    <n v="30181"/>
    <n v="144.91999999999999"/>
    <n v="1"/>
    <n v="0"/>
    <s v="F F002-00032725"/>
    <n v="877"/>
    <n v="0.16"/>
    <n v="0.19"/>
    <n v="0"/>
    <n v="18"/>
    <n v="1"/>
    <n v="1"/>
    <s v="COLABORATIVA S.A.C."/>
    <s v="Odoo"/>
    <d v="2025-10-24T10:25:30"/>
    <n v="1555"/>
    <x v="22"/>
  </r>
  <r>
    <n v="275"/>
    <n v="20250824"/>
    <n v="20250824"/>
    <m/>
    <n v="1895"/>
    <n v="5000"/>
    <n v="805.08"/>
    <n v="5"/>
    <n v="950"/>
    <n v="100"/>
    <n v="30182"/>
    <n v="144.91999999999999"/>
    <n v="1"/>
    <n v="0"/>
    <s v="F F002-00032725"/>
    <n v="877"/>
    <n v="0.16"/>
    <n v="0.19"/>
    <n v="0"/>
    <n v="18"/>
    <n v="1"/>
    <n v="1"/>
    <s v="COLABORATIVA S.A.C."/>
    <s v="Odoo"/>
    <d v="2025-10-24T10:25:31"/>
    <n v="1555"/>
    <x v="22"/>
  </r>
  <r>
    <n v="276"/>
    <n v="20250824"/>
    <n v="20250824"/>
    <m/>
    <n v="1895"/>
    <n v="5000"/>
    <n v="805.08"/>
    <n v="5"/>
    <n v="950"/>
    <n v="100"/>
    <n v="30183"/>
    <n v="144.91999999999999"/>
    <n v="1"/>
    <n v="0"/>
    <s v="F F002-00032725"/>
    <n v="877"/>
    <n v="0.16"/>
    <n v="0.19"/>
    <n v="0"/>
    <n v="18"/>
    <n v="1"/>
    <n v="1"/>
    <s v="COLABORATIVA S.A.C."/>
    <s v="Odoo"/>
    <d v="2025-10-24T10:25:31"/>
    <n v="1555"/>
    <x v="22"/>
  </r>
  <r>
    <n v="277"/>
    <n v="20250824"/>
    <n v="20250824"/>
    <m/>
    <n v="1895"/>
    <n v="5000"/>
    <n v="805.08"/>
    <n v="5"/>
    <n v="950"/>
    <n v="100"/>
    <n v="30184"/>
    <n v="144.91999999999999"/>
    <n v="1"/>
    <n v="0"/>
    <s v="F F002-00032725"/>
    <n v="877"/>
    <n v="0.16"/>
    <n v="0.19"/>
    <n v="0"/>
    <n v="18"/>
    <n v="1"/>
    <n v="1"/>
    <s v="COLABORATIVA S.A.C."/>
    <s v="Odoo"/>
    <d v="2025-10-24T10:25:31"/>
    <n v="1555"/>
    <x v="22"/>
  </r>
  <r>
    <n v="278"/>
    <n v="20250824"/>
    <n v="20250824"/>
    <m/>
    <n v="1895"/>
    <n v="5000"/>
    <n v="805.08"/>
    <n v="5"/>
    <n v="950"/>
    <n v="100"/>
    <n v="30185"/>
    <n v="144.91999999999999"/>
    <n v="1"/>
    <n v="0"/>
    <s v="F F002-00032725"/>
    <n v="877"/>
    <n v="0.16"/>
    <n v="0.19"/>
    <n v="0"/>
    <n v="18"/>
    <n v="1"/>
    <n v="1"/>
    <s v="COLABORATIVA S.A.C."/>
    <s v="Odoo"/>
    <d v="2025-10-24T10:25:31"/>
    <n v="1555"/>
    <x v="22"/>
  </r>
  <r>
    <n v="279"/>
    <n v="20250824"/>
    <n v="20250824"/>
    <m/>
    <n v="1895"/>
    <n v="5000"/>
    <n v="805.08"/>
    <n v="5"/>
    <n v="950"/>
    <n v="100"/>
    <n v="30186"/>
    <n v="144.91999999999999"/>
    <n v="1"/>
    <n v="0"/>
    <s v="F F002-00032725"/>
    <n v="877"/>
    <n v="0.16"/>
    <n v="0.19"/>
    <n v="0"/>
    <n v="18"/>
    <n v="1"/>
    <n v="1"/>
    <s v="COLABORATIVA S.A.C."/>
    <s v="Odoo"/>
    <d v="2025-10-24T10:25:31"/>
    <n v="1555"/>
    <x v="22"/>
  </r>
  <r>
    <n v="280"/>
    <n v="20250824"/>
    <n v="20250824"/>
    <m/>
    <n v="1895"/>
    <n v="5000"/>
    <n v="805.08"/>
    <n v="5"/>
    <n v="950"/>
    <n v="100"/>
    <n v="30187"/>
    <n v="144.91999999999999"/>
    <n v="1"/>
    <n v="0"/>
    <s v="F F002-00032725"/>
    <n v="877"/>
    <n v="0.16"/>
    <n v="0.19"/>
    <n v="0"/>
    <n v="18"/>
    <n v="1"/>
    <n v="1"/>
    <s v="COLABORATIVA S.A.C."/>
    <s v="Odoo"/>
    <d v="2025-10-24T10:25:31"/>
    <n v="1555"/>
    <x v="22"/>
  </r>
  <r>
    <n v="281"/>
    <n v="20250824"/>
    <n v="20250824"/>
    <m/>
    <n v="1895"/>
    <n v="5000"/>
    <n v="805.08"/>
    <n v="5"/>
    <n v="950"/>
    <n v="100"/>
    <n v="30188"/>
    <n v="144.91999999999999"/>
    <n v="1"/>
    <n v="0"/>
    <s v="F F002-00032725"/>
    <n v="877"/>
    <n v="0.16"/>
    <n v="0.19"/>
    <n v="0"/>
    <n v="18"/>
    <n v="1"/>
    <n v="1"/>
    <s v="COLABORATIVA S.A.C."/>
    <s v="Odoo"/>
    <d v="2025-10-24T10:25:31"/>
    <n v="1555"/>
    <x v="22"/>
  </r>
  <r>
    <n v="282"/>
    <n v="20250824"/>
    <n v="20250824"/>
    <m/>
    <n v="1895"/>
    <n v="5000"/>
    <n v="805.08"/>
    <n v="5"/>
    <n v="950"/>
    <n v="100"/>
    <n v="30189"/>
    <n v="144.91999999999999"/>
    <n v="1"/>
    <n v="0"/>
    <s v="F F002-00032725"/>
    <n v="877"/>
    <n v="0.16"/>
    <n v="0.19"/>
    <n v="0"/>
    <n v="18"/>
    <n v="1"/>
    <n v="1"/>
    <s v="COLABORATIVA S.A.C."/>
    <s v="Odoo"/>
    <d v="2025-10-24T10:25:31"/>
    <n v="1555"/>
    <x v="22"/>
  </r>
  <r>
    <n v="310"/>
    <n v="20250818"/>
    <n v="20250818"/>
    <m/>
    <n v="1918"/>
    <n v="34"/>
    <n v="331.5"/>
    <n v="4"/>
    <n v="391.17"/>
    <n v="100"/>
    <n v="29908"/>
    <n v="59.67"/>
    <n v="1"/>
    <n v="0"/>
    <s v="F F004-01101419"/>
    <n v="6676"/>
    <n v="9.75"/>
    <n v="11.51"/>
    <n v="0"/>
    <n v="18"/>
    <n v="1"/>
    <n v="1"/>
    <s v="COLABORATIVA S.A.C."/>
    <s v="Odoo"/>
    <d v="2025-10-24T10:25:34"/>
    <n v="2742"/>
    <x v="23"/>
  </r>
  <r>
    <n v="311"/>
    <n v="20250818"/>
    <n v="20250818"/>
    <m/>
    <n v="1918"/>
    <n v="2"/>
    <n v="14.58"/>
    <n v="4"/>
    <n v="17.2"/>
    <n v="100"/>
    <n v="29909"/>
    <n v="2.62"/>
    <n v="1"/>
    <n v="0"/>
    <s v="F F004-01101419"/>
    <n v="6676"/>
    <n v="7.29"/>
    <n v="8.6"/>
    <n v="0"/>
    <n v="17.97"/>
    <n v="1"/>
    <n v="1"/>
    <s v="COLABORATIVA S.A.C."/>
    <s v="Odoo"/>
    <d v="2025-10-24T10:25:34"/>
    <n v="2742"/>
    <x v="23"/>
  </r>
  <r>
    <n v="312"/>
    <n v="20250818"/>
    <n v="20250818"/>
    <m/>
    <n v="1918"/>
    <n v="2"/>
    <n v="20.02"/>
    <n v="4"/>
    <n v="23.62"/>
    <n v="100"/>
    <n v="29910"/>
    <n v="3.6"/>
    <n v="1"/>
    <n v="0"/>
    <s v="F F004-01101419"/>
    <n v="6676"/>
    <n v="10.01"/>
    <n v="11.81"/>
    <n v="0"/>
    <n v="17.98"/>
    <n v="1"/>
    <n v="1"/>
    <s v="COLABORATIVA S.A.C."/>
    <s v="Odoo"/>
    <d v="2025-10-24T10:25:34"/>
    <n v="2742"/>
    <x v="23"/>
  </r>
  <r>
    <n v="318"/>
    <n v="20250817"/>
    <n v="20250817"/>
    <m/>
    <n v="1895"/>
    <n v="1000"/>
    <n v="155.08000000000001"/>
    <n v="5"/>
    <n v="183"/>
    <n v="100"/>
    <n v="29796"/>
    <n v="27.92"/>
    <n v="1"/>
    <n v="0"/>
    <s v="F N° F001-00009370"/>
    <n v="877"/>
    <n v="0.16"/>
    <n v="0.18"/>
    <n v="0"/>
    <n v="18"/>
    <n v="1"/>
    <n v="1"/>
    <s v="COLABORATIVA S.A.C."/>
    <s v="Odoo"/>
    <d v="2025-10-24T10:25:34"/>
    <n v="1400"/>
    <x v="24"/>
  </r>
  <r>
    <n v="319"/>
    <n v="20250817"/>
    <n v="20250817"/>
    <m/>
    <n v="1895"/>
    <n v="1000"/>
    <n v="155.08000000000001"/>
    <n v="5"/>
    <n v="183"/>
    <n v="100"/>
    <n v="29797"/>
    <n v="27.92"/>
    <n v="1"/>
    <n v="0"/>
    <s v="F N° F001-00009370"/>
    <n v="877"/>
    <n v="0.16"/>
    <n v="0.18"/>
    <n v="0"/>
    <n v="18"/>
    <n v="1"/>
    <n v="1"/>
    <s v="COLABORATIVA S.A.C."/>
    <s v="Odoo"/>
    <d v="2025-10-24T10:25:35"/>
    <n v="1400"/>
    <x v="24"/>
  </r>
  <r>
    <n v="320"/>
    <n v="20250817"/>
    <n v="20250817"/>
    <m/>
    <n v="1895"/>
    <n v="1000"/>
    <n v="155.08000000000001"/>
    <n v="5"/>
    <n v="183"/>
    <n v="100"/>
    <n v="29798"/>
    <n v="27.92"/>
    <n v="1"/>
    <n v="0"/>
    <s v="F N° F001-00009370"/>
    <n v="877"/>
    <n v="0.16"/>
    <n v="0.18"/>
    <n v="0"/>
    <n v="18"/>
    <n v="1"/>
    <n v="1"/>
    <s v="COLABORATIVA S.A.C."/>
    <s v="Odoo"/>
    <d v="2025-10-24T10:25:35"/>
    <n v="1400"/>
    <x v="24"/>
  </r>
  <r>
    <n v="321"/>
    <n v="20250817"/>
    <n v="20250817"/>
    <m/>
    <n v="1895"/>
    <n v="1800"/>
    <n v="155.59"/>
    <n v="5"/>
    <n v="183.6"/>
    <n v="100"/>
    <n v="29799"/>
    <n v="28.01"/>
    <n v="1"/>
    <n v="0"/>
    <s v="F N° F001-00009370"/>
    <n v="877"/>
    <n v="0.09"/>
    <n v="0.1"/>
    <n v="0"/>
    <n v="18"/>
    <n v="1"/>
    <n v="1"/>
    <s v="COLABORATIVA S.A.C."/>
    <s v="Odoo"/>
    <d v="2025-10-24T10:25:35"/>
    <n v="1400"/>
    <x v="24"/>
  </r>
  <r>
    <n v="322"/>
    <n v="20250817"/>
    <n v="20250817"/>
    <m/>
    <n v="1895"/>
    <n v="200"/>
    <n v="155.08000000000001"/>
    <n v="5"/>
    <n v="183"/>
    <n v="100"/>
    <n v="29800"/>
    <n v="27.92"/>
    <n v="1"/>
    <n v="0"/>
    <s v="F N° F001-00009370"/>
    <n v="877"/>
    <n v="0.78"/>
    <n v="0.92"/>
    <n v="0"/>
    <n v="18"/>
    <n v="1"/>
    <n v="1"/>
    <s v="COLABORATIVA S.A.C."/>
    <s v="Odoo"/>
    <d v="2025-10-24T10:25:35"/>
    <n v="1400"/>
    <x v="24"/>
  </r>
  <r>
    <n v="323"/>
    <n v="20250817"/>
    <n v="20250817"/>
    <m/>
    <n v="1895"/>
    <n v="2000"/>
    <n v="310.17"/>
    <n v="5"/>
    <n v="366"/>
    <n v="100"/>
    <n v="29801"/>
    <n v="55.83"/>
    <n v="1"/>
    <n v="0"/>
    <s v="F N° F001-00009370"/>
    <n v="877"/>
    <n v="0.16"/>
    <n v="0.18"/>
    <n v="0"/>
    <n v="18"/>
    <n v="1"/>
    <n v="1"/>
    <s v="COLABORATIVA S.A.C."/>
    <s v="Odoo"/>
    <d v="2025-10-24T10:25:35"/>
    <n v="1400"/>
    <x v="24"/>
  </r>
  <r>
    <n v="324"/>
    <n v="20250817"/>
    <n v="20250817"/>
    <m/>
    <n v="1895"/>
    <n v="1400"/>
    <n v="106.78"/>
    <n v="5"/>
    <n v="126"/>
    <n v="100"/>
    <n v="29802"/>
    <n v="19.22"/>
    <n v="1"/>
    <n v="0"/>
    <s v="F N° F001-00009370"/>
    <n v="877"/>
    <n v="0.08"/>
    <n v="0.09"/>
    <n v="0"/>
    <n v="18"/>
    <n v="1"/>
    <n v="1"/>
    <s v="COLABORATIVA S.A.C."/>
    <s v="Odoo"/>
    <d v="2025-10-24T10:25:35"/>
    <n v="1400"/>
    <x v="24"/>
  </r>
  <r>
    <n v="325"/>
    <n v="20250817"/>
    <n v="20250817"/>
    <m/>
    <n v="1895"/>
    <n v="100"/>
    <n v="105.17"/>
    <n v="5"/>
    <n v="124.1"/>
    <n v="100"/>
    <n v="29803"/>
    <n v="18.93"/>
    <n v="1"/>
    <n v="0"/>
    <s v="F N° F001-00009370"/>
    <n v="877"/>
    <n v="1.05"/>
    <n v="1.24"/>
    <n v="0"/>
    <n v="18"/>
    <n v="1"/>
    <n v="1"/>
    <s v="COLABORATIVA S.A.C."/>
    <s v="Odoo"/>
    <d v="2025-10-24T10:25:35"/>
    <n v="1400"/>
    <x v="24"/>
  </r>
  <r>
    <n v="326"/>
    <n v="20250817"/>
    <n v="20250817"/>
    <m/>
    <n v="1895"/>
    <n v="500"/>
    <n v="105.93"/>
    <n v="5"/>
    <n v="125"/>
    <n v="100"/>
    <n v="29804"/>
    <n v="19.07"/>
    <n v="1"/>
    <n v="0"/>
    <s v="F N° F001-00009370"/>
    <n v="877"/>
    <n v="0.21"/>
    <n v="0.25"/>
    <n v="0"/>
    <n v="18"/>
    <n v="1"/>
    <n v="1"/>
    <s v="COLABORATIVA S.A.C."/>
    <s v="Odoo"/>
    <d v="2025-10-24T10:25:35"/>
    <n v="1400"/>
    <x v="24"/>
  </r>
  <r>
    <n v="327"/>
    <n v="20250817"/>
    <n v="20250817"/>
    <m/>
    <n v="1895"/>
    <n v="1000"/>
    <n v="155.08000000000001"/>
    <n v="5"/>
    <n v="183"/>
    <n v="100"/>
    <n v="29805"/>
    <n v="27.92"/>
    <n v="1"/>
    <n v="0"/>
    <s v="F N° F001-00009370"/>
    <n v="877"/>
    <n v="0.16"/>
    <n v="0.18"/>
    <n v="0"/>
    <n v="18"/>
    <n v="1"/>
    <n v="1"/>
    <s v="COLABORATIVA S.A.C."/>
    <s v="Odoo"/>
    <d v="2025-10-24T10:25:35"/>
    <n v="1400"/>
    <x v="24"/>
  </r>
  <r>
    <n v="328"/>
    <n v="20250817"/>
    <n v="20250817"/>
    <m/>
    <n v="1895"/>
    <n v="2000"/>
    <n v="155.93"/>
    <n v="5"/>
    <n v="184"/>
    <n v="100"/>
    <n v="29806"/>
    <n v="28.07"/>
    <n v="1"/>
    <n v="0"/>
    <s v="F N° F001-00009370"/>
    <n v="877"/>
    <n v="0.08"/>
    <n v="0.09"/>
    <n v="0"/>
    <n v="18"/>
    <n v="1"/>
    <n v="1"/>
    <s v="COLABORATIVA S.A.C."/>
    <s v="Odoo"/>
    <d v="2025-10-24T10:25:35"/>
    <n v="1400"/>
    <x v="24"/>
  </r>
  <r>
    <n v="329"/>
    <n v="20250817"/>
    <n v="20250817"/>
    <m/>
    <n v="1895"/>
    <n v="500"/>
    <n v="155.08000000000001"/>
    <n v="5"/>
    <n v="183"/>
    <n v="100"/>
    <n v="29807"/>
    <n v="27.92"/>
    <n v="1"/>
    <n v="0"/>
    <s v="F N° F001-00009370"/>
    <n v="877"/>
    <n v="0.31"/>
    <n v="0.37"/>
    <n v="0"/>
    <n v="18"/>
    <n v="1"/>
    <n v="1"/>
    <s v="COLABORATIVA S.A.C."/>
    <s v="Odoo"/>
    <d v="2025-10-24T10:25:35"/>
    <n v="1400"/>
    <x v="24"/>
  </r>
  <r>
    <n v="330"/>
    <n v="20250817"/>
    <n v="20250817"/>
    <m/>
    <n v="1895"/>
    <n v="500"/>
    <n v="155.08000000000001"/>
    <n v="5"/>
    <n v="183"/>
    <n v="100"/>
    <n v="29808"/>
    <n v="27.92"/>
    <n v="1"/>
    <n v="0"/>
    <s v="F N° F001-00009370"/>
    <n v="877"/>
    <n v="0.31"/>
    <n v="0.37"/>
    <n v="0"/>
    <n v="18"/>
    <n v="1"/>
    <n v="1"/>
    <s v="COLABORATIVA S.A.C."/>
    <s v="Odoo"/>
    <d v="2025-10-24T10:25:35"/>
    <n v="1400"/>
    <x v="24"/>
  </r>
  <r>
    <n v="331"/>
    <n v="20250817"/>
    <n v="20250817"/>
    <m/>
    <n v="1895"/>
    <n v="500"/>
    <n v="81.36"/>
    <n v="5"/>
    <n v="96"/>
    <n v="100"/>
    <n v="29809"/>
    <n v="14.64"/>
    <n v="1"/>
    <n v="0"/>
    <s v="F N° F001-00009370"/>
    <n v="877"/>
    <n v="0.16"/>
    <n v="0.19"/>
    <n v="0"/>
    <n v="17.989999999999998"/>
    <n v="1"/>
    <n v="1"/>
    <s v="COLABORATIVA S.A.C."/>
    <s v="Odoo"/>
    <d v="2025-10-24T10:25:36"/>
    <n v="1400"/>
    <x v="24"/>
  </r>
  <r>
    <n v="332"/>
    <n v="20250817"/>
    <n v="20250817"/>
    <m/>
    <n v="1895"/>
    <n v="700"/>
    <n v="82.46"/>
    <n v="5"/>
    <n v="97.3"/>
    <n v="100"/>
    <n v="29810"/>
    <n v="14.84"/>
    <n v="1"/>
    <n v="0"/>
    <s v="F N° F001-00009370"/>
    <n v="877"/>
    <n v="0.12"/>
    <n v="0.14000000000000001"/>
    <n v="0"/>
    <n v="18"/>
    <n v="1"/>
    <n v="1"/>
    <s v="COLABORATIVA S.A.C."/>
    <s v="Odoo"/>
    <d v="2025-10-24T10:25:36"/>
    <n v="1400"/>
    <x v="24"/>
  </r>
  <r>
    <n v="333"/>
    <n v="20250817"/>
    <n v="20250817"/>
    <m/>
    <n v="1895"/>
    <n v="300"/>
    <n v="81.36"/>
    <n v="5"/>
    <n v="96"/>
    <n v="100"/>
    <n v="29811"/>
    <n v="14.64"/>
    <n v="1"/>
    <n v="0"/>
    <s v="F N° F001-00009370"/>
    <n v="877"/>
    <n v="0.27"/>
    <n v="0.32"/>
    <n v="0"/>
    <n v="17.989999999999998"/>
    <n v="1"/>
    <n v="1"/>
    <s v="COLABORATIVA S.A.C."/>
    <s v="Odoo"/>
    <d v="2025-10-24T10:25:36"/>
    <n v="1400"/>
    <x v="24"/>
  </r>
  <r>
    <n v="334"/>
    <n v="20250817"/>
    <n v="20250817"/>
    <m/>
    <n v="1895"/>
    <n v="500"/>
    <n v="81.36"/>
    <n v="5"/>
    <n v="96"/>
    <n v="100"/>
    <n v="29812"/>
    <n v="14.64"/>
    <n v="1"/>
    <n v="0"/>
    <s v="F N° F001-00009370"/>
    <n v="877"/>
    <n v="0.16"/>
    <n v="0.19"/>
    <n v="0"/>
    <n v="17.989999999999998"/>
    <n v="1"/>
    <n v="1"/>
    <s v="COLABORATIVA S.A.C."/>
    <s v="Odoo"/>
    <d v="2025-10-24T10:25:36"/>
    <n v="1400"/>
    <x v="24"/>
  </r>
  <r>
    <n v="335"/>
    <n v="20250817"/>
    <n v="20250817"/>
    <m/>
    <n v="223"/>
    <n v="1000"/>
    <n v="271.19"/>
    <n v="5"/>
    <n v="320"/>
    <n v="100"/>
    <n v="29813"/>
    <n v="48.81"/>
    <n v="1"/>
    <n v="0"/>
    <s v="F N° F001-00009370"/>
    <n v="877"/>
    <n v="0.27"/>
    <n v="0.32"/>
    <n v="0"/>
    <n v="18"/>
    <n v="1"/>
    <n v="1"/>
    <s v="COLABORATIVA S.A.C."/>
    <s v="Odoo"/>
    <d v="2025-10-24T10:25:36"/>
    <n v="1400"/>
    <x v="24"/>
  </r>
  <r>
    <n v="336"/>
    <n v="20250817"/>
    <n v="20250817"/>
    <m/>
    <n v="223"/>
    <n v="1000"/>
    <n v="271.19"/>
    <n v="5"/>
    <n v="320"/>
    <n v="100"/>
    <n v="29814"/>
    <n v="48.81"/>
    <n v="1"/>
    <n v="0"/>
    <s v="F N° F001-00009370"/>
    <n v="877"/>
    <n v="0.27"/>
    <n v="0.32"/>
    <n v="0"/>
    <n v="18"/>
    <n v="1"/>
    <n v="1"/>
    <s v="COLABORATIVA S.A.C."/>
    <s v="Odoo"/>
    <d v="2025-10-24T10:25:36"/>
    <n v="1400"/>
    <x v="24"/>
  </r>
  <r>
    <n v="470"/>
    <n v="20250717"/>
    <n v="20250717"/>
    <m/>
    <n v="1987"/>
    <n v="5"/>
    <n v="36.020000000000003"/>
    <n v="5"/>
    <n v="42.5"/>
    <n v="100"/>
    <n v="29445"/>
    <n v="6.48"/>
    <n v="1"/>
    <n v="0"/>
    <s v="F F004-00025461"/>
    <n v="877"/>
    <n v="7.2"/>
    <n v="8.5"/>
    <n v="0"/>
    <n v="17.989999999999998"/>
    <n v="1"/>
    <n v="1"/>
    <s v="COLABORATIVA S.A.C."/>
    <s v="Odoo"/>
    <d v="2025-10-24T10:25:48"/>
    <n v="1578"/>
    <x v="25"/>
  </r>
  <r>
    <n v="471"/>
    <n v="20250717"/>
    <n v="20250717"/>
    <m/>
    <n v="1987"/>
    <n v="3"/>
    <n v="33.049999999999997"/>
    <n v="5"/>
    <n v="39"/>
    <n v="100"/>
    <n v="29446"/>
    <n v="5.95"/>
    <n v="1"/>
    <n v="0"/>
    <s v="F F004-00025461"/>
    <n v="877"/>
    <n v="11.02"/>
    <n v="13"/>
    <n v="0"/>
    <n v="18"/>
    <n v="1"/>
    <n v="1"/>
    <s v="COLABORATIVA S.A.C."/>
    <s v="Odoo"/>
    <d v="2025-10-24T10:25:48"/>
    <n v="1578"/>
    <x v="25"/>
  </r>
  <r>
    <n v="472"/>
    <n v="20250717"/>
    <n v="20250717"/>
    <m/>
    <n v="1988"/>
    <n v="1"/>
    <n v="6.78"/>
    <n v="5"/>
    <n v="8"/>
    <n v="100"/>
    <n v="29447"/>
    <n v="1.22"/>
    <n v="1"/>
    <n v="0"/>
    <s v="F F004-00025461"/>
    <n v="877"/>
    <n v="6.78"/>
    <n v="8"/>
    <n v="0"/>
    <n v="17.989999999999998"/>
    <n v="1"/>
    <n v="1"/>
    <s v="COLABORATIVA S.A.C."/>
    <s v="Odoo"/>
    <d v="2025-10-24T10:25:48"/>
    <n v="1578"/>
    <x v="25"/>
  </r>
  <r>
    <n v="492"/>
    <n v="20250713"/>
    <n v="20250713"/>
    <m/>
    <n v="1964"/>
    <n v="1"/>
    <n v="127.12"/>
    <n v="5"/>
    <n v="150"/>
    <n v="100"/>
    <n v="29361"/>
    <n v="22.88"/>
    <n v="1"/>
    <n v="0"/>
    <s v="F E001-00001195"/>
    <n v="6742"/>
    <n v="127.12"/>
    <n v="150"/>
    <n v="0"/>
    <n v="18"/>
    <n v="1"/>
    <n v="1"/>
    <s v="COLABORATIVA S.A.C."/>
    <s v="Odoo"/>
    <d v="2025-10-24T10:25:50"/>
    <n v="2452"/>
    <x v="26"/>
  </r>
  <r>
    <n v="493"/>
    <n v="20250713"/>
    <n v="20250713"/>
    <m/>
    <n v="1964"/>
    <n v="1"/>
    <n v="84.75"/>
    <n v="5"/>
    <n v="100.01"/>
    <n v="100"/>
    <n v="29362"/>
    <n v="15.26"/>
    <n v="1"/>
    <n v="0"/>
    <s v="F E001-00001195"/>
    <n v="6742"/>
    <n v="84.75"/>
    <n v="100.01"/>
    <n v="0"/>
    <n v="18.010000000000002"/>
    <n v="1"/>
    <n v="1"/>
    <s v="COLABORATIVA S.A.C."/>
    <s v="Odoo"/>
    <d v="2025-10-24T10:25:50"/>
    <n v="2452"/>
    <x v="26"/>
  </r>
  <r>
    <n v="537"/>
    <n v="20250706"/>
    <n v="20250706"/>
    <m/>
    <n v="283"/>
    <n v="1"/>
    <n v="2667"/>
    <n v="2"/>
    <n v="3147.06"/>
    <n v="100"/>
    <n v="29282"/>
    <n v="480.06"/>
    <n v="2"/>
    <n v="0"/>
    <s v="F E001-00000557"/>
    <n v="6743"/>
    <n v="2667"/>
    <n v="3147.06"/>
    <n v="0"/>
    <n v="18"/>
    <n v="1"/>
    <n v="1"/>
    <s v="COLABORATIVA S.A.C."/>
    <s v="Odoo"/>
    <d v="2025-10-24T10:25:55"/>
    <n v="1404"/>
    <x v="27"/>
  </r>
  <r>
    <n v="546"/>
    <n v="20250702"/>
    <n v="20250702"/>
    <m/>
    <n v="1941"/>
    <n v="6"/>
    <n v="29.64"/>
    <n v="5"/>
    <n v="34.979999999999997"/>
    <n v="100"/>
    <n v="29240"/>
    <n v="5.34"/>
    <n v="1"/>
    <n v="0"/>
    <s v="F E001-00003801"/>
    <n v="6803"/>
    <n v="4.9400000000000004"/>
    <n v="5.83"/>
    <n v="0"/>
    <n v="18.02"/>
    <n v="1"/>
    <n v="1"/>
    <s v="COLABORATIVA S.A.C."/>
    <s v="Odoo"/>
    <d v="2025-10-24T10:25:55"/>
    <n v="2111"/>
    <x v="28"/>
  </r>
  <r>
    <n v="547"/>
    <n v="20250702"/>
    <n v="20250702"/>
    <m/>
    <n v="1942"/>
    <n v="2"/>
    <n v="14.72"/>
    <n v="5"/>
    <n v="17.37"/>
    <n v="100"/>
    <n v="29241"/>
    <n v="2.65"/>
    <n v="1"/>
    <n v="0"/>
    <s v="F E001-00003801"/>
    <n v="6803"/>
    <n v="7.36"/>
    <n v="8.69"/>
    <n v="0"/>
    <n v="18"/>
    <n v="1"/>
    <n v="1"/>
    <s v="COLABORATIVA S.A.C."/>
    <s v="Odoo"/>
    <d v="2025-10-24T10:25:55"/>
    <n v="2111"/>
    <x v="28"/>
  </r>
  <r>
    <n v="548"/>
    <n v="20250702"/>
    <n v="20250702"/>
    <m/>
    <n v="1943"/>
    <n v="2"/>
    <n v="6"/>
    <n v="5"/>
    <n v="7.08"/>
    <n v="100"/>
    <n v="29242"/>
    <n v="1.08"/>
    <n v="1"/>
    <n v="0"/>
    <s v="F E001-00003801"/>
    <n v="6803"/>
    <n v="3"/>
    <n v="3.54"/>
    <n v="0"/>
    <n v="18"/>
    <n v="1"/>
    <n v="1"/>
    <s v="COLABORATIVA S.A.C."/>
    <s v="Odoo"/>
    <d v="2025-10-24T10:25:56"/>
    <n v="2111"/>
    <x v="28"/>
  </r>
  <r>
    <n v="549"/>
    <n v="20250702"/>
    <n v="20250702"/>
    <m/>
    <n v="1944"/>
    <n v="1"/>
    <n v="20.29"/>
    <n v="5"/>
    <n v="23.94"/>
    <n v="100"/>
    <n v="29243"/>
    <n v="3.65"/>
    <n v="1"/>
    <n v="0"/>
    <s v="F E001-00003801"/>
    <n v="6803"/>
    <n v="20.29"/>
    <n v="23.94"/>
    <n v="0"/>
    <n v="17.989999999999998"/>
    <n v="1"/>
    <n v="1"/>
    <s v="COLABORATIVA S.A.C."/>
    <s v="Odoo"/>
    <d v="2025-10-24T10:25:56"/>
    <n v="2111"/>
    <x v="28"/>
  </r>
  <r>
    <n v="550"/>
    <n v="20250702"/>
    <n v="20250702"/>
    <m/>
    <n v="1945"/>
    <n v="2"/>
    <n v="15"/>
    <n v="5"/>
    <n v="17.7"/>
    <n v="100"/>
    <n v="29244"/>
    <n v="2.7"/>
    <n v="1"/>
    <n v="0"/>
    <s v="F E001-00003801"/>
    <n v="6803"/>
    <n v="7.5"/>
    <n v="8.85"/>
    <n v="0"/>
    <n v="18"/>
    <n v="1"/>
    <n v="1"/>
    <s v="COLABORATIVA S.A.C."/>
    <s v="Odoo"/>
    <d v="2025-10-24T10:25:56"/>
    <n v="2111"/>
    <x v="28"/>
  </r>
  <r>
    <n v="551"/>
    <n v="20250702"/>
    <n v="20250702"/>
    <m/>
    <n v="1946"/>
    <n v="2"/>
    <n v="20.12"/>
    <n v="5"/>
    <n v="23.74"/>
    <n v="100"/>
    <n v="29245"/>
    <n v="3.62"/>
    <n v="1"/>
    <n v="0"/>
    <s v="F E001-00003801"/>
    <n v="6803"/>
    <n v="10.06"/>
    <n v="11.87"/>
    <n v="0"/>
    <n v="17.989999999999998"/>
    <n v="1"/>
    <n v="1"/>
    <s v="COLABORATIVA S.A.C."/>
    <s v="Odoo"/>
    <d v="2025-10-24T10:25:56"/>
    <n v="2111"/>
    <x v="28"/>
  </r>
  <r>
    <n v="552"/>
    <n v="20250702"/>
    <n v="20250702"/>
    <m/>
    <n v="1947"/>
    <n v="1"/>
    <n v="11.65"/>
    <n v="5"/>
    <n v="13.75"/>
    <n v="100"/>
    <n v="29246"/>
    <n v="2.1"/>
    <n v="1"/>
    <n v="0"/>
    <s v="F E001-00003801"/>
    <n v="6803"/>
    <n v="11.65"/>
    <n v="13.75"/>
    <n v="0"/>
    <n v="18.03"/>
    <n v="1"/>
    <n v="1"/>
    <s v="COLABORATIVA S.A.C."/>
    <s v="Odoo"/>
    <d v="2025-10-24T10:25:56"/>
    <n v="2111"/>
    <x v="28"/>
  </r>
  <r>
    <n v="553"/>
    <n v="20250702"/>
    <n v="20250702"/>
    <m/>
    <n v="1948"/>
    <n v="1"/>
    <n v="2"/>
    <n v="5"/>
    <n v="2.36"/>
    <n v="100"/>
    <n v="29247"/>
    <n v="0.36"/>
    <n v="1"/>
    <n v="0"/>
    <s v="F E001-00003801"/>
    <n v="6803"/>
    <n v="2"/>
    <n v="2.36"/>
    <n v="0"/>
    <n v="18"/>
    <n v="1"/>
    <n v="1"/>
    <s v="COLABORATIVA S.A.C."/>
    <s v="Odoo"/>
    <d v="2025-10-24T10:25:56"/>
    <n v="2111"/>
    <x v="28"/>
  </r>
  <r>
    <n v="554"/>
    <n v="20250702"/>
    <n v="20250702"/>
    <m/>
    <n v="1950"/>
    <n v="4"/>
    <n v="17.36"/>
    <n v="5"/>
    <n v="20.48"/>
    <n v="100"/>
    <n v="29248"/>
    <n v="3.12"/>
    <n v="1"/>
    <n v="0"/>
    <s v="F E001-00003801"/>
    <n v="6803"/>
    <n v="4.34"/>
    <n v="5.12"/>
    <n v="0"/>
    <n v="17.97"/>
    <n v="1"/>
    <n v="1"/>
    <s v="COLABORATIVA S.A.C."/>
    <s v="Odoo"/>
    <d v="2025-10-24T10:25:56"/>
    <n v="2111"/>
    <x v="28"/>
  </r>
  <r>
    <n v="555"/>
    <n v="20250702"/>
    <n v="20250702"/>
    <m/>
    <n v="1951"/>
    <n v="1"/>
    <n v="7.25"/>
    <n v="5"/>
    <n v="8.56"/>
    <n v="100"/>
    <n v="29249"/>
    <n v="1.31"/>
    <n v="1"/>
    <n v="0"/>
    <s v="F E001-00003801"/>
    <n v="6803"/>
    <n v="7.25"/>
    <n v="8.56"/>
    <n v="0"/>
    <n v="18.07"/>
    <n v="1"/>
    <n v="1"/>
    <s v="COLABORATIVA S.A.C."/>
    <s v="Odoo"/>
    <d v="2025-10-24T10:25:56"/>
    <n v="2111"/>
    <x v="28"/>
  </r>
  <r>
    <n v="556"/>
    <n v="20250702"/>
    <n v="20250702"/>
    <m/>
    <n v="1946"/>
    <n v="2"/>
    <n v="23.3"/>
    <n v="5"/>
    <n v="27.49"/>
    <n v="100"/>
    <n v="29250"/>
    <n v="4.1900000000000004"/>
    <n v="1"/>
    <n v="0"/>
    <s v="F E001-00003801"/>
    <n v="6803"/>
    <n v="11.65"/>
    <n v="13.75"/>
    <n v="0"/>
    <n v="17.98"/>
    <n v="1"/>
    <n v="1"/>
    <s v="COLABORATIVA S.A.C."/>
    <s v="Odoo"/>
    <d v="2025-10-24T10:25:56"/>
    <n v="2111"/>
    <x v="28"/>
  </r>
  <r>
    <n v="557"/>
    <n v="20250702"/>
    <n v="20250702"/>
    <m/>
    <n v="1946"/>
    <n v="2"/>
    <n v="32.75"/>
    <n v="5"/>
    <n v="38.65"/>
    <n v="100"/>
    <n v="29251"/>
    <n v="5.9"/>
    <n v="1"/>
    <n v="0"/>
    <s v="F E001-00003801"/>
    <n v="6803"/>
    <n v="16.38"/>
    <n v="19.329999999999998"/>
    <n v="0"/>
    <n v="18.02"/>
    <n v="1"/>
    <n v="1"/>
    <s v="COLABORATIVA S.A.C."/>
    <s v="Odoo"/>
    <d v="2025-10-24T10:25:56"/>
    <n v="2111"/>
    <x v="28"/>
  </r>
  <r>
    <n v="558"/>
    <n v="20250702"/>
    <n v="20250702"/>
    <m/>
    <n v="1952"/>
    <n v="2"/>
    <n v="56"/>
    <n v="5"/>
    <n v="66.08"/>
    <n v="100"/>
    <n v="29252"/>
    <n v="10.08"/>
    <n v="1"/>
    <n v="0"/>
    <s v="F E001-00003801"/>
    <n v="6803"/>
    <n v="28"/>
    <n v="33.04"/>
    <n v="0"/>
    <n v="18"/>
    <n v="1"/>
    <n v="1"/>
    <s v="COLABORATIVA S.A.C."/>
    <s v="Odoo"/>
    <d v="2025-10-24T10:25:56"/>
    <n v="2111"/>
    <x v="28"/>
  </r>
  <r>
    <n v="559"/>
    <n v="20250702"/>
    <n v="20250702"/>
    <m/>
    <n v="1941"/>
    <n v="7"/>
    <n v="68.53"/>
    <n v="5"/>
    <n v="80.87"/>
    <n v="100"/>
    <n v="29253"/>
    <n v="12.34"/>
    <n v="1"/>
    <n v="0"/>
    <s v="F E001-00003801"/>
    <n v="6803"/>
    <n v="9.7899999999999991"/>
    <n v="11.55"/>
    <n v="0"/>
    <n v="18.010000000000002"/>
    <n v="1"/>
    <n v="1"/>
    <s v="COLABORATIVA S.A.C."/>
    <s v="Odoo"/>
    <d v="2025-10-24T10:25:57"/>
    <n v="2111"/>
    <x v="28"/>
  </r>
  <r>
    <n v="560"/>
    <n v="20250702"/>
    <n v="20250702"/>
    <m/>
    <n v="1941"/>
    <n v="2"/>
    <n v="40.79"/>
    <n v="5"/>
    <n v="48.13"/>
    <n v="100"/>
    <n v="29254"/>
    <n v="7.34"/>
    <n v="1"/>
    <n v="0"/>
    <s v="F E001-00003801"/>
    <n v="6803"/>
    <n v="20.399999999999999"/>
    <n v="24.07"/>
    <n v="0"/>
    <n v="17.989999999999998"/>
    <n v="1"/>
    <n v="1"/>
    <s v="COLABORATIVA S.A.C."/>
    <s v="Odoo"/>
    <d v="2025-10-24T10:25:57"/>
    <n v="2111"/>
    <x v="28"/>
  </r>
  <r>
    <n v="561"/>
    <n v="20250702"/>
    <n v="20250702"/>
    <m/>
    <n v="1953"/>
    <n v="2"/>
    <n v="58.39"/>
    <n v="5"/>
    <n v="68.900000000000006"/>
    <n v="100"/>
    <n v="29255"/>
    <n v="10.51"/>
    <n v="1"/>
    <n v="0"/>
    <s v="F E001-00003801"/>
    <n v="6803"/>
    <n v="29.2"/>
    <n v="34.450000000000003"/>
    <n v="0"/>
    <n v="18"/>
    <n v="1"/>
    <n v="1"/>
    <s v="COLABORATIVA S.A.C."/>
    <s v="Odoo"/>
    <d v="2025-10-24T10:25:57"/>
    <n v="2111"/>
    <x v="28"/>
  </r>
  <r>
    <n v="562"/>
    <n v="20250702"/>
    <n v="20250702"/>
    <m/>
    <n v="1954"/>
    <n v="1"/>
    <n v="10.9"/>
    <n v="5"/>
    <n v="12.86"/>
    <n v="100"/>
    <n v="29256"/>
    <n v="1.96"/>
    <n v="1"/>
    <n v="0"/>
    <s v="F E001-00003801"/>
    <n v="6803"/>
    <n v="10.9"/>
    <n v="12.86"/>
    <n v="0"/>
    <n v="17.98"/>
    <n v="1"/>
    <n v="1"/>
    <s v="COLABORATIVA S.A.C."/>
    <s v="Odoo"/>
    <d v="2025-10-24T10:25:57"/>
    <n v="2111"/>
    <x v="28"/>
  </r>
  <r>
    <n v="568"/>
    <n v="20250701"/>
    <n v="20250701"/>
    <m/>
    <n v="1931"/>
    <n v="4"/>
    <n v="298.31"/>
    <n v="2"/>
    <n v="352"/>
    <n v="100"/>
    <n v="29188"/>
    <n v="53.69"/>
    <n v="1"/>
    <n v="0"/>
    <s v="F E001-00000270"/>
    <n v="6743"/>
    <n v="74.58"/>
    <n v="88"/>
    <n v="0"/>
    <n v="18"/>
    <n v="1"/>
    <n v="1"/>
    <s v="COLABORATIVA S.A.C."/>
    <s v="Odoo"/>
    <d v="2025-10-24T10:25:57"/>
    <n v="1991"/>
    <x v="29"/>
  </r>
  <r>
    <n v="608"/>
    <n v="20250624"/>
    <n v="20250624"/>
    <m/>
    <n v="1930"/>
    <n v="2"/>
    <n v="355.93"/>
    <n v="5"/>
    <n v="420"/>
    <n v="100"/>
    <n v="29098"/>
    <n v="64.069999999999993"/>
    <n v="1"/>
    <n v="0"/>
    <s v="F F101-00013907"/>
    <n v="877"/>
    <n v="177.97"/>
    <n v="210"/>
    <n v="0"/>
    <n v="18"/>
    <n v="1"/>
    <n v="1"/>
    <s v="COLABORATIVA S.A.C."/>
    <s v="Odoo"/>
    <d v="2025-10-24T10:26:01"/>
    <n v="1974"/>
    <x v="30"/>
  </r>
  <r>
    <n v="645"/>
    <n v="20250610"/>
    <n v="20250610"/>
    <m/>
    <n v="1857"/>
    <n v="1"/>
    <n v="100"/>
    <n v="5"/>
    <n v="118"/>
    <n v="100"/>
    <n v="29059"/>
    <n v="18"/>
    <n v="1"/>
    <n v="0"/>
    <s v="F F052-01567501"/>
    <n v="877"/>
    <n v="100"/>
    <n v="118"/>
    <n v="0"/>
    <n v="18"/>
    <n v="1"/>
    <n v="1"/>
    <s v="COLABORATIVA S.A.C."/>
    <s v="Odoo"/>
    <d v="2025-10-24T10:26:05"/>
    <n v="529"/>
    <x v="31"/>
  </r>
  <r>
    <n v="652"/>
    <n v="20250603"/>
    <n v="20250603"/>
    <m/>
    <n v="1855"/>
    <n v="1"/>
    <n v="500"/>
    <n v="5"/>
    <n v="500"/>
    <n v="100"/>
    <n v="28744"/>
    <n v="0"/>
    <n v="1"/>
    <n v="0"/>
    <s v="RE-00117"/>
    <n v="6743"/>
    <n v="500"/>
    <n v="500"/>
    <n v="0"/>
    <n v="0"/>
    <n v="1"/>
    <n v="1"/>
    <s v="COLABORATIVA S.A.C."/>
    <s v="Odoo"/>
    <d v="2025-10-24T10:26:06"/>
    <n v="1786"/>
    <x v="32"/>
  </r>
  <r>
    <n v="654"/>
    <n v="20250603"/>
    <n v="20250603"/>
    <m/>
    <n v="279"/>
    <n v="1"/>
    <n v="5776.55"/>
    <n v="2"/>
    <n v="5776.55"/>
    <n v="100"/>
    <n v="28728"/>
    <n v="0"/>
    <n v="1"/>
    <n v="0"/>
    <s v="RE-00173"/>
    <n v="877"/>
    <n v="5776.55"/>
    <n v="5776.55"/>
    <n v="0"/>
    <n v="0"/>
    <n v="1"/>
    <n v="1"/>
    <s v="COLABORATIVA S.A.C."/>
    <s v="Odoo"/>
    <d v="2025-10-24T10:26:06"/>
    <n v="1752"/>
    <x v="33"/>
  </r>
  <r>
    <n v="692"/>
    <n v="20250530"/>
    <n v="20250530"/>
    <m/>
    <n v="1855"/>
    <n v="1"/>
    <n v="500"/>
    <n v="5"/>
    <n v="500"/>
    <n v="100"/>
    <n v="28669"/>
    <n v="0"/>
    <n v="1"/>
    <n v="0"/>
    <s v="RE-00116"/>
    <n v="877"/>
    <n v="500"/>
    <n v="500"/>
    <n v="0"/>
    <n v="0"/>
    <n v="1"/>
    <n v="1"/>
    <s v="COLABORATIVA S.A.C."/>
    <s v="Odoo"/>
    <d v="2025-10-24T10:26:09"/>
    <n v="1786"/>
    <x v="34"/>
  </r>
  <r>
    <n v="693"/>
    <n v="20250529"/>
    <n v="20250529"/>
    <m/>
    <n v="219"/>
    <n v="1"/>
    <n v="1000"/>
    <n v="5"/>
    <n v="1180"/>
    <n v="100"/>
    <n v="28666"/>
    <n v="180"/>
    <n v="1"/>
    <n v="0"/>
    <s v="F F002-00031139"/>
    <n v="6328"/>
    <n v="1000"/>
    <n v="1180"/>
    <n v="0"/>
    <n v="18"/>
    <n v="1"/>
    <n v="1"/>
    <s v="COLABORATIVA S.A.C."/>
    <s v="Odoo"/>
    <d v="2025-10-24T10:26:09"/>
    <n v="1555"/>
    <x v="35"/>
  </r>
  <r>
    <n v="698"/>
    <n v="20250529"/>
    <n v="20250529"/>
    <m/>
    <n v="1902"/>
    <n v="60"/>
    <n v="1044"/>
    <n v="5"/>
    <n v="1231.92"/>
    <n v="100"/>
    <n v="28619"/>
    <n v="187.92"/>
    <n v="1"/>
    <n v="0"/>
    <s v="F F001-00024304"/>
    <n v="6962"/>
    <n v="17.399999999999999"/>
    <n v="20.53"/>
    <n v="0"/>
    <n v="18"/>
    <n v="1"/>
    <n v="1"/>
    <s v="COLABORATIVA S.A.C."/>
    <s v="Odoo"/>
    <d v="2025-10-24T10:26:10"/>
    <n v="470"/>
    <x v="36"/>
  </r>
  <r>
    <n v="699"/>
    <n v="20250529"/>
    <n v="20250529"/>
    <m/>
    <n v="1825"/>
    <n v="2"/>
    <n v="128"/>
    <n v="5"/>
    <n v="151.04"/>
    <n v="100"/>
    <n v="28620"/>
    <n v="23.04"/>
    <n v="1"/>
    <n v="0"/>
    <s v="F F001-00024304"/>
    <n v="6962"/>
    <n v="64"/>
    <n v="75.52"/>
    <n v="0"/>
    <n v="18"/>
    <n v="1"/>
    <n v="1"/>
    <s v="COLABORATIVA S.A.C."/>
    <s v="Odoo"/>
    <d v="2025-10-24T10:26:10"/>
    <n v="470"/>
    <x v="36"/>
  </r>
  <r>
    <n v="700"/>
    <n v="20250529"/>
    <n v="20250529"/>
    <m/>
    <n v="1902"/>
    <n v="60"/>
    <n v="1044"/>
    <n v="5"/>
    <n v="1231.92"/>
    <n v="100"/>
    <n v="28615"/>
    <n v="187.92"/>
    <n v="1"/>
    <n v="0"/>
    <s v="F F001-00024303"/>
    <n v="6962"/>
    <n v="17.399999999999999"/>
    <n v="20.53"/>
    <n v="0"/>
    <n v="18"/>
    <n v="1"/>
    <n v="1"/>
    <s v="COLABORATIVA S.A.C."/>
    <s v="Odoo"/>
    <d v="2025-10-24T10:26:10"/>
    <n v="470"/>
    <x v="37"/>
  </r>
  <r>
    <n v="701"/>
    <n v="20250529"/>
    <n v="20250529"/>
    <m/>
    <n v="1825"/>
    <n v="2"/>
    <n v="128"/>
    <n v="5"/>
    <n v="151.04"/>
    <n v="100"/>
    <n v="28616"/>
    <n v="23.04"/>
    <n v="1"/>
    <n v="0"/>
    <s v="F F001-00024303"/>
    <n v="6962"/>
    <n v="64"/>
    <n v="75.52"/>
    <n v="0"/>
    <n v="18"/>
    <n v="1"/>
    <n v="1"/>
    <s v="COLABORATIVA S.A.C."/>
    <s v="Odoo"/>
    <d v="2025-10-24T10:26:10"/>
    <n v="470"/>
    <x v="37"/>
  </r>
  <r>
    <n v="702"/>
    <n v="20250528"/>
    <n v="20250528"/>
    <m/>
    <n v="1910"/>
    <n v="1"/>
    <n v="362"/>
    <n v="2"/>
    <n v="427.16"/>
    <n v="100"/>
    <n v="28610"/>
    <n v="65.16"/>
    <n v="1"/>
    <n v="0"/>
    <s v="F E001-00000055"/>
    <n v="6743"/>
    <n v="362"/>
    <n v="427.16"/>
    <n v="0"/>
    <n v="18"/>
    <n v="1"/>
    <n v="1"/>
    <s v="COLABORATIVA S.A.C."/>
    <s v="Odoo"/>
    <d v="2025-10-24T10:26:10"/>
    <n v="1389"/>
    <x v="38"/>
  </r>
  <r>
    <n v="703"/>
    <n v="20250528"/>
    <n v="20250528"/>
    <m/>
    <n v="1903"/>
    <n v="5"/>
    <n v="5000"/>
    <n v="5"/>
    <n v="5900"/>
    <n v="100"/>
    <n v="28600"/>
    <n v="900"/>
    <n v="1"/>
    <n v="0"/>
    <s v="F E001-00000495"/>
    <n v="6743"/>
    <n v="1000"/>
    <n v="1180"/>
    <n v="0"/>
    <n v="18"/>
    <n v="1"/>
    <n v="1"/>
    <s v="COLABORATIVA S.A.C."/>
    <s v="Odoo"/>
    <d v="2025-10-24T10:26:10"/>
    <n v="384"/>
    <x v="39"/>
  </r>
  <r>
    <n v="704"/>
    <n v="20250528"/>
    <n v="20250528"/>
    <m/>
    <n v="1904"/>
    <n v="12"/>
    <n v="3000"/>
    <n v="5"/>
    <n v="3540"/>
    <n v="100"/>
    <n v="28601"/>
    <n v="540"/>
    <n v="1"/>
    <n v="0"/>
    <s v="F E001-00000495"/>
    <n v="6743"/>
    <n v="250"/>
    <n v="295"/>
    <n v="0"/>
    <n v="18"/>
    <n v="1"/>
    <n v="1"/>
    <s v="COLABORATIVA S.A.C."/>
    <s v="Odoo"/>
    <d v="2025-10-24T10:26:10"/>
    <n v="384"/>
    <x v="39"/>
  </r>
  <r>
    <n v="705"/>
    <n v="20250528"/>
    <n v="20250528"/>
    <m/>
    <n v="1907"/>
    <n v="10"/>
    <n v="2000"/>
    <n v="5"/>
    <n v="2360"/>
    <n v="100"/>
    <n v="28602"/>
    <n v="360"/>
    <n v="1"/>
    <n v="0"/>
    <s v="F E001-00000495"/>
    <n v="6743"/>
    <n v="200"/>
    <n v="236"/>
    <n v="0"/>
    <n v="18"/>
    <n v="1"/>
    <n v="1"/>
    <s v="COLABORATIVA S.A.C."/>
    <s v="Odoo"/>
    <d v="2025-10-24T10:26:10"/>
    <n v="384"/>
    <x v="39"/>
  </r>
  <r>
    <n v="706"/>
    <n v="20250528"/>
    <n v="20250528"/>
    <m/>
    <n v="1908"/>
    <n v="10"/>
    <n v="500"/>
    <n v="5"/>
    <n v="590"/>
    <n v="100"/>
    <n v="28603"/>
    <n v="90"/>
    <n v="1"/>
    <n v="0"/>
    <s v="F E001-00000495"/>
    <n v="6743"/>
    <n v="50"/>
    <n v="59"/>
    <n v="0"/>
    <n v="18"/>
    <n v="1"/>
    <n v="1"/>
    <s v="COLABORATIVA S.A.C."/>
    <s v="Odoo"/>
    <d v="2025-10-24T10:26:11"/>
    <n v="384"/>
    <x v="39"/>
  </r>
  <r>
    <n v="707"/>
    <n v="20250527"/>
    <n v="20250527"/>
    <m/>
    <n v="1903"/>
    <n v="1"/>
    <n v="1000"/>
    <n v="5"/>
    <n v="1180"/>
    <n v="100"/>
    <n v="28594"/>
    <n v="180"/>
    <n v="1"/>
    <n v="0"/>
    <s v="F E001-00000494"/>
    <n v="6743"/>
    <n v="1000"/>
    <n v="1180"/>
    <n v="0"/>
    <n v="18"/>
    <n v="1"/>
    <n v="1"/>
    <s v="COLABORATIVA S.A.C."/>
    <s v="Odoo"/>
    <d v="2025-10-24T10:26:11"/>
    <n v="384"/>
    <x v="40"/>
  </r>
  <r>
    <n v="708"/>
    <n v="20250527"/>
    <n v="20250527"/>
    <m/>
    <n v="1904"/>
    <n v="3"/>
    <n v="750"/>
    <n v="5"/>
    <n v="885"/>
    <n v="100"/>
    <n v="28595"/>
    <n v="135"/>
    <n v="1"/>
    <n v="0"/>
    <s v="F E001-00000494"/>
    <n v="6743"/>
    <n v="250"/>
    <n v="295"/>
    <n v="0"/>
    <n v="18"/>
    <n v="1"/>
    <n v="1"/>
    <s v="COLABORATIVA S.A.C."/>
    <s v="Odoo"/>
    <d v="2025-10-24T10:26:11"/>
    <n v="384"/>
    <x v="40"/>
  </r>
  <r>
    <n v="709"/>
    <n v="20250527"/>
    <n v="20250527"/>
    <m/>
    <n v="1905"/>
    <n v="63"/>
    <n v="12600"/>
    <n v="5"/>
    <n v="14868"/>
    <n v="100"/>
    <n v="28596"/>
    <n v="2268"/>
    <n v="1"/>
    <n v="0"/>
    <s v="F E001-00000494"/>
    <n v="6743"/>
    <n v="200"/>
    <n v="236"/>
    <n v="0"/>
    <n v="18"/>
    <n v="1"/>
    <n v="1"/>
    <s v="COLABORATIVA S.A.C."/>
    <s v="Odoo"/>
    <d v="2025-10-24T10:26:11"/>
    <n v="384"/>
    <x v="40"/>
  </r>
  <r>
    <n v="710"/>
    <n v="20250527"/>
    <n v="20250527"/>
    <m/>
    <n v="1906"/>
    <n v="59"/>
    <n v="7080"/>
    <n v="5"/>
    <n v="8354.4"/>
    <n v="100"/>
    <n v="28597"/>
    <n v="1274.4000000000001"/>
    <n v="1"/>
    <n v="0"/>
    <s v="F E001-00000494"/>
    <n v="6743"/>
    <n v="120"/>
    <n v="141.6"/>
    <n v="0"/>
    <n v="18"/>
    <n v="1"/>
    <n v="1"/>
    <s v="COLABORATIVA S.A.C."/>
    <s v="Odoo"/>
    <d v="2025-10-24T10:26:11"/>
    <n v="384"/>
    <x v="40"/>
  </r>
  <r>
    <n v="711"/>
    <n v="20250525"/>
    <n v="20250525"/>
    <m/>
    <n v="1896"/>
    <n v="1"/>
    <n v="194.07"/>
    <n v="5"/>
    <n v="229"/>
    <n v="100"/>
    <n v="28586"/>
    <n v="34.93"/>
    <n v="1"/>
    <n v="0"/>
    <s v="F E001-00000037"/>
    <n v="877"/>
    <n v="194.07"/>
    <n v="229"/>
    <n v="0"/>
    <n v="18"/>
    <n v="1"/>
    <n v="1"/>
    <s v="COLABORATIVA S.A.C."/>
    <s v="Odoo"/>
    <d v="2025-10-24T10:26:11"/>
    <n v="779"/>
    <x v="41"/>
  </r>
  <r>
    <n v="712"/>
    <n v="20250525"/>
    <n v="20250525"/>
    <m/>
    <n v="1897"/>
    <n v="1"/>
    <n v="24.58"/>
    <n v="5"/>
    <n v="29"/>
    <n v="100"/>
    <n v="28587"/>
    <n v="4.42"/>
    <n v="1"/>
    <n v="0"/>
    <s v="F E001-00000037"/>
    <n v="877"/>
    <n v="24.58"/>
    <n v="29"/>
    <n v="0"/>
    <n v="17.98"/>
    <n v="1"/>
    <n v="1"/>
    <s v="COLABORATIVA S.A.C."/>
    <s v="Odoo"/>
    <d v="2025-10-24T10:26:11"/>
    <n v="779"/>
    <x v="41"/>
  </r>
  <r>
    <n v="713"/>
    <n v="20250525"/>
    <n v="20250525"/>
    <m/>
    <n v="1898"/>
    <n v="1"/>
    <n v="33.049999999999997"/>
    <n v="5"/>
    <n v="39"/>
    <n v="100"/>
    <n v="28588"/>
    <n v="5.95"/>
    <n v="1"/>
    <n v="0"/>
    <s v="F E001-00000037"/>
    <n v="877"/>
    <n v="33.049999999999997"/>
    <n v="39"/>
    <n v="0"/>
    <n v="18"/>
    <n v="1"/>
    <n v="1"/>
    <s v="COLABORATIVA S.A.C."/>
    <s v="Odoo"/>
    <d v="2025-10-24T10:26:11"/>
    <n v="779"/>
    <x v="41"/>
  </r>
  <r>
    <n v="714"/>
    <n v="20250525"/>
    <n v="20250525"/>
    <m/>
    <n v="1899"/>
    <n v="1"/>
    <n v="169.49"/>
    <n v="5"/>
    <n v="200"/>
    <n v="100"/>
    <n v="28589"/>
    <n v="30.51"/>
    <n v="1"/>
    <n v="0"/>
    <s v="F E001-00000037"/>
    <n v="877"/>
    <n v="169.49"/>
    <n v="200"/>
    <n v="0"/>
    <n v="18"/>
    <n v="1"/>
    <n v="1"/>
    <s v="COLABORATIVA S.A.C."/>
    <s v="Odoo"/>
    <d v="2025-10-24T10:26:11"/>
    <n v="779"/>
    <x v="41"/>
  </r>
  <r>
    <n v="715"/>
    <n v="20250525"/>
    <n v="20250525"/>
    <m/>
    <n v="1859"/>
    <n v="1"/>
    <n v="960"/>
    <n v="2"/>
    <n v="1132.8"/>
    <n v="100"/>
    <n v="28573"/>
    <n v="172.8"/>
    <n v="1"/>
    <n v="0"/>
    <s v="F E001-00000050"/>
    <n v="6743"/>
    <n v="960"/>
    <n v="1132.8"/>
    <n v="0"/>
    <n v="18"/>
    <n v="1"/>
    <n v="1"/>
    <s v="COLABORATIVA S.A.C."/>
    <s v="Odoo"/>
    <d v="2025-10-24T10:26:11"/>
    <n v="1389"/>
    <x v="42"/>
  </r>
  <r>
    <n v="716"/>
    <n v="20250525"/>
    <n v="20250525"/>
    <m/>
    <n v="1859"/>
    <n v="1"/>
    <n v="3840"/>
    <n v="2"/>
    <n v="4531.2"/>
    <n v="100"/>
    <n v="28570"/>
    <n v="691.2"/>
    <n v="1"/>
    <n v="0"/>
    <s v="F E001-00000049"/>
    <n v="6743"/>
    <n v="3840"/>
    <n v="4531.2"/>
    <n v="0"/>
    <n v="18"/>
    <n v="1"/>
    <n v="1"/>
    <s v="COLABORATIVA S.A.C."/>
    <s v="Odoo"/>
    <d v="2025-10-24T10:26:12"/>
    <n v="1389"/>
    <x v="21"/>
  </r>
  <r>
    <n v="717"/>
    <n v="20250525"/>
    <n v="20250525"/>
    <m/>
    <n v="1895"/>
    <n v="1000"/>
    <n v="161.02000000000001"/>
    <n v="5"/>
    <n v="190"/>
    <n v="100"/>
    <n v="28564"/>
    <n v="28.98"/>
    <n v="1"/>
    <n v="0"/>
    <s v="F F002-00031007"/>
    <n v="6962"/>
    <n v="0.16"/>
    <n v="0.19"/>
    <n v="0"/>
    <n v="18"/>
    <n v="1"/>
    <n v="1"/>
    <s v="COLABORATIVA S.A.C."/>
    <s v="Odoo"/>
    <d v="2025-10-24T10:26:12"/>
    <n v="1555"/>
    <x v="43"/>
  </r>
  <r>
    <n v="718"/>
    <n v="20250525"/>
    <n v="20250525"/>
    <m/>
    <n v="1895"/>
    <n v="1000"/>
    <n v="161.02000000000001"/>
    <n v="5"/>
    <n v="190"/>
    <n v="100"/>
    <n v="28565"/>
    <n v="28.98"/>
    <n v="1"/>
    <n v="0"/>
    <s v="F F002-00031007"/>
    <n v="6962"/>
    <n v="0.16"/>
    <n v="0.19"/>
    <n v="0"/>
    <n v="18"/>
    <n v="1"/>
    <n v="1"/>
    <s v="COLABORATIVA S.A.C."/>
    <s v="Odoo"/>
    <d v="2025-10-24T10:26:12"/>
    <n v="1555"/>
    <x v="43"/>
  </r>
  <r>
    <n v="719"/>
    <n v="20250525"/>
    <n v="20250525"/>
    <m/>
    <n v="1895"/>
    <n v="1000"/>
    <n v="161.02000000000001"/>
    <n v="5"/>
    <n v="190"/>
    <n v="100"/>
    <n v="28566"/>
    <n v="28.98"/>
    <n v="1"/>
    <n v="0"/>
    <s v="F F002-00031007"/>
    <n v="6962"/>
    <n v="0.16"/>
    <n v="0.19"/>
    <n v="0"/>
    <n v="18"/>
    <n v="1"/>
    <n v="1"/>
    <s v="COLABORATIVA S.A.C."/>
    <s v="Odoo"/>
    <d v="2025-10-24T10:26:12"/>
    <n v="1555"/>
    <x v="43"/>
  </r>
  <r>
    <n v="720"/>
    <n v="20250525"/>
    <n v="20250525"/>
    <m/>
    <n v="1895"/>
    <n v="1000"/>
    <n v="161.02000000000001"/>
    <n v="5"/>
    <n v="190"/>
    <n v="100"/>
    <n v="28567"/>
    <n v="28.98"/>
    <n v="1"/>
    <n v="0"/>
    <s v="F F002-00031007"/>
    <n v="6962"/>
    <n v="0.16"/>
    <n v="0.19"/>
    <n v="0"/>
    <n v="18"/>
    <n v="1"/>
    <n v="1"/>
    <s v="COLABORATIVA S.A.C."/>
    <s v="Odoo"/>
    <d v="2025-10-24T10:26:12"/>
    <n v="1555"/>
    <x v="43"/>
  </r>
  <r>
    <n v="721"/>
    <n v="20250523"/>
    <n v="20250523"/>
    <m/>
    <n v="1855"/>
    <n v="1"/>
    <n v="500"/>
    <n v="5"/>
    <n v="500"/>
    <n v="100"/>
    <n v="28546"/>
    <n v="0"/>
    <n v="1"/>
    <n v="0"/>
    <s v="RE-00115"/>
    <n v="877"/>
    <n v="500"/>
    <n v="500"/>
    <n v="0"/>
    <n v="0"/>
    <n v="1"/>
    <n v="1"/>
    <s v="COLABORATIVA S.A.C."/>
    <s v="Odoo"/>
    <d v="2025-10-24T10:26:12"/>
    <n v="1786"/>
    <x v="44"/>
  </r>
  <r>
    <n v="722"/>
    <n v="20250522"/>
    <n v="20250522"/>
    <m/>
    <n v="1894"/>
    <n v="3000"/>
    <n v="498.31"/>
    <n v="5"/>
    <n v="588"/>
    <n v="100"/>
    <n v="28550"/>
    <n v="89.69"/>
    <n v="1"/>
    <n v="0"/>
    <s v="F F001-00008887"/>
    <n v="6962"/>
    <n v="0.17"/>
    <n v="0.2"/>
    <n v="0"/>
    <n v="18"/>
    <n v="1"/>
    <n v="1"/>
    <s v="COLABORATIVA S.A.C."/>
    <s v="Odoo"/>
    <d v="2025-10-24T10:26:12"/>
    <n v="762"/>
    <x v="45"/>
  </r>
  <r>
    <n v="723"/>
    <n v="20250522"/>
    <n v="20250522"/>
    <m/>
    <n v="1894"/>
    <n v="2000"/>
    <n v="498.31"/>
    <n v="5"/>
    <n v="588"/>
    <n v="100"/>
    <n v="28551"/>
    <n v="89.69"/>
    <n v="1"/>
    <n v="0"/>
    <s v="F F001-00008887"/>
    <n v="6962"/>
    <n v="0.25"/>
    <n v="0.28999999999999998"/>
    <n v="0"/>
    <n v="18"/>
    <n v="1"/>
    <n v="1"/>
    <s v="COLABORATIVA S.A.C."/>
    <s v="Odoo"/>
    <d v="2025-10-24T10:26:12"/>
    <n v="762"/>
    <x v="45"/>
  </r>
  <r>
    <n v="724"/>
    <n v="20250522"/>
    <n v="20250522"/>
    <m/>
    <n v="1894"/>
    <n v="1000"/>
    <n v="169.49"/>
    <n v="5"/>
    <n v="200"/>
    <n v="100"/>
    <n v="28552"/>
    <n v="30.51"/>
    <n v="1"/>
    <n v="0"/>
    <s v="F F001-00008887"/>
    <n v="6962"/>
    <n v="0.17"/>
    <n v="0.2"/>
    <n v="0"/>
    <n v="18"/>
    <n v="1"/>
    <n v="1"/>
    <s v="COLABORATIVA S.A.C."/>
    <s v="Odoo"/>
    <d v="2025-10-24T10:26:12"/>
    <n v="762"/>
    <x v="45"/>
  </r>
  <r>
    <n v="725"/>
    <n v="20250522"/>
    <n v="20250522"/>
    <m/>
    <n v="1894"/>
    <n v="1000"/>
    <n v="169.49"/>
    <n v="5"/>
    <n v="200"/>
    <n v="100"/>
    <n v="28553"/>
    <n v="30.51"/>
    <n v="1"/>
    <n v="0"/>
    <s v="F F001-00008887"/>
    <n v="6962"/>
    <n v="0.17"/>
    <n v="0.2"/>
    <n v="0"/>
    <n v="18"/>
    <n v="1"/>
    <n v="1"/>
    <s v="COLABORATIVA S.A.C."/>
    <s v="Odoo"/>
    <d v="2025-10-24T10:26:12"/>
    <n v="762"/>
    <x v="45"/>
  </r>
  <r>
    <n v="726"/>
    <n v="20250522"/>
    <n v="20250522"/>
    <m/>
    <n v="1894"/>
    <n v="1000"/>
    <n v="169.49"/>
    <n v="5"/>
    <n v="200"/>
    <n v="100"/>
    <n v="28554"/>
    <n v="30.51"/>
    <n v="1"/>
    <n v="0"/>
    <s v="F F001-00008887"/>
    <n v="6962"/>
    <n v="0.17"/>
    <n v="0.2"/>
    <n v="0"/>
    <n v="18"/>
    <n v="1"/>
    <n v="1"/>
    <s v="COLABORATIVA S.A.C."/>
    <s v="Odoo"/>
    <d v="2025-10-24T10:26:12"/>
    <n v="762"/>
    <x v="45"/>
  </r>
  <r>
    <n v="727"/>
    <n v="20250522"/>
    <n v="20250522"/>
    <m/>
    <n v="1894"/>
    <n v="500"/>
    <n v="92.37"/>
    <n v="5"/>
    <n v="109"/>
    <n v="100"/>
    <n v="28555"/>
    <n v="16.63"/>
    <n v="1"/>
    <n v="0"/>
    <s v="F F001-00008887"/>
    <n v="6962"/>
    <n v="0.18"/>
    <n v="0.22"/>
    <n v="0"/>
    <n v="18"/>
    <n v="1"/>
    <n v="1"/>
    <s v="COLABORATIVA S.A.C."/>
    <s v="Odoo"/>
    <d v="2025-10-24T10:26:13"/>
    <n v="762"/>
    <x v="45"/>
  </r>
  <r>
    <n v="728"/>
    <n v="20250522"/>
    <n v="20250522"/>
    <m/>
    <n v="1894"/>
    <n v="500"/>
    <n v="93.22"/>
    <n v="5"/>
    <n v="110"/>
    <n v="100"/>
    <n v="28556"/>
    <n v="16.78"/>
    <n v="1"/>
    <n v="0"/>
    <s v="F F001-00008887"/>
    <n v="6962"/>
    <n v="0.19"/>
    <n v="0.22"/>
    <n v="0"/>
    <n v="18"/>
    <n v="1"/>
    <n v="1"/>
    <s v="COLABORATIVA S.A.C."/>
    <s v="Odoo"/>
    <d v="2025-10-24T10:26:13"/>
    <n v="762"/>
    <x v="45"/>
  </r>
  <r>
    <n v="729"/>
    <n v="20250522"/>
    <n v="20250522"/>
    <m/>
    <n v="1894"/>
    <n v="1000"/>
    <n v="131.36000000000001"/>
    <n v="5"/>
    <n v="155"/>
    <n v="100"/>
    <n v="28557"/>
    <n v="23.64"/>
    <n v="1"/>
    <n v="0"/>
    <s v="F F001-00008887"/>
    <n v="6962"/>
    <n v="0.13"/>
    <n v="0.16"/>
    <n v="0"/>
    <n v="18"/>
    <n v="1"/>
    <n v="1"/>
    <s v="COLABORATIVA S.A.C."/>
    <s v="Odoo"/>
    <d v="2025-10-24T10:26:13"/>
    <n v="762"/>
    <x v="45"/>
  </r>
  <r>
    <n v="730"/>
    <n v="20250522"/>
    <n v="20250522"/>
    <m/>
    <n v="1894"/>
    <n v="1000"/>
    <n v="131.36000000000001"/>
    <n v="5"/>
    <n v="155"/>
    <n v="100"/>
    <n v="28558"/>
    <n v="23.64"/>
    <n v="1"/>
    <n v="0"/>
    <s v="F F001-00008887"/>
    <n v="6962"/>
    <n v="0.13"/>
    <n v="0.16"/>
    <n v="0"/>
    <n v="18"/>
    <n v="1"/>
    <n v="1"/>
    <s v="COLABORATIVA S.A.C."/>
    <s v="Odoo"/>
    <d v="2025-10-24T10:26:13"/>
    <n v="762"/>
    <x v="45"/>
  </r>
  <r>
    <n v="731"/>
    <n v="20250522"/>
    <n v="20250522"/>
    <m/>
    <n v="1894"/>
    <n v="500"/>
    <n v="131.36000000000001"/>
    <n v="5"/>
    <n v="155"/>
    <n v="100"/>
    <n v="28559"/>
    <n v="23.64"/>
    <n v="1"/>
    <n v="0"/>
    <s v="F F001-00008887"/>
    <n v="6962"/>
    <n v="0.26"/>
    <n v="0.31"/>
    <n v="0"/>
    <n v="18"/>
    <n v="1"/>
    <n v="1"/>
    <s v="COLABORATIVA S.A.C."/>
    <s v="Odoo"/>
    <d v="2025-10-24T10:26:13"/>
    <n v="762"/>
    <x v="45"/>
  </r>
  <r>
    <n v="732"/>
    <n v="20250522"/>
    <n v="20250522"/>
    <m/>
    <n v="1894"/>
    <n v="500"/>
    <n v="131.36000000000001"/>
    <n v="5"/>
    <n v="155"/>
    <n v="100"/>
    <n v="28560"/>
    <n v="23.64"/>
    <n v="1"/>
    <n v="0"/>
    <s v="F F001-00008887"/>
    <n v="6962"/>
    <n v="0.26"/>
    <n v="0.31"/>
    <n v="0"/>
    <n v="18"/>
    <n v="1"/>
    <n v="1"/>
    <s v="COLABORATIVA S.A.C."/>
    <s v="Odoo"/>
    <d v="2025-10-24T10:26:13"/>
    <n v="762"/>
    <x v="45"/>
  </r>
  <r>
    <n v="733"/>
    <n v="20250522"/>
    <n v="20250522"/>
    <m/>
    <n v="1894"/>
    <n v="3000"/>
    <n v="508.47"/>
    <n v="5"/>
    <n v="600"/>
    <n v="100"/>
    <n v="28561"/>
    <n v="91.53"/>
    <n v="1"/>
    <n v="0"/>
    <s v="F F001-00008887"/>
    <n v="6962"/>
    <n v="0.17"/>
    <n v="0.2"/>
    <n v="0"/>
    <n v="18"/>
    <n v="1"/>
    <n v="1"/>
    <s v="COLABORATIVA S.A.C."/>
    <s v="Odoo"/>
    <d v="2025-10-24T10:26:13"/>
    <n v="762"/>
    <x v="45"/>
  </r>
  <r>
    <n v="734"/>
    <n v="20250520"/>
    <n v="20250520"/>
    <m/>
    <n v="1893"/>
    <n v="1"/>
    <n v="169.49"/>
    <n v="5"/>
    <n v="200"/>
    <n v="100"/>
    <n v="28539"/>
    <n v="30.51"/>
    <n v="1"/>
    <n v="0"/>
    <s v="R-10412704113"/>
    <n v="6328"/>
    <n v="169.49"/>
    <n v="200"/>
    <n v="0"/>
    <n v="18"/>
    <n v="1"/>
    <n v="1"/>
    <s v="COLABORATIVA S.A.C."/>
    <s v="Odoo"/>
    <d v="2025-10-24T10:26:13"/>
    <n v="1806"/>
    <x v="46"/>
  </r>
  <r>
    <n v="735"/>
    <n v="20250520"/>
    <n v="20250520"/>
    <m/>
    <n v="1808"/>
    <n v="1"/>
    <n v="240"/>
    <n v="2"/>
    <n v="240"/>
    <n v="100"/>
    <n v="28537"/>
    <n v="0"/>
    <n v="1"/>
    <n v="0"/>
    <s v="R E001-22"/>
    <n v="877"/>
    <n v="240"/>
    <n v="240"/>
    <n v="0"/>
    <n v="0"/>
    <n v="1"/>
    <n v="1"/>
    <s v="COLABORATIVA S.A.C."/>
    <s v="Odoo"/>
    <d v="2025-10-24T10:26:13"/>
    <n v="1642"/>
    <x v="47"/>
  </r>
  <r>
    <n v="736"/>
    <n v="20250518"/>
    <n v="20250518"/>
    <m/>
    <n v="1881"/>
    <n v="12"/>
    <n v="336"/>
    <n v="5"/>
    <n v="396.48"/>
    <n v="100"/>
    <n v="28516"/>
    <n v="60.48"/>
    <n v="1"/>
    <n v="0"/>
    <s v="F E001-00000027"/>
    <n v="6743"/>
    <n v="28"/>
    <n v="33.04"/>
    <n v="0"/>
    <n v="18"/>
    <n v="1"/>
    <n v="1"/>
    <s v="COLABORATIVA S.A.C."/>
    <s v="Odoo"/>
    <d v="2025-10-24T10:26:13"/>
    <n v="1801"/>
    <x v="48"/>
  </r>
  <r>
    <n v="737"/>
    <n v="20250518"/>
    <n v="20250518"/>
    <m/>
    <n v="1882"/>
    <n v="24"/>
    <n v="576"/>
    <n v="4"/>
    <n v="679.68"/>
    <n v="100"/>
    <n v="28517"/>
    <n v="103.68"/>
    <n v="1"/>
    <n v="0"/>
    <s v="F E001-00000027"/>
    <n v="6743"/>
    <n v="24"/>
    <n v="28.32"/>
    <n v="0"/>
    <n v="18"/>
    <n v="1"/>
    <n v="1"/>
    <s v="COLABORATIVA S.A.C."/>
    <s v="Odoo"/>
    <d v="2025-10-24T10:26:13"/>
    <n v="1801"/>
    <x v="48"/>
  </r>
  <r>
    <n v="738"/>
    <n v="20250518"/>
    <n v="20250518"/>
    <m/>
    <n v="1822"/>
    <n v="1"/>
    <n v="288"/>
    <n v="5"/>
    <n v="339.84"/>
    <n v="100"/>
    <n v="28506"/>
    <n v="51.84"/>
    <n v="1"/>
    <n v="0"/>
    <s v="F E001-00000354"/>
    <n v="6317"/>
    <n v="288"/>
    <n v="339.84"/>
    <n v="0"/>
    <n v="18"/>
    <n v="1"/>
    <n v="1"/>
    <s v="COLABORATIVA S.A.C."/>
    <s v="Odoo"/>
    <d v="2025-10-24T10:26:14"/>
    <n v="1731"/>
    <x v="49"/>
  </r>
  <r>
    <n v="739"/>
    <n v="20250518"/>
    <n v="20250518"/>
    <m/>
    <n v="1823"/>
    <n v="1"/>
    <n v="133.9"/>
    <n v="5"/>
    <n v="158"/>
    <n v="100"/>
    <n v="28507"/>
    <n v="24.1"/>
    <n v="1"/>
    <n v="0"/>
    <s v="F E001-00000354"/>
    <n v="6317"/>
    <n v="133.9"/>
    <n v="158"/>
    <n v="0"/>
    <n v="18"/>
    <n v="1"/>
    <n v="1"/>
    <s v="COLABORATIVA S.A.C."/>
    <s v="Odoo"/>
    <d v="2025-10-24T10:26:14"/>
    <n v="1731"/>
    <x v="49"/>
  </r>
  <r>
    <n v="740"/>
    <n v="20250518"/>
    <n v="20250518"/>
    <m/>
    <n v="1807"/>
    <n v="100"/>
    <n v="220"/>
    <n v="5"/>
    <n v="259.60000000000002"/>
    <n v="100"/>
    <n v="28501"/>
    <n v="39.6"/>
    <n v="1"/>
    <n v="0"/>
    <s v="F E001-00000141"/>
    <n v="6328"/>
    <n v="2.2000000000000002"/>
    <n v="2.6"/>
    <n v="0"/>
    <n v="18"/>
    <n v="1"/>
    <n v="1"/>
    <s v="COLABORATIVA S.A.C."/>
    <s v="Odoo"/>
    <d v="2025-10-24T10:26:14"/>
    <n v="1570"/>
    <x v="50"/>
  </r>
  <r>
    <n v="741"/>
    <n v="20250515"/>
    <n v="20250515"/>
    <m/>
    <n v="1859"/>
    <n v="1"/>
    <n v="360"/>
    <n v="2"/>
    <n v="424.8"/>
    <n v="100"/>
    <n v="28498"/>
    <n v="64.8"/>
    <n v="1"/>
    <n v="0"/>
    <s v="F E001-00000037"/>
    <n v="6743"/>
    <n v="360"/>
    <n v="424.8"/>
    <n v="0"/>
    <n v="18"/>
    <n v="1"/>
    <n v="1"/>
    <s v="COLABORATIVA S.A.C."/>
    <s v="Odoo"/>
    <d v="2025-10-24T10:26:14"/>
    <n v="1389"/>
    <x v="41"/>
  </r>
  <r>
    <n v="742"/>
    <n v="20250515"/>
    <n v="20250515"/>
    <m/>
    <n v="1883"/>
    <n v="1"/>
    <n v="94.92"/>
    <n v="5"/>
    <n v="112"/>
    <n v="100"/>
    <n v="28463"/>
    <n v="17.079999999999998"/>
    <n v="1"/>
    <n v="0"/>
    <s v="F E001-00000036"/>
    <n v="6746"/>
    <n v="94.92"/>
    <n v="112"/>
    <n v="0"/>
    <n v="17.989999999999998"/>
    <n v="1"/>
    <n v="1"/>
    <s v="COLABORATIVA S.A.C."/>
    <s v="Odoo"/>
    <d v="2025-10-24T10:26:14"/>
    <n v="779"/>
    <x v="51"/>
  </r>
  <r>
    <n v="743"/>
    <n v="20250515"/>
    <n v="20250515"/>
    <m/>
    <n v="1860"/>
    <n v="1"/>
    <n v="754.24"/>
    <n v="5"/>
    <n v="890"/>
    <n v="100"/>
    <n v="28454"/>
    <n v="135.76"/>
    <n v="1"/>
    <n v="0"/>
    <s v="F E001-00000492"/>
    <n v="6328"/>
    <n v="754.24"/>
    <n v="890"/>
    <n v="0"/>
    <n v="18"/>
    <n v="1"/>
    <n v="1"/>
    <s v="COLABORATIVA S.A.C."/>
    <s v="Odoo"/>
    <d v="2025-10-24T10:26:14"/>
    <n v="1794"/>
    <x v="52"/>
  </r>
  <r>
    <n v="744"/>
    <n v="20250515"/>
    <n v="20250515"/>
    <m/>
    <n v="1861"/>
    <n v="1"/>
    <n v="122.88"/>
    <n v="5"/>
    <n v="145"/>
    <n v="100"/>
    <n v="28455"/>
    <n v="22.12"/>
    <n v="1"/>
    <n v="0"/>
    <s v="F E001-00000492"/>
    <n v="6328"/>
    <n v="122.88"/>
    <n v="145"/>
    <n v="0"/>
    <n v="18"/>
    <n v="1"/>
    <n v="1"/>
    <s v="COLABORATIVA S.A.C."/>
    <s v="Odoo"/>
    <d v="2025-10-24T10:26:14"/>
    <n v="1794"/>
    <x v="52"/>
  </r>
  <r>
    <n v="745"/>
    <n v="20250515"/>
    <n v="20250515"/>
    <m/>
    <n v="1862"/>
    <n v="1"/>
    <n v="42.37"/>
    <n v="5"/>
    <n v="50"/>
    <n v="100"/>
    <n v="28456"/>
    <n v="7.63"/>
    <n v="1"/>
    <n v="0"/>
    <s v="F E001-00000492"/>
    <n v="6328"/>
    <n v="42.37"/>
    <n v="50"/>
    <n v="0"/>
    <n v="18.010000000000002"/>
    <n v="1"/>
    <n v="1"/>
    <s v="COLABORATIVA S.A.C."/>
    <s v="Odoo"/>
    <d v="2025-10-24T10:26:14"/>
    <n v="1794"/>
    <x v="52"/>
  </r>
  <r>
    <n v="746"/>
    <n v="20250515"/>
    <n v="20250515"/>
    <m/>
    <n v="1863"/>
    <n v="20"/>
    <n v="27.12"/>
    <n v="5"/>
    <n v="32"/>
    <n v="100"/>
    <n v="28457"/>
    <n v="4.88"/>
    <n v="1"/>
    <n v="0"/>
    <s v="F E001-00000492"/>
    <n v="6328"/>
    <n v="1.36"/>
    <n v="1.6"/>
    <n v="0"/>
    <n v="17.989999999999998"/>
    <n v="1"/>
    <n v="1"/>
    <s v="COLABORATIVA S.A.C."/>
    <s v="Odoo"/>
    <d v="2025-10-24T10:26:14"/>
    <n v="1794"/>
    <x v="52"/>
  </r>
  <r>
    <n v="747"/>
    <n v="20250515"/>
    <n v="20250515"/>
    <m/>
    <n v="1864"/>
    <n v="1"/>
    <n v="220.34"/>
    <n v="2"/>
    <n v="260"/>
    <n v="100"/>
    <n v="28458"/>
    <n v="39.659999999999997"/>
    <n v="1"/>
    <n v="0"/>
    <s v="F E001-00000492"/>
    <n v="6328"/>
    <n v="220.34"/>
    <n v="260"/>
    <n v="0"/>
    <n v="18"/>
    <n v="1"/>
    <n v="1"/>
    <s v="COLABORATIVA S.A.C."/>
    <s v="Odoo"/>
    <d v="2025-10-24T10:26:14"/>
    <n v="1794"/>
    <x v="52"/>
  </r>
  <r>
    <n v="748"/>
    <n v="20250515"/>
    <n v="20250515"/>
    <m/>
    <n v="1865"/>
    <n v="1"/>
    <n v="101.69"/>
    <n v="5"/>
    <n v="120"/>
    <n v="100"/>
    <n v="28459"/>
    <n v="18.309999999999999"/>
    <n v="1"/>
    <n v="0"/>
    <s v="F E001-00000492"/>
    <n v="6328"/>
    <n v="101.69"/>
    <n v="120"/>
    <n v="0"/>
    <n v="18.010000000000002"/>
    <n v="1"/>
    <n v="1"/>
    <s v="COLABORATIVA S.A.C."/>
    <s v="Odoo"/>
    <d v="2025-10-24T10:26:14"/>
    <n v="1794"/>
    <x v="52"/>
  </r>
  <r>
    <n v="749"/>
    <n v="20250515"/>
    <n v="20250515"/>
    <m/>
    <n v="1886"/>
    <n v="1"/>
    <n v="59.32"/>
    <n v="5"/>
    <n v="70"/>
    <n v="100"/>
    <n v="28460"/>
    <n v="10.68"/>
    <n v="1"/>
    <n v="0"/>
    <s v="F E001-00000492"/>
    <n v="6328"/>
    <n v="59.32"/>
    <n v="70"/>
    <n v="0"/>
    <n v="18"/>
    <n v="1"/>
    <n v="1"/>
    <s v="COLABORATIVA S.A.C."/>
    <s v="Odoo"/>
    <d v="2025-10-24T10:26:15"/>
    <n v="1794"/>
    <x v="52"/>
  </r>
  <r>
    <n v="752"/>
    <n v="20250515"/>
    <n v="20250515"/>
    <m/>
    <n v="1871"/>
    <n v="1"/>
    <n v="262.70999999999998"/>
    <n v="5"/>
    <n v="310"/>
    <n v="100"/>
    <n v="28440"/>
    <n v="47.29"/>
    <n v="1"/>
    <n v="0"/>
    <s v="F E001-00000035"/>
    <n v="6746"/>
    <n v="262.70999999999998"/>
    <n v="310"/>
    <n v="0"/>
    <n v="18"/>
    <n v="1"/>
    <n v="1"/>
    <s v="COLABORATIVA S.A.C."/>
    <s v="Odoo"/>
    <d v="2025-10-24T10:26:15"/>
    <n v="779"/>
    <x v="53"/>
  </r>
  <r>
    <n v="753"/>
    <n v="20250515"/>
    <n v="20250515"/>
    <m/>
    <n v="1877"/>
    <n v="1"/>
    <n v="76.27"/>
    <n v="5"/>
    <n v="90"/>
    <n v="100"/>
    <n v="28441"/>
    <n v="13.73"/>
    <n v="1"/>
    <n v="0"/>
    <s v="F E001-00000035"/>
    <n v="6746"/>
    <n v="76.27"/>
    <n v="90"/>
    <n v="0"/>
    <n v="18"/>
    <n v="1"/>
    <n v="1"/>
    <s v="COLABORATIVA S.A.C."/>
    <s v="Odoo"/>
    <d v="2025-10-24T10:26:15"/>
    <n v="779"/>
    <x v="53"/>
  </r>
  <r>
    <n v="754"/>
    <n v="20250514"/>
    <n v="20250514"/>
    <m/>
    <n v="1880"/>
    <n v="1"/>
    <n v="609.32000000000005"/>
    <n v="5"/>
    <n v="719"/>
    <n v="100"/>
    <n v="28432"/>
    <n v="109.68"/>
    <n v="1"/>
    <n v="0"/>
    <s v="F F001-00007417"/>
    <n v="6328"/>
    <n v="609.32000000000005"/>
    <n v="719"/>
    <n v="0"/>
    <n v="18"/>
    <n v="1"/>
    <n v="1"/>
    <s v="COLABORATIVA S.A.C."/>
    <s v="Odoo"/>
    <d v="2025-10-24T10:26:15"/>
    <n v="1800"/>
    <x v="54"/>
  </r>
  <r>
    <n v="755"/>
    <n v="20250514"/>
    <n v="20250514"/>
    <m/>
    <n v="1876"/>
    <n v="1"/>
    <n v="16.95"/>
    <n v="5"/>
    <n v="20"/>
    <n v="100"/>
    <n v="28433"/>
    <n v="3.05"/>
    <n v="1"/>
    <n v="0"/>
    <s v="F F001-00007417"/>
    <n v="6328"/>
    <n v="16.95"/>
    <n v="20"/>
    <n v="0"/>
    <n v="17.989999999999998"/>
    <n v="1"/>
    <n v="1"/>
    <s v="COLABORATIVA S.A.C."/>
    <s v="Odoo"/>
    <d v="2025-10-24T10:26:15"/>
    <n v="1800"/>
    <x v="54"/>
  </r>
  <r>
    <n v="756"/>
    <n v="20250514"/>
    <n v="20250514"/>
    <m/>
    <n v="1844"/>
    <n v="1"/>
    <n v="466.1"/>
    <n v="5"/>
    <n v="550"/>
    <n v="100"/>
    <n v="28428"/>
    <n v="83.9"/>
    <n v="1"/>
    <n v="0"/>
    <s v="F E001-00001288"/>
    <n v="6676"/>
    <n v="466.1"/>
    <n v="550"/>
    <n v="0"/>
    <n v="18"/>
    <n v="1"/>
    <n v="1"/>
    <s v="COLABORATIVA S.A.C."/>
    <s v="Odoo"/>
    <d v="2025-10-24T10:26:15"/>
    <n v="1454"/>
    <x v="55"/>
  </r>
  <r>
    <n v="757"/>
    <n v="20250514"/>
    <n v="20250514"/>
    <m/>
    <n v="1885"/>
    <n v="1"/>
    <n v="50.85"/>
    <n v="5"/>
    <n v="60"/>
    <n v="100"/>
    <n v="28429"/>
    <n v="9.15"/>
    <n v="1"/>
    <n v="0"/>
    <s v="F E001-00001288"/>
    <n v="6676"/>
    <n v="50.85"/>
    <n v="60"/>
    <n v="0"/>
    <n v="17.989999999999998"/>
    <n v="1"/>
    <n v="1"/>
    <s v="COLABORATIVA S.A.C."/>
    <s v="Odoo"/>
    <d v="2025-10-24T10:26:15"/>
    <n v="1454"/>
    <x v="55"/>
  </r>
  <r>
    <n v="758"/>
    <n v="20250514"/>
    <n v="20250514"/>
    <m/>
    <n v="1884"/>
    <n v="1"/>
    <n v="350"/>
    <n v="2"/>
    <n v="350"/>
    <n v="100"/>
    <n v="28426"/>
    <n v="0"/>
    <n v="1"/>
    <n v="0"/>
    <s v="R E001-115"/>
    <n v="6743"/>
    <n v="350"/>
    <n v="350"/>
    <n v="0"/>
    <n v="0"/>
    <n v="1"/>
    <n v="1"/>
    <s v="COLABORATIVA S.A.C."/>
    <s v="Odoo"/>
    <d v="2025-10-24T10:26:15"/>
    <n v="1479"/>
    <x v="56"/>
  </r>
  <r>
    <n v="759"/>
    <n v="20250513"/>
    <n v="20250513"/>
    <m/>
    <n v="1873"/>
    <n v="1"/>
    <n v="42.29"/>
    <n v="5"/>
    <n v="49.9"/>
    <n v="100"/>
    <n v="28481"/>
    <n v="7.61"/>
    <n v="1"/>
    <n v="0"/>
    <s v="F FX02-00343038"/>
    <n v="6676"/>
    <n v="42.29"/>
    <n v="49.9"/>
    <n v="0"/>
    <n v="17.989999999999998"/>
    <n v="1"/>
    <n v="1"/>
    <s v="COLABORATIVA S.A.C."/>
    <s v="Odoo"/>
    <d v="2025-10-24T10:26:15"/>
    <n v="1533"/>
    <x v="57"/>
  </r>
  <r>
    <n v="760"/>
    <n v="20250513"/>
    <n v="20250513"/>
    <m/>
    <n v="1874"/>
    <n v="1"/>
    <n v="406.02"/>
    <n v="5"/>
    <n v="479.1"/>
    <n v="100"/>
    <n v="28482"/>
    <n v="73.08"/>
    <n v="1"/>
    <n v="0"/>
    <s v="F FX02-00343038"/>
    <n v="6676"/>
    <n v="406.02"/>
    <n v="479.1"/>
    <n v="0"/>
    <n v="18"/>
    <n v="1"/>
    <n v="1"/>
    <s v="COLABORATIVA S.A.C."/>
    <s v="Odoo"/>
    <d v="2025-10-24T10:26:16"/>
    <n v="1533"/>
    <x v="57"/>
  </r>
  <r>
    <n v="761"/>
    <n v="20250513"/>
    <n v="20250513"/>
    <m/>
    <n v="1875"/>
    <n v="1"/>
    <n v="16.100000000000001"/>
    <n v="5"/>
    <n v="19"/>
    <n v="100"/>
    <n v="28483"/>
    <n v="2.9"/>
    <n v="1"/>
    <n v="0"/>
    <s v="F FX02-00343038"/>
    <n v="6676"/>
    <n v="16.100000000000001"/>
    <n v="19"/>
    <n v="0"/>
    <n v="18.010000000000002"/>
    <n v="1"/>
    <n v="1"/>
    <s v="COLABORATIVA S.A.C."/>
    <s v="Odoo"/>
    <d v="2025-10-24T10:26:16"/>
    <n v="1533"/>
    <x v="57"/>
  </r>
  <r>
    <n v="762"/>
    <n v="20250513"/>
    <n v="20250513"/>
    <m/>
    <n v="1876"/>
    <n v="1"/>
    <n v="27.97"/>
    <n v="5"/>
    <n v="33"/>
    <n v="100"/>
    <n v="28484"/>
    <n v="5.03"/>
    <n v="1"/>
    <n v="0"/>
    <s v="F FX02-00343038"/>
    <n v="6676"/>
    <n v="27.97"/>
    <n v="33"/>
    <n v="0"/>
    <n v="17.98"/>
    <n v="1"/>
    <n v="1"/>
    <s v="COLABORATIVA S.A.C."/>
    <s v="Odoo"/>
    <d v="2025-10-24T10:26:16"/>
    <n v="1533"/>
    <x v="57"/>
  </r>
  <r>
    <n v="763"/>
    <n v="20250513"/>
    <n v="20250513"/>
    <m/>
    <n v="1807"/>
    <n v="1000"/>
    <n v="1250"/>
    <n v="5"/>
    <n v="1475"/>
    <n v="100"/>
    <n v="28417"/>
    <n v="225"/>
    <n v="1"/>
    <n v="0"/>
    <s v="F E001-00000250"/>
    <n v="6962"/>
    <n v="1.25"/>
    <n v="1.48"/>
    <n v="0"/>
    <n v="18"/>
    <n v="1"/>
    <n v="1"/>
    <s v="COLABORATIVA S.A.C."/>
    <s v="Odoo"/>
    <d v="2025-10-24T10:26:16"/>
    <n v="482"/>
    <x v="58"/>
  </r>
  <r>
    <n v="764"/>
    <n v="20250513"/>
    <n v="20250513"/>
    <m/>
    <n v="1854"/>
    <n v="1"/>
    <n v="4521.1899999999996"/>
    <n v="5"/>
    <n v="5335"/>
    <n v="100"/>
    <n v="28412"/>
    <n v="813.81"/>
    <n v="1"/>
    <n v="0"/>
    <s v="F E001-00000249"/>
    <n v="6962"/>
    <n v="4521.1899999999996"/>
    <n v="5335"/>
    <n v="0"/>
    <n v="18"/>
    <n v="1"/>
    <n v="1"/>
    <s v="COLABORATIVA S.A.C."/>
    <s v="Odoo"/>
    <d v="2025-10-24T10:26:16"/>
    <n v="482"/>
    <x v="59"/>
  </r>
  <r>
    <n v="765"/>
    <n v="20250513"/>
    <n v="20250513"/>
    <m/>
    <n v="1872"/>
    <n v="1"/>
    <n v="135"/>
    <n v="2"/>
    <n v="159.30000000000001"/>
    <n v="100"/>
    <n v="28407"/>
    <n v="24.3"/>
    <n v="1"/>
    <n v="0"/>
    <s v="F F001-000 1167"/>
    <n v="6743"/>
    <n v="135"/>
    <n v="159.30000000000001"/>
    <n v="0"/>
    <n v="18"/>
    <n v="1"/>
    <n v="1"/>
    <s v="COLABORATIVA S.A.C."/>
    <s v="Odoo"/>
    <d v="2025-10-24T10:26:16"/>
    <n v="1797"/>
    <x v="60"/>
  </r>
  <r>
    <n v="766"/>
    <n v="20250512"/>
    <n v="20250512"/>
    <m/>
    <n v="1892"/>
    <n v="1"/>
    <n v="749.07"/>
    <n v="5"/>
    <n v="883.9"/>
    <n v="100"/>
    <n v="28532"/>
    <n v="134.83000000000001"/>
    <n v="1"/>
    <n v="0"/>
    <s v="R S108-84224 N-BV-04145"/>
    <n v="6695"/>
    <n v="749.07"/>
    <n v="883.9"/>
    <n v="0"/>
    <n v="18"/>
    <n v="1"/>
    <n v="1"/>
    <s v="COLABORATIVA S.A.C."/>
    <s v="Odoo"/>
    <d v="2025-10-24T10:26:16"/>
    <n v="1450"/>
    <x v="61"/>
  </r>
  <r>
    <n v="767"/>
    <n v="20250512"/>
    <n v="20250512"/>
    <m/>
    <n v="1824"/>
    <n v="40"/>
    <n v="696"/>
    <n v="5"/>
    <n v="821.28"/>
    <n v="100"/>
    <n v="28399"/>
    <n v="125.28"/>
    <n v="1"/>
    <n v="0"/>
    <s v="F F001-00024068"/>
    <n v="877"/>
    <n v="17.399999999999999"/>
    <n v="20.53"/>
    <n v="0"/>
    <n v="18"/>
    <n v="1"/>
    <n v="1"/>
    <s v="COLABORATIVA S.A.C."/>
    <s v="Odoo"/>
    <d v="2025-10-24T10:26:16"/>
    <n v="470"/>
    <x v="62"/>
  </r>
  <r>
    <n v="768"/>
    <n v="20250512"/>
    <n v="20250512"/>
    <m/>
    <n v="1825"/>
    <n v="2"/>
    <n v="128"/>
    <n v="5"/>
    <n v="151.04"/>
    <n v="100"/>
    <n v="28400"/>
    <n v="23.04"/>
    <n v="1"/>
    <n v="0"/>
    <s v="F F001-00024068"/>
    <n v="877"/>
    <n v="64"/>
    <n v="75.52"/>
    <n v="0"/>
    <n v="18"/>
    <n v="1"/>
    <n v="1"/>
    <s v="COLABORATIVA S.A.C."/>
    <s v="Odoo"/>
    <d v="2025-10-24T10:26:16"/>
    <n v="470"/>
    <x v="62"/>
  </r>
  <r>
    <n v="769"/>
    <n v="20250511"/>
    <n v="20250511"/>
    <m/>
    <n v="1857"/>
    <n v="1"/>
    <n v="100"/>
    <n v="5"/>
    <n v="118"/>
    <n v="100"/>
    <n v="28487"/>
    <n v="18"/>
    <n v="1"/>
    <n v="0"/>
    <s v="F F052-01536673"/>
    <n v="6797"/>
    <n v="100"/>
    <n v="118"/>
    <n v="0"/>
    <n v="18"/>
    <n v="1"/>
    <n v="1"/>
    <s v="COLABORATIVA S.A.C."/>
    <s v="Odoo"/>
    <d v="2025-10-24T10:26:16"/>
    <n v="1661"/>
    <x v="63"/>
  </r>
  <r>
    <n v="770"/>
    <n v="20250511"/>
    <n v="20250511"/>
    <m/>
    <n v="1859"/>
    <n v="1"/>
    <n v="2400"/>
    <n v="2"/>
    <n v="2832"/>
    <n v="100"/>
    <n v="28383"/>
    <n v="432"/>
    <n v="1"/>
    <n v="0"/>
    <s v="F E001-00000029"/>
    <n v="6743"/>
    <n v="2400"/>
    <n v="2832"/>
    <n v="0"/>
    <n v="18"/>
    <n v="1"/>
    <n v="1"/>
    <s v="COLABORATIVA S.A.C."/>
    <s v="Odoo"/>
    <d v="2025-10-24T10:26:16"/>
    <n v="1389"/>
    <x v="64"/>
  </r>
  <r>
    <n v="771"/>
    <n v="20250509"/>
    <n v="20250509"/>
    <m/>
    <n v="219"/>
    <n v="2000"/>
    <n v="338.98"/>
    <n v="5"/>
    <n v="400"/>
    <n v="100"/>
    <n v="28388"/>
    <n v="61.02"/>
    <n v="1"/>
    <n v="0"/>
    <s v="F F001-00008823"/>
    <n v="6962"/>
    <n v="0.17"/>
    <n v="0.2"/>
    <n v="0"/>
    <n v="18"/>
    <n v="1"/>
    <n v="1"/>
    <s v="COLABORATIVA S.A.C."/>
    <s v="Odoo"/>
    <d v="2025-10-24T10:26:17"/>
    <n v="1400"/>
    <x v="65"/>
  </r>
  <r>
    <n v="772"/>
    <n v="20250509"/>
    <n v="20250509"/>
    <m/>
    <n v="219"/>
    <n v="5000"/>
    <n v="847.46"/>
    <n v="5"/>
    <n v="1000"/>
    <n v="100"/>
    <n v="28389"/>
    <n v="152.54"/>
    <n v="1"/>
    <n v="0"/>
    <s v="F F001-00008823"/>
    <n v="6962"/>
    <n v="0.17"/>
    <n v="0.2"/>
    <n v="0"/>
    <n v="18"/>
    <n v="1"/>
    <n v="1"/>
    <s v="COLABORATIVA S.A.C."/>
    <s v="Odoo"/>
    <d v="2025-10-24T10:26:17"/>
    <n v="1400"/>
    <x v="65"/>
  </r>
  <r>
    <n v="773"/>
    <n v="20250509"/>
    <n v="20250509"/>
    <m/>
    <n v="219"/>
    <n v="5000"/>
    <n v="847.46"/>
    <n v="5"/>
    <n v="1000"/>
    <n v="100"/>
    <n v="28390"/>
    <n v="152.54"/>
    <n v="1"/>
    <n v="0"/>
    <s v="F F001-00008823"/>
    <n v="6962"/>
    <n v="0.17"/>
    <n v="0.2"/>
    <n v="0"/>
    <n v="18"/>
    <n v="1"/>
    <n v="1"/>
    <s v="COLABORATIVA S.A.C."/>
    <s v="Odoo"/>
    <d v="2025-10-24T10:26:17"/>
    <n v="1400"/>
    <x v="65"/>
  </r>
  <r>
    <n v="774"/>
    <n v="20250509"/>
    <n v="20250509"/>
    <m/>
    <n v="219"/>
    <n v="5000"/>
    <n v="847.46"/>
    <n v="5"/>
    <n v="1000"/>
    <n v="100"/>
    <n v="28391"/>
    <n v="152.54"/>
    <n v="1"/>
    <n v="0"/>
    <s v="F F001-00008823"/>
    <n v="6962"/>
    <n v="0.17"/>
    <n v="0.2"/>
    <n v="0"/>
    <n v="18"/>
    <n v="1"/>
    <n v="1"/>
    <s v="COLABORATIVA S.A.C."/>
    <s v="Odoo"/>
    <d v="2025-10-24T10:26:17"/>
    <n v="1400"/>
    <x v="65"/>
  </r>
  <r>
    <n v="775"/>
    <n v="20250509"/>
    <n v="20250509"/>
    <m/>
    <n v="219"/>
    <n v="5000"/>
    <n v="847.46"/>
    <n v="5"/>
    <n v="1000"/>
    <n v="100"/>
    <n v="28392"/>
    <n v="152.54"/>
    <n v="1"/>
    <n v="0"/>
    <s v="F F001-00008823"/>
    <n v="6962"/>
    <n v="0.17"/>
    <n v="0.2"/>
    <n v="0"/>
    <n v="18"/>
    <n v="1"/>
    <n v="1"/>
    <s v="COLABORATIVA S.A.C."/>
    <s v="Odoo"/>
    <d v="2025-10-24T10:26:17"/>
    <n v="1400"/>
    <x v="65"/>
  </r>
  <r>
    <n v="776"/>
    <n v="20250509"/>
    <n v="20250509"/>
    <m/>
    <n v="219"/>
    <n v="5000"/>
    <n v="847.46"/>
    <n v="5"/>
    <n v="1000"/>
    <n v="100"/>
    <n v="28393"/>
    <n v="152.54"/>
    <n v="1"/>
    <n v="0"/>
    <s v="F F001-00008823"/>
    <n v="6962"/>
    <n v="0.17"/>
    <n v="0.2"/>
    <n v="0"/>
    <n v="18"/>
    <n v="1"/>
    <n v="1"/>
    <s v="COLABORATIVA S.A.C."/>
    <s v="Odoo"/>
    <d v="2025-10-24T10:26:17"/>
    <n v="1400"/>
    <x v="65"/>
  </r>
  <r>
    <n v="777"/>
    <n v="20250509"/>
    <n v="20250509"/>
    <m/>
    <n v="219"/>
    <n v="5000"/>
    <n v="847.46"/>
    <n v="5"/>
    <n v="1000"/>
    <n v="100"/>
    <n v="28394"/>
    <n v="152.54"/>
    <n v="1"/>
    <n v="0"/>
    <s v="F F001-00008823"/>
    <n v="6962"/>
    <n v="0.17"/>
    <n v="0.2"/>
    <n v="0"/>
    <n v="18"/>
    <n v="1"/>
    <n v="1"/>
    <s v="COLABORATIVA S.A.C."/>
    <s v="Odoo"/>
    <d v="2025-10-24T10:26:17"/>
    <n v="1400"/>
    <x v="65"/>
  </r>
  <r>
    <n v="778"/>
    <n v="20250509"/>
    <n v="20250509"/>
    <m/>
    <n v="223"/>
    <n v="1000"/>
    <n v="271.19"/>
    <n v="5"/>
    <n v="320"/>
    <n v="100"/>
    <n v="28395"/>
    <n v="48.81"/>
    <n v="1"/>
    <n v="0"/>
    <s v="F F001-00008823"/>
    <n v="6962"/>
    <n v="0.27"/>
    <n v="0.32"/>
    <n v="0"/>
    <n v="18"/>
    <n v="1"/>
    <n v="1"/>
    <s v="COLABORATIVA S.A.C."/>
    <s v="Odoo"/>
    <d v="2025-10-24T10:26:17"/>
    <n v="1400"/>
    <x v="65"/>
  </r>
  <r>
    <n v="779"/>
    <n v="20250509"/>
    <n v="20250509"/>
    <m/>
    <n v="223"/>
    <n v="500"/>
    <n v="228.81"/>
    <n v="5"/>
    <n v="270"/>
    <n v="100"/>
    <n v="28396"/>
    <n v="41.19"/>
    <n v="1"/>
    <n v="0"/>
    <s v="F F001-00008823"/>
    <n v="6962"/>
    <n v="0.46"/>
    <n v="0.54"/>
    <n v="0"/>
    <n v="18"/>
    <n v="1"/>
    <n v="1"/>
    <s v="COLABORATIVA S.A.C."/>
    <s v="Odoo"/>
    <d v="2025-10-24T10:26:17"/>
    <n v="1400"/>
    <x v="65"/>
  </r>
  <r>
    <n v="780"/>
    <n v="20250507"/>
    <n v="20250507"/>
    <m/>
    <n v="1856"/>
    <n v="1"/>
    <n v="63.56"/>
    <n v="5"/>
    <n v="75"/>
    <n v="100"/>
    <n v="28370"/>
    <n v="11.44"/>
    <n v="1"/>
    <n v="0"/>
    <s v="F E001-00000033"/>
    <n v="6746"/>
    <n v="63.56"/>
    <n v="75"/>
    <n v="0"/>
    <n v="18"/>
    <n v="1"/>
    <n v="1"/>
    <s v="COLABORATIVA S.A.C."/>
    <s v="Odoo"/>
    <d v="2025-10-24T10:26:17"/>
    <n v="779"/>
    <x v="66"/>
  </r>
  <r>
    <n v="781"/>
    <n v="20250506"/>
    <n v="20250506"/>
    <m/>
    <n v="1843"/>
    <n v="2"/>
    <n v="20"/>
    <n v="5"/>
    <n v="23.6"/>
    <n v="100"/>
    <n v="28373"/>
    <n v="3.6"/>
    <n v="1"/>
    <n v="0"/>
    <s v="F E001-00001285"/>
    <n v="6676"/>
    <n v="10"/>
    <n v="11.8"/>
    <n v="0"/>
    <n v="18"/>
    <n v="1"/>
    <n v="1"/>
    <s v="COLABORATIVA S.A.C."/>
    <s v="Odoo"/>
    <d v="2025-10-24T10:26:17"/>
    <n v="1454"/>
    <x v="67"/>
  </r>
  <r>
    <n v="782"/>
    <n v="20250506"/>
    <n v="20250506"/>
    <m/>
    <n v="1855"/>
    <n v="1"/>
    <n v="1500"/>
    <n v="5"/>
    <n v="1500"/>
    <n v="100"/>
    <n v="28364"/>
    <n v="0"/>
    <n v="1"/>
    <n v="0"/>
    <s v="R E001-13"/>
    <n v="6743"/>
    <n v="1500"/>
    <n v="1500"/>
    <n v="0"/>
    <n v="0"/>
    <n v="1"/>
    <n v="1"/>
    <s v="COLABORATIVA S.A.C."/>
    <s v="Odoo"/>
    <d v="2025-10-24T10:26:18"/>
    <n v="1786"/>
    <x v="68"/>
  </r>
  <r>
    <n v="783"/>
    <n v="20250505"/>
    <n v="20250505"/>
    <m/>
    <n v="1852"/>
    <n v="1"/>
    <n v="329.66"/>
    <n v="5"/>
    <n v="389"/>
    <n v="100"/>
    <n v="28355"/>
    <n v="59.34"/>
    <n v="1"/>
    <n v="0"/>
    <s v="F E001-00000032"/>
    <n v="6746"/>
    <n v="329.66"/>
    <n v="389"/>
    <n v="0"/>
    <n v="18"/>
    <n v="1"/>
    <n v="1"/>
    <s v="COLABORATIVA S.A.C."/>
    <s v="Odoo"/>
    <d v="2025-10-24T10:26:18"/>
    <n v="779"/>
    <x v="69"/>
  </r>
  <r>
    <n v="784"/>
    <n v="20250505"/>
    <n v="20250505"/>
    <m/>
    <n v="1853"/>
    <n v="1"/>
    <n v="244.92"/>
    <n v="5"/>
    <n v="289.01"/>
    <n v="100"/>
    <n v="28356"/>
    <n v="44.09"/>
    <n v="1"/>
    <n v="0"/>
    <s v="F E001-00000032"/>
    <n v="6746"/>
    <n v="244.92"/>
    <n v="289.01"/>
    <n v="0"/>
    <n v="18"/>
    <n v="1"/>
    <n v="1"/>
    <s v="COLABORATIVA S.A.C."/>
    <s v="Odoo"/>
    <d v="2025-10-24T10:26:18"/>
    <n v="779"/>
    <x v="69"/>
  </r>
  <r>
    <n v="785"/>
    <n v="20250505"/>
    <n v="20250505"/>
    <m/>
    <n v="239"/>
    <n v="1"/>
    <n v="321.19"/>
    <n v="5"/>
    <n v="379"/>
    <n v="100"/>
    <n v="28357"/>
    <n v="57.81"/>
    <n v="1"/>
    <n v="0"/>
    <s v="F E001-00000032"/>
    <n v="6746"/>
    <n v="321.19"/>
    <n v="379"/>
    <n v="0"/>
    <n v="18"/>
    <n v="1"/>
    <n v="1"/>
    <s v="COLABORATIVA S.A.C."/>
    <s v="Odoo"/>
    <d v="2025-10-24T10:26:18"/>
    <n v="779"/>
    <x v="69"/>
  </r>
  <r>
    <n v="786"/>
    <n v="20250505"/>
    <n v="20250505"/>
    <m/>
    <n v="1851"/>
    <n v="1"/>
    <n v="182.5"/>
    <n v="2"/>
    <n v="182.5"/>
    <n v="100"/>
    <n v="28348"/>
    <n v="0"/>
    <n v="1"/>
    <n v="0"/>
    <s v="R E001-18"/>
    <n v="6743"/>
    <n v="182.5"/>
    <n v="182.5"/>
    <n v="0"/>
    <n v="0"/>
    <n v="1"/>
    <n v="1"/>
    <s v="COLABORATIVA S.A.C."/>
    <s v="Odoo"/>
    <d v="2025-10-24T10:26:18"/>
    <n v="1784"/>
    <x v="70"/>
  </r>
  <r>
    <n v="787"/>
    <n v="20250505"/>
    <n v="20250505"/>
    <m/>
    <n v="1848"/>
    <n v="1"/>
    <n v="329.66"/>
    <n v="5"/>
    <n v="389"/>
    <n v="100"/>
    <n v="28343"/>
    <n v="59.34"/>
    <n v="3"/>
    <n v="0"/>
    <s v="F E001-00000031"/>
    <n v="6746"/>
    <n v="329.66"/>
    <n v="389"/>
    <n v="0"/>
    <n v="18"/>
    <n v="1"/>
    <n v="1"/>
    <s v="COLABORATIVA S.A.C."/>
    <s v="Odoo"/>
    <d v="2025-10-24T10:26:18"/>
    <n v="779"/>
    <x v="71"/>
  </r>
  <r>
    <n v="788"/>
    <n v="20250505"/>
    <n v="20250505"/>
    <m/>
    <n v="1849"/>
    <n v="1"/>
    <n v="244.92"/>
    <n v="5"/>
    <n v="289"/>
    <n v="100"/>
    <n v="28344"/>
    <n v="44.08"/>
    <n v="3"/>
    <n v="0"/>
    <s v="F E001-00000031"/>
    <n v="6746"/>
    <n v="244.92"/>
    <n v="289"/>
    <n v="0"/>
    <n v="18"/>
    <n v="1"/>
    <n v="1"/>
    <s v="COLABORATIVA S.A.C."/>
    <s v="Odoo"/>
    <d v="2025-10-24T10:26:18"/>
    <n v="779"/>
    <x v="71"/>
  </r>
  <r>
    <n v="789"/>
    <n v="20250505"/>
    <n v="20250505"/>
    <m/>
    <n v="239"/>
    <n v="1"/>
    <n v="130.51"/>
    <n v="5"/>
    <n v="154"/>
    <n v="100"/>
    <n v="28345"/>
    <n v="23.49"/>
    <n v="3"/>
    <n v="0"/>
    <s v="F E001-00000031"/>
    <n v="6746"/>
    <n v="130.51"/>
    <n v="154"/>
    <n v="0"/>
    <n v="18"/>
    <n v="1"/>
    <n v="1"/>
    <s v="COLABORATIVA S.A.C."/>
    <s v="Odoo"/>
    <d v="2025-10-24T10:26:18"/>
    <n v="779"/>
    <x v="71"/>
  </r>
  <r>
    <n v="790"/>
    <n v="20250504"/>
    <n v="20250504"/>
    <m/>
    <n v="1847"/>
    <n v="2"/>
    <n v="48"/>
    <n v="5"/>
    <n v="56.64"/>
    <n v="100"/>
    <n v="28332"/>
    <n v="8.64"/>
    <n v="1"/>
    <n v="0"/>
    <s v="F E001-00000242"/>
    <n v="877"/>
    <n v="24"/>
    <n v="28.32"/>
    <n v="0"/>
    <n v="18"/>
    <n v="1"/>
    <n v="1"/>
    <s v="COLABORATIVA S.A.C."/>
    <s v="Odoo"/>
    <d v="2025-10-24T10:26:18"/>
    <n v="482"/>
    <x v="72"/>
  </r>
  <r>
    <n v="840"/>
    <n v="20250408"/>
    <n v="20250408"/>
    <m/>
    <n v="1814"/>
    <n v="1"/>
    <n v="502.54"/>
    <n v="5"/>
    <n v="593"/>
    <n v="100"/>
    <n v="28162"/>
    <n v="90.46"/>
    <n v="3"/>
    <n v="0"/>
    <s v="F E001-00000247"/>
    <n v="877"/>
    <n v="502.54"/>
    <n v="593"/>
    <n v="0"/>
    <n v="18"/>
    <n v="1"/>
    <n v="1"/>
    <s v="COLABORATIVA S.A.C."/>
    <s v="Odoo"/>
    <d v="2025-10-24T10:26:23"/>
    <n v="1660"/>
    <x v="73"/>
  </r>
  <r>
    <n v="841"/>
    <n v="20250408"/>
    <n v="20250408"/>
    <m/>
    <n v="1813"/>
    <n v="1"/>
    <n v="9657.44"/>
    <n v="5"/>
    <n v="11395.78"/>
    <n v="100"/>
    <n v="28152"/>
    <n v="1738.34"/>
    <n v="1"/>
    <n v="0"/>
    <s v="F E001-00000051"/>
    <n v="6743"/>
    <n v="9657.44"/>
    <n v="11395.78"/>
    <n v="0"/>
    <n v="18"/>
    <n v="1"/>
    <n v="1"/>
    <s v="COLABORATIVA S.A.C."/>
    <s v="Odoo"/>
    <d v="2025-10-24T10:26:23"/>
    <n v="1659"/>
    <x v="7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F78FCC-A9E0-4891-9C37-9EB1793FB18E}" name="TablaDinámica1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Facturas sin Distribucion Analitica">
  <location ref="A3:E79" firstHeaderRow="0" firstDataRow="1" firstDataCol="1"/>
  <pivotFields count="27"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axis="axisRow" dataField="1" showAll="0">
      <items count="76">
        <item x="48"/>
        <item x="64"/>
        <item x="71"/>
        <item x="69"/>
        <item x="66"/>
        <item x="53"/>
        <item x="51"/>
        <item x="41"/>
        <item x="21"/>
        <item x="42"/>
        <item x="74"/>
        <item x="38"/>
        <item x="50"/>
        <item x="72"/>
        <item x="73"/>
        <item x="59"/>
        <item x="58"/>
        <item x="29"/>
        <item x="49"/>
        <item x="52"/>
        <item x="40"/>
        <item x="39"/>
        <item x="19"/>
        <item x="18"/>
        <item x="27"/>
        <item x="26"/>
        <item x="67"/>
        <item x="55"/>
        <item x="28"/>
        <item x="60"/>
        <item x="54"/>
        <item x="65"/>
        <item x="45"/>
        <item x="20"/>
        <item x="62"/>
        <item x="37"/>
        <item x="36"/>
        <item x="43"/>
        <item x="35"/>
        <item x="22"/>
        <item x="25"/>
        <item x="23"/>
        <item x="63"/>
        <item x="31"/>
        <item x="30"/>
        <item x="57"/>
        <item x="13"/>
        <item x="16"/>
        <item x="7"/>
        <item x="15"/>
        <item x="17"/>
        <item x="14"/>
        <item x="12"/>
        <item x="11"/>
        <item x="10"/>
        <item x="9"/>
        <item x="8"/>
        <item x="6"/>
        <item x="5"/>
        <item x="3"/>
        <item x="2"/>
        <item x="4"/>
        <item x="1"/>
        <item x="0"/>
        <item x="46"/>
        <item x="56"/>
        <item x="44"/>
        <item x="34"/>
        <item x="32"/>
        <item x="33"/>
        <item x="68"/>
        <item x="70"/>
        <item x="47"/>
        <item x="61"/>
        <item x="24"/>
        <item t="default"/>
      </items>
    </pivotField>
  </pivotFields>
  <rowFields count="1">
    <field x="26"/>
  </rowFields>
  <rowItems count="7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 Q" fld="26" subtotal="count" baseField="0" baseItem="0"/>
    <dataField name="Suma de SinImpuesto" fld="6" baseField="0" baseItem="0"/>
    <dataField name="Suma de Impuesto" fld="11" baseField="0" baseItem="0"/>
    <dataField name="Suma de Total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2592B-E157-40C2-BD5C-8F69D1A93F46}">
  <dimension ref="A3:E79"/>
  <sheetViews>
    <sheetView tabSelected="1" topLeftCell="A49" workbookViewId="0">
      <selection activeCell="C79" sqref="C79"/>
    </sheetView>
  </sheetViews>
  <sheetFormatPr baseColWidth="10" defaultRowHeight="15" x14ac:dyDescent="0.25"/>
  <cols>
    <col min="1" max="1" width="34.28515625" bestFit="1" customWidth="1"/>
    <col min="2" max="2" width="5.5703125" bestFit="1" customWidth="1"/>
    <col min="3" max="3" width="20.7109375" bestFit="1" customWidth="1"/>
    <col min="4" max="4" width="17.85546875" bestFit="1" customWidth="1"/>
    <col min="5" max="5" width="13.5703125" bestFit="1" customWidth="1"/>
  </cols>
  <sheetData>
    <row r="3" spans="1:5" x14ac:dyDescent="0.25">
      <c r="A3" s="4" t="s">
        <v>134</v>
      </c>
      <c r="B3" t="s">
        <v>135</v>
      </c>
      <c r="C3" t="s">
        <v>133</v>
      </c>
      <c r="D3" t="s">
        <v>131</v>
      </c>
      <c r="E3" t="s">
        <v>132</v>
      </c>
    </row>
    <row r="4" spans="1:5" x14ac:dyDescent="0.25">
      <c r="A4" s="5" t="s">
        <v>50</v>
      </c>
      <c r="B4" s="6">
        <v>2</v>
      </c>
      <c r="C4" s="6">
        <v>912</v>
      </c>
      <c r="D4" s="6">
        <v>164.16</v>
      </c>
      <c r="E4" s="6">
        <v>1076.1599999999999</v>
      </c>
    </row>
    <row r="5" spans="1:5" x14ac:dyDescent="0.25">
      <c r="A5" s="5" t="s">
        <v>66</v>
      </c>
      <c r="B5" s="6">
        <v>1</v>
      </c>
      <c r="C5" s="6">
        <v>2400</v>
      </c>
      <c r="D5" s="6">
        <v>432</v>
      </c>
      <c r="E5" s="6">
        <v>2832</v>
      </c>
    </row>
    <row r="6" spans="1:5" x14ac:dyDescent="0.25">
      <c r="A6" s="5" t="s">
        <v>73</v>
      </c>
      <c r="B6" s="6">
        <v>3</v>
      </c>
      <c r="C6" s="6">
        <v>705.09</v>
      </c>
      <c r="D6" s="6">
        <v>126.91</v>
      </c>
      <c r="E6" s="6">
        <v>832</v>
      </c>
    </row>
    <row r="7" spans="1:5" x14ac:dyDescent="0.25">
      <c r="A7" s="5" t="s">
        <v>71</v>
      </c>
      <c r="B7" s="6">
        <v>3</v>
      </c>
      <c r="C7" s="6">
        <v>895.77</v>
      </c>
      <c r="D7" s="6">
        <v>161.24</v>
      </c>
      <c r="E7" s="6">
        <v>1057.01</v>
      </c>
    </row>
    <row r="8" spans="1:5" x14ac:dyDescent="0.25">
      <c r="A8" s="5" t="s">
        <v>68</v>
      </c>
      <c r="B8" s="6">
        <v>1</v>
      </c>
      <c r="C8" s="6">
        <v>63.56</v>
      </c>
      <c r="D8" s="6">
        <v>11.44</v>
      </c>
      <c r="E8" s="6">
        <v>75</v>
      </c>
    </row>
    <row r="9" spans="1:5" x14ac:dyDescent="0.25">
      <c r="A9" s="5" t="s">
        <v>55</v>
      </c>
      <c r="B9" s="6">
        <v>2</v>
      </c>
      <c r="C9" s="6">
        <v>338.97999999999996</v>
      </c>
      <c r="D9" s="6">
        <v>61.019999999999996</v>
      </c>
      <c r="E9" s="6">
        <v>400</v>
      </c>
    </row>
    <row r="10" spans="1:5" x14ac:dyDescent="0.25">
      <c r="A10" s="5" t="s">
        <v>53</v>
      </c>
      <c r="B10" s="6">
        <v>1</v>
      </c>
      <c r="C10" s="6">
        <v>94.92</v>
      </c>
      <c r="D10" s="6">
        <v>17.079999999999998</v>
      </c>
      <c r="E10" s="6">
        <v>112</v>
      </c>
    </row>
    <row r="11" spans="1:5" x14ac:dyDescent="0.25">
      <c r="A11" s="5" t="s">
        <v>43</v>
      </c>
      <c r="B11" s="6">
        <v>5</v>
      </c>
      <c r="C11" s="6">
        <v>781.19</v>
      </c>
      <c r="D11" s="6">
        <v>140.61000000000001</v>
      </c>
      <c r="E11" s="6">
        <v>921.8</v>
      </c>
    </row>
    <row r="12" spans="1:5" x14ac:dyDescent="0.25">
      <c r="A12" s="5" t="s">
        <v>23</v>
      </c>
      <c r="B12" s="6">
        <v>3</v>
      </c>
      <c r="C12" s="6">
        <v>3990</v>
      </c>
      <c r="D12" s="6">
        <v>718.2</v>
      </c>
      <c r="E12" s="6">
        <v>4708.2</v>
      </c>
    </row>
    <row r="13" spans="1:5" x14ac:dyDescent="0.25">
      <c r="A13" s="5" t="s">
        <v>44</v>
      </c>
      <c r="B13" s="6">
        <v>1</v>
      </c>
      <c r="C13" s="6">
        <v>960</v>
      </c>
      <c r="D13" s="6">
        <v>172.8</v>
      </c>
      <c r="E13" s="6">
        <v>1132.8</v>
      </c>
    </row>
    <row r="14" spans="1:5" x14ac:dyDescent="0.25">
      <c r="A14" s="5" t="s">
        <v>76</v>
      </c>
      <c r="B14" s="6">
        <v>1</v>
      </c>
      <c r="C14" s="6">
        <v>9657.44</v>
      </c>
      <c r="D14" s="6">
        <v>1738.34</v>
      </c>
      <c r="E14" s="6">
        <v>11395.78</v>
      </c>
    </row>
    <row r="15" spans="1:5" x14ac:dyDescent="0.25">
      <c r="A15" s="5" t="s">
        <v>40</v>
      </c>
      <c r="B15" s="6">
        <v>1</v>
      </c>
      <c r="C15" s="6">
        <v>362</v>
      </c>
      <c r="D15" s="6">
        <v>65.16</v>
      </c>
      <c r="E15" s="6">
        <v>427.16</v>
      </c>
    </row>
    <row r="16" spans="1:5" x14ac:dyDescent="0.25">
      <c r="A16" s="5" t="s">
        <v>52</v>
      </c>
      <c r="B16" s="6">
        <v>1</v>
      </c>
      <c r="C16" s="6">
        <v>220</v>
      </c>
      <c r="D16" s="6">
        <v>39.6</v>
      </c>
      <c r="E16" s="6">
        <v>259.60000000000002</v>
      </c>
    </row>
    <row r="17" spans="1:5" x14ac:dyDescent="0.25">
      <c r="A17" s="5" t="s">
        <v>74</v>
      </c>
      <c r="B17" s="6">
        <v>1</v>
      </c>
      <c r="C17" s="6">
        <v>48</v>
      </c>
      <c r="D17" s="6">
        <v>8.64</v>
      </c>
      <c r="E17" s="6">
        <v>56.64</v>
      </c>
    </row>
    <row r="18" spans="1:5" x14ac:dyDescent="0.25">
      <c r="A18" s="5" t="s">
        <v>75</v>
      </c>
      <c r="B18" s="6">
        <v>1</v>
      </c>
      <c r="C18" s="6">
        <v>502.54</v>
      </c>
      <c r="D18" s="6">
        <v>90.46</v>
      </c>
      <c r="E18" s="6">
        <v>593</v>
      </c>
    </row>
    <row r="19" spans="1:5" x14ac:dyDescent="0.25">
      <c r="A19" s="5" t="s">
        <v>61</v>
      </c>
      <c r="B19" s="6">
        <v>1</v>
      </c>
      <c r="C19" s="6">
        <v>4521.1899999999996</v>
      </c>
      <c r="D19" s="6">
        <v>813.81</v>
      </c>
      <c r="E19" s="6">
        <v>5335</v>
      </c>
    </row>
    <row r="20" spans="1:5" x14ac:dyDescent="0.25">
      <c r="A20" s="5" t="s">
        <v>60</v>
      </c>
      <c r="B20" s="6">
        <v>1</v>
      </c>
      <c r="C20" s="6">
        <v>1250</v>
      </c>
      <c r="D20" s="6">
        <v>225</v>
      </c>
      <c r="E20" s="6">
        <v>1475</v>
      </c>
    </row>
    <row r="21" spans="1:5" x14ac:dyDescent="0.25">
      <c r="A21" s="5" t="s">
        <v>31</v>
      </c>
      <c r="B21" s="6">
        <v>1</v>
      </c>
      <c r="C21" s="6">
        <v>298.31</v>
      </c>
      <c r="D21" s="6">
        <v>53.69</v>
      </c>
      <c r="E21" s="6">
        <v>352</v>
      </c>
    </row>
    <row r="22" spans="1:5" x14ac:dyDescent="0.25">
      <c r="A22" s="5" t="s">
        <v>51</v>
      </c>
      <c r="B22" s="6">
        <v>2</v>
      </c>
      <c r="C22" s="6">
        <v>421.9</v>
      </c>
      <c r="D22" s="6">
        <v>75.94</v>
      </c>
      <c r="E22" s="6">
        <v>497.84</v>
      </c>
    </row>
    <row r="23" spans="1:5" x14ac:dyDescent="0.25">
      <c r="A23" s="5" t="s">
        <v>54</v>
      </c>
      <c r="B23" s="6">
        <v>7</v>
      </c>
      <c r="C23" s="6">
        <v>1327.96</v>
      </c>
      <c r="D23" s="6">
        <v>239.04</v>
      </c>
      <c r="E23" s="6">
        <v>1567</v>
      </c>
    </row>
    <row r="24" spans="1:5" x14ac:dyDescent="0.25">
      <c r="A24" s="5" t="s">
        <v>42</v>
      </c>
      <c r="B24" s="6">
        <v>4</v>
      </c>
      <c r="C24" s="6">
        <v>21430</v>
      </c>
      <c r="D24" s="6">
        <v>3857.4</v>
      </c>
      <c r="E24" s="6">
        <v>25287.4</v>
      </c>
    </row>
    <row r="25" spans="1:5" x14ac:dyDescent="0.25">
      <c r="A25" s="5" t="s">
        <v>41</v>
      </c>
      <c r="B25" s="6">
        <v>4</v>
      </c>
      <c r="C25" s="6">
        <v>10500</v>
      </c>
      <c r="D25" s="6">
        <v>1890</v>
      </c>
      <c r="E25" s="6">
        <v>12390</v>
      </c>
    </row>
    <row r="26" spans="1:5" x14ac:dyDescent="0.25">
      <c r="A26" s="5" t="s">
        <v>21</v>
      </c>
      <c r="B26" s="6">
        <v>3</v>
      </c>
      <c r="C26" s="6">
        <v>21373.68</v>
      </c>
      <c r="D26" s="6">
        <v>3847.26</v>
      </c>
      <c r="E26" s="6">
        <v>25220.94</v>
      </c>
    </row>
    <row r="27" spans="1:5" x14ac:dyDescent="0.25">
      <c r="A27" s="5" t="s">
        <v>20</v>
      </c>
      <c r="B27" s="6">
        <v>2</v>
      </c>
      <c r="C27" s="6">
        <v>9765.85</v>
      </c>
      <c r="D27" s="6">
        <v>1757.85</v>
      </c>
      <c r="E27" s="6">
        <v>11523.7</v>
      </c>
    </row>
    <row r="28" spans="1:5" x14ac:dyDescent="0.25">
      <c r="A28" s="5" t="s">
        <v>29</v>
      </c>
      <c r="B28" s="6">
        <v>1</v>
      </c>
      <c r="C28" s="6">
        <v>2667</v>
      </c>
      <c r="D28" s="6">
        <v>480.06</v>
      </c>
      <c r="E28" s="6">
        <v>3147.06</v>
      </c>
    </row>
    <row r="29" spans="1:5" x14ac:dyDescent="0.25">
      <c r="A29" s="5" t="s">
        <v>28</v>
      </c>
      <c r="B29" s="6">
        <v>2</v>
      </c>
      <c r="C29" s="6">
        <v>211.87</v>
      </c>
      <c r="D29" s="6">
        <v>38.14</v>
      </c>
      <c r="E29" s="6">
        <v>250.01</v>
      </c>
    </row>
    <row r="30" spans="1:5" x14ac:dyDescent="0.25">
      <c r="A30" s="5" t="s">
        <v>69</v>
      </c>
      <c r="B30" s="6">
        <v>1</v>
      </c>
      <c r="C30" s="6">
        <v>20</v>
      </c>
      <c r="D30" s="6">
        <v>3.6</v>
      </c>
      <c r="E30" s="6">
        <v>23.6</v>
      </c>
    </row>
    <row r="31" spans="1:5" x14ac:dyDescent="0.25">
      <c r="A31" s="5" t="s">
        <v>57</v>
      </c>
      <c r="B31" s="6">
        <v>2</v>
      </c>
      <c r="C31" s="6">
        <v>516.95000000000005</v>
      </c>
      <c r="D31" s="6">
        <v>93.050000000000011</v>
      </c>
      <c r="E31" s="6">
        <v>610</v>
      </c>
    </row>
    <row r="32" spans="1:5" x14ac:dyDescent="0.25">
      <c r="A32" s="5" t="s">
        <v>30</v>
      </c>
      <c r="B32" s="6">
        <v>17</v>
      </c>
      <c r="C32" s="6">
        <v>434.69</v>
      </c>
      <c r="D32" s="6">
        <v>78.25</v>
      </c>
      <c r="E32" s="6">
        <v>512.94000000000005</v>
      </c>
    </row>
    <row r="33" spans="1:5" x14ac:dyDescent="0.25">
      <c r="A33" s="5" t="s">
        <v>104</v>
      </c>
      <c r="B33" s="6">
        <v>1</v>
      </c>
      <c r="C33" s="6">
        <v>135</v>
      </c>
      <c r="D33" s="6">
        <v>24.3</v>
      </c>
      <c r="E33" s="6">
        <v>159.30000000000001</v>
      </c>
    </row>
    <row r="34" spans="1:5" x14ac:dyDescent="0.25">
      <c r="A34" s="5" t="s">
        <v>105</v>
      </c>
      <c r="B34" s="6">
        <v>2</v>
      </c>
      <c r="C34" s="6">
        <v>626.2700000000001</v>
      </c>
      <c r="D34" s="6">
        <v>112.73</v>
      </c>
      <c r="E34" s="6">
        <v>739</v>
      </c>
    </row>
    <row r="35" spans="1:5" x14ac:dyDescent="0.25">
      <c r="A35" s="5" t="s">
        <v>67</v>
      </c>
      <c r="B35" s="6">
        <v>9</v>
      </c>
      <c r="C35" s="6">
        <v>5923.7400000000007</v>
      </c>
      <c r="D35" s="6">
        <v>1066.26</v>
      </c>
      <c r="E35" s="6">
        <v>6990</v>
      </c>
    </row>
    <row r="36" spans="1:5" x14ac:dyDescent="0.25">
      <c r="A36" s="5" t="s">
        <v>47</v>
      </c>
      <c r="B36" s="6">
        <v>12</v>
      </c>
      <c r="C36" s="6">
        <v>2724.59</v>
      </c>
      <c r="D36" s="6">
        <v>490.40999999999985</v>
      </c>
      <c r="E36" s="6">
        <v>3215</v>
      </c>
    </row>
    <row r="37" spans="1:5" x14ac:dyDescent="0.25">
      <c r="A37" s="5" t="s">
        <v>22</v>
      </c>
      <c r="B37" s="6">
        <v>20</v>
      </c>
      <c r="C37" s="6">
        <v>5364.4199999999992</v>
      </c>
      <c r="D37" s="6">
        <v>965.58000000000015</v>
      </c>
      <c r="E37" s="6">
        <v>6330</v>
      </c>
    </row>
    <row r="38" spans="1:5" x14ac:dyDescent="0.25">
      <c r="A38" s="5" t="s">
        <v>64</v>
      </c>
      <c r="B38" s="6">
        <v>2</v>
      </c>
      <c r="C38" s="6">
        <v>824</v>
      </c>
      <c r="D38" s="6">
        <v>148.32</v>
      </c>
      <c r="E38" s="6">
        <v>972.31999999999994</v>
      </c>
    </row>
    <row r="39" spans="1:5" x14ac:dyDescent="0.25">
      <c r="A39" s="5" t="s">
        <v>39</v>
      </c>
      <c r="B39" s="6">
        <v>2</v>
      </c>
      <c r="C39" s="6">
        <v>1172</v>
      </c>
      <c r="D39" s="6">
        <v>210.95999999999998</v>
      </c>
      <c r="E39" s="6">
        <v>1382.96</v>
      </c>
    </row>
    <row r="40" spans="1:5" x14ac:dyDescent="0.25">
      <c r="A40" s="5" t="s">
        <v>38</v>
      </c>
      <c r="B40" s="6">
        <v>2</v>
      </c>
      <c r="C40" s="6">
        <v>1172</v>
      </c>
      <c r="D40" s="6">
        <v>210.95999999999998</v>
      </c>
      <c r="E40" s="6">
        <v>1382.96</v>
      </c>
    </row>
    <row r="41" spans="1:5" x14ac:dyDescent="0.25">
      <c r="A41" s="5" t="s">
        <v>45</v>
      </c>
      <c r="B41" s="6">
        <v>4</v>
      </c>
      <c r="C41" s="6">
        <v>644.08000000000004</v>
      </c>
      <c r="D41" s="6">
        <v>115.92</v>
      </c>
      <c r="E41" s="6">
        <v>760</v>
      </c>
    </row>
    <row r="42" spans="1:5" x14ac:dyDescent="0.25">
      <c r="A42" s="5" t="s">
        <v>37</v>
      </c>
      <c r="B42" s="6">
        <v>1</v>
      </c>
      <c r="C42" s="6">
        <v>1000</v>
      </c>
      <c r="D42" s="6">
        <v>180</v>
      </c>
      <c r="E42" s="6">
        <v>1180</v>
      </c>
    </row>
    <row r="43" spans="1:5" x14ac:dyDescent="0.25">
      <c r="A43" s="5" t="s">
        <v>24</v>
      </c>
      <c r="B43" s="6">
        <v>11</v>
      </c>
      <c r="C43" s="6">
        <v>8855.880000000001</v>
      </c>
      <c r="D43" s="6">
        <v>1594.1200000000001</v>
      </c>
      <c r="E43" s="6">
        <v>10450</v>
      </c>
    </row>
    <row r="44" spans="1:5" x14ac:dyDescent="0.25">
      <c r="A44" s="5" t="s">
        <v>27</v>
      </c>
      <c r="B44" s="6">
        <v>3</v>
      </c>
      <c r="C44" s="6">
        <v>75.849999999999994</v>
      </c>
      <c r="D44" s="6">
        <v>13.65</v>
      </c>
      <c r="E44" s="6">
        <v>89.5</v>
      </c>
    </row>
    <row r="45" spans="1:5" x14ac:dyDescent="0.25">
      <c r="A45" s="5" t="s">
        <v>25</v>
      </c>
      <c r="B45" s="6">
        <v>3</v>
      </c>
      <c r="C45" s="6">
        <v>366.09999999999997</v>
      </c>
      <c r="D45" s="6">
        <v>65.89</v>
      </c>
      <c r="E45" s="6">
        <v>431.99</v>
      </c>
    </row>
    <row r="46" spans="1:5" x14ac:dyDescent="0.25">
      <c r="A46" s="5" t="s">
        <v>65</v>
      </c>
      <c r="B46" s="6">
        <v>1</v>
      </c>
      <c r="C46" s="6">
        <v>100</v>
      </c>
      <c r="D46" s="6">
        <v>18</v>
      </c>
      <c r="E46" s="6">
        <v>118</v>
      </c>
    </row>
    <row r="47" spans="1:5" x14ac:dyDescent="0.25">
      <c r="A47" s="5" t="s">
        <v>33</v>
      </c>
      <c r="B47" s="6">
        <v>1</v>
      </c>
      <c r="C47" s="6">
        <v>100</v>
      </c>
      <c r="D47" s="6">
        <v>18</v>
      </c>
      <c r="E47" s="6">
        <v>118</v>
      </c>
    </row>
    <row r="48" spans="1:5" x14ac:dyDescent="0.25">
      <c r="A48" s="5" t="s">
        <v>32</v>
      </c>
      <c r="B48" s="6">
        <v>1</v>
      </c>
      <c r="C48" s="6">
        <v>355.93</v>
      </c>
      <c r="D48" s="6">
        <v>64.069999999999993</v>
      </c>
      <c r="E48" s="6">
        <v>420</v>
      </c>
    </row>
    <row r="49" spans="1:5" x14ac:dyDescent="0.25">
      <c r="A49" s="5" t="s">
        <v>59</v>
      </c>
      <c r="B49" s="6">
        <v>4</v>
      </c>
      <c r="C49" s="6">
        <v>492.38</v>
      </c>
      <c r="D49" s="6">
        <v>88.62</v>
      </c>
      <c r="E49" s="6">
        <v>581</v>
      </c>
    </row>
    <row r="50" spans="1:5" x14ac:dyDescent="0.25">
      <c r="A50" s="5" t="s">
        <v>15</v>
      </c>
      <c r="B50" s="6">
        <v>1</v>
      </c>
      <c r="C50" s="6">
        <v>626.19000000000005</v>
      </c>
      <c r="D50" s="6">
        <v>112.71</v>
      </c>
      <c r="E50" s="6">
        <v>738.9</v>
      </c>
    </row>
    <row r="51" spans="1:5" x14ac:dyDescent="0.25">
      <c r="A51" s="5" t="s">
        <v>106</v>
      </c>
      <c r="B51" s="6">
        <v>1</v>
      </c>
      <c r="C51" s="6">
        <v>0</v>
      </c>
      <c r="D51" s="6">
        <v>0</v>
      </c>
      <c r="E51" s="6">
        <v>0</v>
      </c>
    </row>
    <row r="52" spans="1:5" x14ac:dyDescent="0.25">
      <c r="A52" s="5" t="s">
        <v>107</v>
      </c>
      <c r="B52" s="6">
        <v>1</v>
      </c>
      <c r="C52" s="6">
        <v>456</v>
      </c>
      <c r="D52" s="6">
        <v>82.08</v>
      </c>
      <c r="E52" s="6">
        <v>538.08000000000004</v>
      </c>
    </row>
    <row r="53" spans="1:5" x14ac:dyDescent="0.25">
      <c r="A53" s="5" t="s">
        <v>108</v>
      </c>
      <c r="B53" s="6">
        <v>1</v>
      </c>
      <c r="C53" s="6">
        <v>141.5</v>
      </c>
      <c r="D53" s="6">
        <v>0</v>
      </c>
      <c r="E53" s="6">
        <v>141.5</v>
      </c>
    </row>
    <row r="54" spans="1:5" x14ac:dyDescent="0.25">
      <c r="A54" s="5" t="s">
        <v>109</v>
      </c>
      <c r="B54" s="6">
        <v>4</v>
      </c>
      <c r="C54" s="6">
        <v>3669.1499999999996</v>
      </c>
      <c r="D54" s="6">
        <v>660.45</v>
      </c>
      <c r="E54" s="6">
        <v>4329.6000000000004</v>
      </c>
    </row>
    <row r="55" spans="1:5" x14ac:dyDescent="0.25">
      <c r="A55" s="5" t="s">
        <v>110</v>
      </c>
      <c r="B55" s="6">
        <v>4</v>
      </c>
      <c r="C55" s="6">
        <v>296.19</v>
      </c>
      <c r="D55" s="6">
        <v>53.31</v>
      </c>
      <c r="E55" s="6">
        <v>349.5</v>
      </c>
    </row>
    <row r="56" spans="1:5" x14ac:dyDescent="0.25">
      <c r="A56" s="5" t="s">
        <v>111</v>
      </c>
      <c r="B56" s="6">
        <v>1</v>
      </c>
      <c r="C56" s="6">
        <v>2550</v>
      </c>
      <c r="D56" s="6">
        <v>459</v>
      </c>
      <c r="E56" s="6">
        <v>3009</v>
      </c>
    </row>
    <row r="57" spans="1:5" x14ac:dyDescent="0.25">
      <c r="A57" s="5" t="s">
        <v>112</v>
      </c>
      <c r="B57" s="6">
        <v>1</v>
      </c>
      <c r="C57" s="6">
        <v>528.03</v>
      </c>
      <c r="D57" s="6">
        <v>95.04</v>
      </c>
      <c r="E57" s="6">
        <v>623.07000000000005</v>
      </c>
    </row>
    <row r="58" spans="1:5" x14ac:dyDescent="0.25">
      <c r="A58" s="5" t="s">
        <v>113</v>
      </c>
      <c r="B58" s="6">
        <v>1</v>
      </c>
      <c r="C58" s="6">
        <v>528.03</v>
      </c>
      <c r="D58" s="6">
        <v>95.04</v>
      </c>
      <c r="E58" s="6">
        <v>623.07000000000005</v>
      </c>
    </row>
    <row r="59" spans="1:5" x14ac:dyDescent="0.25">
      <c r="A59" s="5" t="s">
        <v>114</v>
      </c>
      <c r="B59" s="6">
        <v>1</v>
      </c>
      <c r="C59" s="6">
        <v>528.03</v>
      </c>
      <c r="D59" s="6">
        <v>95.04</v>
      </c>
      <c r="E59" s="6">
        <v>623.07000000000005</v>
      </c>
    </row>
    <row r="60" spans="1:5" x14ac:dyDescent="0.25">
      <c r="A60" s="5" t="s">
        <v>115</v>
      </c>
      <c r="B60" s="6">
        <v>1</v>
      </c>
      <c r="C60" s="6">
        <v>528.27</v>
      </c>
      <c r="D60" s="6">
        <v>95.08</v>
      </c>
      <c r="E60" s="6">
        <v>623.34</v>
      </c>
    </row>
    <row r="61" spans="1:5" x14ac:dyDescent="0.25">
      <c r="A61" s="5" t="s">
        <v>116</v>
      </c>
      <c r="B61" s="6">
        <v>1</v>
      </c>
      <c r="C61" s="6">
        <v>2470</v>
      </c>
      <c r="D61" s="6">
        <v>444.6</v>
      </c>
      <c r="E61" s="6">
        <v>2914.6</v>
      </c>
    </row>
    <row r="62" spans="1:5" x14ac:dyDescent="0.25">
      <c r="A62" s="5" t="s">
        <v>117</v>
      </c>
      <c r="B62" s="6">
        <v>1</v>
      </c>
      <c r="C62" s="6">
        <v>120</v>
      </c>
      <c r="D62" s="6">
        <v>0</v>
      </c>
      <c r="E62" s="6">
        <v>120</v>
      </c>
    </row>
    <row r="63" spans="1:5" x14ac:dyDescent="0.25">
      <c r="A63" s="5" t="s">
        <v>118</v>
      </c>
      <c r="B63" s="6">
        <v>9</v>
      </c>
      <c r="C63" s="6">
        <v>550.85</v>
      </c>
      <c r="D63" s="6">
        <v>99.170000000000016</v>
      </c>
      <c r="E63" s="6">
        <v>650.02</v>
      </c>
    </row>
    <row r="64" spans="1:5" x14ac:dyDescent="0.25">
      <c r="A64" s="5" t="s">
        <v>119</v>
      </c>
      <c r="B64" s="6">
        <v>2</v>
      </c>
      <c r="C64" s="6">
        <v>110.17</v>
      </c>
      <c r="D64" s="6">
        <v>19.84</v>
      </c>
      <c r="E64" s="6">
        <v>130.01</v>
      </c>
    </row>
    <row r="65" spans="1:5" x14ac:dyDescent="0.25">
      <c r="A65" s="5" t="s">
        <v>120</v>
      </c>
      <c r="B65" s="6">
        <v>1</v>
      </c>
      <c r="C65" s="6">
        <v>160</v>
      </c>
      <c r="D65" s="6">
        <v>0</v>
      </c>
      <c r="E65" s="6">
        <v>160</v>
      </c>
    </row>
    <row r="66" spans="1:5" x14ac:dyDescent="0.25">
      <c r="A66" s="5" t="s">
        <v>121</v>
      </c>
      <c r="B66" s="6">
        <v>1</v>
      </c>
      <c r="C66" s="6">
        <v>3550</v>
      </c>
      <c r="D66" s="6">
        <v>0</v>
      </c>
      <c r="E66" s="6">
        <v>3550</v>
      </c>
    </row>
    <row r="67" spans="1:5" x14ac:dyDescent="0.25">
      <c r="A67" s="5" t="s">
        <v>122</v>
      </c>
      <c r="B67" s="6">
        <v>1</v>
      </c>
      <c r="C67" s="6">
        <v>450</v>
      </c>
      <c r="D67" s="6">
        <v>81</v>
      </c>
      <c r="E67" s="6">
        <v>531</v>
      </c>
    </row>
    <row r="68" spans="1:5" x14ac:dyDescent="0.25">
      <c r="A68" s="5" t="s">
        <v>123</v>
      </c>
      <c r="B68" s="6">
        <v>1</v>
      </c>
      <c r="C68" s="6">
        <v>169.49</v>
      </c>
      <c r="D68" s="6">
        <v>30.51</v>
      </c>
      <c r="E68" s="6">
        <v>200</v>
      </c>
    </row>
    <row r="69" spans="1:5" x14ac:dyDescent="0.25">
      <c r="A69" s="5" t="s">
        <v>124</v>
      </c>
      <c r="B69" s="6">
        <v>1</v>
      </c>
      <c r="C69" s="6">
        <v>350</v>
      </c>
      <c r="D69" s="6">
        <v>0</v>
      </c>
      <c r="E69" s="6">
        <v>350</v>
      </c>
    </row>
    <row r="70" spans="1:5" x14ac:dyDescent="0.25">
      <c r="A70" s="5" t="s">
        <v>125</v>
      </c>
      <c r="B70" s="6">
        <v>1</v>
      </c>
      <c r="C70" s="6">
        <v>500</v>
      </c>
      <c r="D70" s="6">
        <v>0</v>
      </c>
      <c r="E70" s="6">
        <v>500</v>
      </c>
    </row>
    <row r="71" spans="1:5" x14ac:dyDescent="0.25">
      <c r="A71" s="5" t="s">
        <v>126</v>
      </c>
      <c r="B71" s="6">
        <v>1</v>
      </c>
      <c r="C71" s="6">
        <v>500</v>
      </c>
      <c r="D71" s="6">
        <v>0</v>
      </c>
      <c r="E71" s="6">
        <v>500</v>
      </c>
    </row>
    <row r="72" spans="1:5" x14ac:dyDescent="0.25">
      <c r="A72" s="5" t="s">
        <v>127</v>
      </c>
      <c r="B72" s="6">
        <v>1</v>
      </c>
      <c r="C72" s="6">
        <v>500</v>
      </c>
      <c r="D72" s="6">
        <v>0</v>
      </c>
      <c r="E72" s="6">
        <v>500</v>
      </c>
    </row>
    <row r="73" spans="1:5" x14ac:dyDescent="0.25">
      <c r="A73" s="5" t="s">
        <v>128</v>
      </c>
      <c r="B73" s="6">
        <v>1</v>
      </c>
      <c r="C73" s="6">
        <v>5776.55</v>
      </c>
      <c r="D73" s="6">
        <v>0</v>
      </c>
      <c r="E73" s="6">
        <v>5776.55</v>
      </c>
    </row>
    <row r="74" spans="1:5" x14ac:dyDescent="0.25">
      <c r="A74" s="5" t="s">
        <v>70</v>
      </c>
      <c r="B74" s="6">
        <v>1</v>
      </c>
      <c r="C74" s="6">
        <v>1500</v>
      </c>
      <c r="D74" s="6">
        <v>0</v>
      </c>
      <c r="E74" s="6">
        <v>1500</v>
      </c>
    </row>
    <row r="75" spans="1:5" x14ac:dyDescent="0.25">
      <c r="A75" s="5" t="s">
        <v>72</v>
      </c>
      <c r="B75" s="6">
        <v>1</v>
      </c>
      <c r="C75" s="6">
        <v>182.5</v>
      </c>
      <c r="D75" s="6">
        <v>0</v>
      </c>
      <c r="E75" s="6">
        <v>182.5</v>
      </c>
    </row>
    <row r="76" spans="1:5" x14ac:dyDescent="0.25">
      <c r="A76" s="5" t="s">
        <v>49</v>
      </c>
      <c r="B76" s="6">
        <v>1</v>
      </c>
      <c r="C76" s="6">
        <v>240</v>
      </c>
      <c r="D76" s="6">
        <v>0</v>
      </c>
      <c r="E76" s="6">
        <v>240</v>
      </c>
    </row>
    <row r="77" spans="1:5" x14ac:dyDescent="0.25">
      <c r="A77" s="5" t="s">
        <v>63</v>
      </c>
      <c r="B77" s="6">
        <v>1</v>
      </c>
      <c r="C77" s="6">
        <v>749.07</v>
      </c>
      <c r="D77" s="6">
        <v>134.83000000000001</v>
      </c>
      <c r="E77" s="6">
        <v>883.9</v>
      </c>
    </row>
    <row r="78" spans="1:5" x14ac:dyDescent="0.25">
      <c r="A78" s="5" t="s">
        <v>129</v>
      </c>
      <c r="B78" s="6">
        <v>19</v>
      </c>
      <c r="C78" s="6">
        <v>2894.0500000000006</v>
      </c>
      <c r="D78" s="6">
        <v>520.94999999999993</v>
      </c>
      <c r="E78" s="6">
        <v>3415</v>
      </c>
    </row>
    <row r="79" spans="1:5" x14ac:dyDescent="0.25">
      <c r="A79" s="5" t="s">
        <v>130</v>
      </c>
      <c r="B79" s="6" t="e">
        <v>#N/A</v>
      </c>
      <c r="C79" s="6">
        <v>157227.19999999995</v>
      </c>
      <c r="D79" s="6">
        <v>25867.189999999973</v>
      </c>
      <c r="E79" s="6">
        <v>183094.38000000006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118B-BC13-4E52-BDE5-78AC13EF42E0}">
  <dimension ref="A1:AA218"/>
  <sheetViews>
    <sheetView workbookViewId="0">
      <selection sqref="A1:AA217"/>
    </sheetView>
  </sheetViews>
  <sheetFormatPr baseColWidth="10" defaultRowHeight="15" customHeight="1" x14ac:dyDescent="0.25"/>
  <cols>
    <col min="15" max="15" width="18.85546875" customWidth="1"/>
    <col min="27" max="27" width="23.140625" bestFit="1" customWidth="1"/>
  </cols>
  <sheetData>
    <row r="1" spans="1:27" ht="15" customHeight="1" x14ac:dyDescent="0.25">
      <c r="A1" t="s">
        <v>77</v>
      </c>
      <c r="B1" t="s">
        <v>78</v>
      </c>
      <c r="C1" t="s">
        <v>79</v>
      </c>
      <c r="D1" t="s">
        <v>80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  <c r="L1" t="s">
        <v>88</v>
      </c>
      <c r="M1" t="s">
        <v>89</v>
      </c>
      <c r="N1" t="s">
        <v>90</v>
      </c>
      <c r="O1" s="3" t="s">
        <v>91</v>
      </c>
      <c r="P1" t="s">
        <v>92</v>
      </c>
      <c r="Q1" t="s">
        <v>93</v>
      </c>
      <c r="R1" t="s">
        <v>94</v>
      </c>
      <c r="S1" t="s">
        <v>95</v>
      </c>
      <c r="T1" t="s">
        <v>96</v>
      </c>
      <c r="U1" t="s">
        <v>97</v>
      </c>
      <c r="V1" t="s">
        <v>98</v>
      </c>
      <c r="W1" t="s">
        <v>99</v>
      </c>
      <c r="X1" t="s">
        <v>100</v>
      </c>
      <c r="Y1" t="s">
        <v>101</v>
      </c>
      <c r="Z1" t="s">
        <v>102</v>
      </c>
      <c r="AA1" t="s">
        <v>103</v>
      </c>
    </row>
    <row r="2" spans="1:27" ht="15" customHeight="1" x14ac:dyDescent="0.25">
      <c r="A2" s="1">
        <v>2</v>
      </c>
      <c r="B2" s="1">
        <v>20251013</v>
      </c>
      <c r="C2" s="1">
        <v>20251013</v>
      </c>
      <c r="D2" s="1"/>
      <c r="E2" s="1">
        <v>1956</v>
      </c>
      <c r="F2" s="1">
        <v>1</v>
      </c>
      <c r="G2" s="1">
        <v>450</v>
      </c>
      <c r="H2" s="1">
        <v>2</v>
      </c>
      <c r="I2" s="1">
        <v>531</v>
      </c>
      <c r="J2" s="1">
        <v>100</v>
      </c>
      <c r="K2" s="1">
        <v>31114</v>
      </c>
      <c r="L2" s="1">
        <v>81</v>
      </c>
      <c r="M2" s="1">
        <v>1</v>
      </c>
      <c r="N2" s="1">
        <v>0</v>
      </c>
      <c r="O2" s="1" t="s">
        <v>0</v>
      </c>
      <c r="P2" s="1">
        <v>6740</v>
      </c>
      <c r="Q2" s="1">
        <v>450</v>
      </c>
      <c r="R2" s="1">
        <v>531</v>
      </c>
      <c r="S2" s="1">
        <v>0</v>
      </c>
      <c r="T2" s="1">
        <v>18</v>
      </c>
      <c r="U2" s="1">
        <v>1</v>
      </c>
      <c r="V2" s="1">
        <v>1</v>
      </c>
      <c r="W2" s="1" t="s">
        <v>1</v>
      </c>
      <c r="X2" s="1" t="s">
        <v>2</v>
      </c>
      <c r="Y2" s="2">
        <v>45954.43408564815</v>
      </c>
      <c r="Z2" s="1">
        <v>565</v>
      </c>
      <c r="AA2" t="str">
        <f>+VLOOKUP(O2,'[1]Ventas_odoo Interface'!$E:$AP,38,0)</f>
        <v>FXP/2025/10/0116</v>
      </c>
    </row>
    <row r="3" spans="1:27" ht="15" customHeight="1" x14ac:dyDescent="0.25">
      <c r="A3" s="1">
        <v>3</v>
      </c>
      <c r="B3" s="1">
        <v>20251012</v>
      </c>
      <c r="C3" s="1">
        <v>20251012</v>
      </c>
      <c r="D3" s="1"/>
      <c r="E3" s="1">
        <v>2029</v>
      </c>
      <c r="F3" s="1">
        <v>1</v>
      </c>
      <c r="G3" s="1">
        <v>3550</v>
      </c>
      <c r="H3" s="1">
        <v>2</v>
      </c>
      <c r="I3" s="1">
        <v>3550</v>
      </c>
      <c r="J3" s="1">
        <v>100</v>
      </c>
      <c r="K3" s="1">
        <v>31041</v>
      </c>
      <c r="L3" s="1">
        <v>0</v>
      </c>
      <c r="M3" s="1">
        <v>1</v>
      </c>
      <c r="N3" s="1">
        <v>0</v>
      </c>
      <c r="O3" s="1" t="s">
        <v>3</v>
      </c>
      <c r="P3" s="1">
        <v>6723</v>
      </c>
      <c r="Q3" s="1">
        <v>3550</v>
      </c>
      <c r="R3" s="1">
        <v>3550</v>
      </c>
      <c r="S3" s="1">
        <v>0</v>
      </c>
      <c r="T3" s="1">
        <v>0</v>
      </c>
      <c r="U3" s="1">
        <v>1</v>
      </c>
      <c r="V3" s="1">
        <v>1</v>
      </c>
      <c r="W3" s="1" t="s">
        <v>1</v>
      </c>
      <c r="X3" s="1" t="s">
        <v>2</v>
      </c>
      <c r="Y3" s="2">
        <v>45954.43408564815</v>
      </c>
      <c r="Z3" s="1">
        <v>6473</v>
      </c>
      <c r="AA3" t="str">
        <f>+VLOOKUP(O3,'[1]Ventas_odoo Interface'!$E:$AP,38,0)</f>
        <v>FXP/2025/10/0113</v>
      </c>
    </row>
    <row r="4" spans="1:27" ht="15" customHeight="1" x14ac:dyDescent="0.25">
      <c r="A4" s="1">
        <v>13</v>
      </c>
      <c r="B4" s="1">
        <v>20251008</v>
      </c>
      <c r="C4" s="1">
        <v>20251008</v>
      </c>
      <c r="D4" s="1"/>
      <c r="E4" s="1">
        <v>2026</v>
      </c>
      <c r="F4" s="1">
        <v>1</v>
      </c>
      <c r="G4" s="1">
        <v>84.75</v>
      </c>
      <c r="H4" s="1">
        <v>5</v>
      </c>
      <c r="I4" s="1">
        <v>100.01</v>
      </c>
      <c r="J4" s="1">
        <v>100</v>
      </c>
      <c r="K4" s="1">
        <v>30926</v>
      </c>
      <c r="L4" s="1">
        <v>15.26</v>
      </c>
      <c r="M4" s="1">
        <v>1</v>
      </c>
      <c r="N4" s="1">
        <v>0</v>
      </c>
      <c r="O4" s="1" t="s">
        <v>4</v>
      </c>
      <c r="P4" s="1">
        <v>877</v>
      </c>
      <c r="Q4" s="1">
        <v>84.75</v>
      </c>
      <c r="R4" s="1">
        <v>100.01</v>
      </c>
      <c r="S4" s="1">
        <v>0</v>
      </c>
      <c r="T4" s="1">
        <v>18.010000000000002</v>
      </c>
      <c r="U4" s="1">
        <v>1</v>
      </c>
      <c r="V4" s="1">
        <v>1</v>
      </c>
      <c r="W4" s="1" t="s">
        <v>1</v>
      </c>
      <c r="X4" s="1" t="s">
        <v>2</v>
      </c>
      <c r="Y4" s="2">
        <v>45954.43409722222</v>
      </c>
      <c r="Z4" s="1">
        <v>1579</v>
      </c>
      <c r="AA4" t="str">
        <f>+VLOOKUP(O4,'[1]Ventas_odoo Interface'!$E:$AP,38,0)</f>
        <v>FXP/2025/10/0096</v>
      </c>
    </row>
    <row r="5" spans="1:27" ht="15" customHeight="1" x14ac:dyDescent="0.25">
      <c r="A5" s="1">
        <v>14</v>
      </c>
      <c r="B5" s="1">
        <v>20251008</v>
      </c>
      <c r="C5" s="1">
        <v>20251008</v>
      </c>
      <c r="D5" s="1"/>
      <c r="E5" s="1">
        <v>2026</v>
      </c>
      <c r="F5" s="1">
        <v>1</v>
      </c>
      <c r="G5" s="1">
        <v>25.42</v>
      </c>
      <c r="H5" s="1">
        <v>2</v>
      </c>
      <c r="I5" s="1">
        <v>30</v>
      </c>
      <c r="J5" s="1">
        <v>100</v>
      </c>
      <c r="K5" s="1">
        <v>30927</v>
      </c>
      <c r="L5" s="1">
        <v>4.58</v>
      </c>
      <c r="M5" s="1">
        <v>1</v>
      </c>
      <c r="N5" s="1">
        <v>0</v>
      </c>
      <c r="O5" s="1" t="s">
        <v>4</v>
      </c>
      <c r="P5" s="1">
        <v>877</v>
      </c>
      <c r="Q5" s="1">
        <v>25.42</v>
      </c>
      <c r="R5" s="1">
        <v>30</v>
      </c>
      <c r="S5" s="1">
        <v>0</v>
      </c>
      <c r="T5" s="1">
        <v>18.02</v>
      </c>
      <c r="U5" s="1">
        <v>1</v>
      </c>
      <c r="V5" s="1">
        <v>1</v>
      </c>
      <c r="W5" s="1" t="s">
        <v>1</v>
      </c>
      <c r="X5" s="1" t="s">
        <v>2</v>
      </c>
      <c r="Y5" s="2">
        <v>45954.43409722222</v>
      </c>
      <c r="Z5" s="1">
        <v>1579</v>
      </c>
      <c r="AA5" t="str">
        <f>+VLOOKUP(O5,'[1]Ventas_odoo Interface'!$E:$AP,38,0)</f>
        <v>FXP/2025/10/0096</v>
      </c>
    </row>
    <row r="6" spans="1:27" ht="15" customHeight="1" x14ac:dyDescent="0.25">
      <c r="A6" s="1">
        <v>15</v>
      </c>
      <c r="B6" s="1">
        <v>20251008</v>
      </c>
      <c r="C6" s="1">
        <v>20251008</v>
      </c>
      <c r="D6" s="1"/>
      <c r="E6" s="1">
        <v>2026</v>
      </c>
      <c r="F6" s="1">
        <v>1</v>
      </c>
      <c r="G6" s="1">
        <v>186.44</v>
      </c>
      <c r="H6" s="1">
        <v>5</v>
      </c>
      <c r="I6" s="1">
        <v>220</v>
      </c>
      <c r="J6" s="1">
        <v>100</v>
      </c>
      <c r="K6" s="1">
        <v>30915</v>
      </c>
      <c r="L6" s="1">
        <v>33.56</v>
      </c>
      <c r="M6" s="1">
        <v>1</v>
      </c>
      <c r="N6" s="1">
        <v>0</v>
      </c>
      <c r="O6" s="1" t="s">
        <v>5</v>
      </c>
      <c r="P6" s="1">
        <v>877</v>
      </c>
      <c r="Q6" s="1">
        <v>186.44</v>
      </c>
      <c r="R6" s="1">
        <v>220</v>
      </c>
      <c r="S6" s="1">
        <v>0</v>
      </c>
      <c r="T6" s="1">
        <v>18</v>
      </c>
      <c r="U6" s="1">
        <v>1</v>
      </c>
      <c r="V6" s="1">
        <v>1</v>
      </c>
      <c r="W6" s="1" t="s">
        <v>1</v>
      </c>
      <c r="X6" s="1" t="s">
        <v>2</v>
      </c>
      <c r="Y6" s="2">
        <v>45954.43409722222</v>
      </c>
      <c r="Z6" s="1">
        <v>1579</v>
      </c>
      <c r="AA6" t="str">
        <f>+VLOOKUP(O6,'[1]Ventas_odoo Interface'!$E:$AP,38,0)</f>
        <v>FXP/2025/10/0095</v>
      </c>
    </row>
    <row r="7" spans="1:27" ht="15" customHeight="1" x14ac:dyDescent="0.25">
      <c r="A7" s="1">
        <v>16</v>
      </c>
      <c r="B7" s="1">
        <v>20251008</v>
      </c>
      <c r="C7" s="1">
        <v>20251008</v>
      </c>
      <c r="D7" s="1"/>
      <c r="E7" s="1">
        <v>2026</v>
      </c>
      <c r="F7" s="1">
        <v>1</v>
      </c>
      <c r="G7" s="1">
        <v>1.7</v>
      </c>
      <c r="H7" s="1">
        <v>5</v>
      </c>
      <c r="I7" s="1">
        <v>2.0099999999999998</v>
      </c>
      <c r="J7" s="1">
        <v>100</v>
      </c>
      <c r="K7" s="1">
        <v>30916</v>
      </c>
      <c r="L7" s="1">
        <v>0.31</v>
      </c>
      <c r="M7" s="1">
        <v>1</v>
      </c>
      <c r="N7" s="1">
        <v>0</v>
      </c>
      <c r="O7" s="1" t="s">
        <v>5</v>
      </c>
      <c r="P7" s="1">
        <v>877</v>
      </c>
      <c r="Q7" s="1">
        <v>1.7</v>
      </c>
      <c r="R7" s="1">
        <v>2.0099999999999998</v>
      </c>
      <c r="S7" s="1">
        <v>0</v>
      </c>
      <c r="T7" s="1">
        <v>18.239999999999998</v>
      </c>
      <c r="U7" s="1">
        <v>1</v>
      </c>
      <c r="V7" s="1">
        <v>1</v>
      </c>
      <c r="W7" s="1" t="s">
        <v>1</v>
      </c>
      <c r="X7" s="1" t="s">
        <v>2</v>
      </c>
      <c r="Y7" s="2">
        <v>45954.434108796297</v>
      </c>
      <c r="Z7" s="1">
        <v>1579</v>
      </c>
      <c r="AA7" t="str">
        <f>+VLOOKUP(O7,'[1]Ventas_odoo Interface'!$E:$AP,38,0)</f>
        <v>FXP/2025/10/0095</v>
      </c>
    </row>
    <row r="8" spans="1:27" ht="15" customHeight="1" x14ac:dyDescent="0.25">
      <c r="A8" s="1">
        <v>17</v>
      </c>
      <c r="B8" s="1">
        <v>20251008</v>
      </c>
      <c r="C8" s="1">
        <v>20251008</v>
      </c>
      <c r="D8" s="1"/>
      <c r="E8" s="1">
        <v>2026</v>
      </c>
      <c r="F8" s="1">
        <v>1</v>
      </c>
      <c r="G8" s="1">
        <v>22.03</v>
      </c>
      <c r="H8" s="1">
        <v>5</v>
      </c>
      <c r="I8" s="1">
        <v>26</v>
      </c>
      <c r="J8" s="1">
        <v>100</v>
      </c>
      <c r="K8" s="1">
        <v>30917</v>
      </c>
      <c r="L8" s="1">
        <v>3.97</v>
      </c>
      <c r="M8" s="1">
        <v>1</v>
      </c>
      <c r="N8" s="1">
        <v>0</v>
      </c>
      <c r="O8" s="1" t="s">
        <v>5</v>
      </c>
      <c r="P8" s="1">
        <v>877</v>
      </c>
      <c r="Q8" s="1">
        <v>22.03</v>
      </c>
      <c r="R8" s="1">
        <v>26</v>
      </c>
      <c r="S8" s="1">
        <v>0</v>
      </c>
      <c r="T8" s="1">
        <v>18.02</v>
      </c>
      <c r="U8" s="1">
        <v>1</v>
      </c>
      <c r="V8" s="1">
        <v>1</v>
      </c>
      <c r="W8" s="1" t="s">
        <v>1</v>
      </c>
      <c r="X8" s="1" t="s">
        <v>2</v>
      </c>
      <c r="Y8" s="2">
        <v>45954.434108796297</v>
      </c>
      <c r="Z8" s="1">
        <v>1579</v>
      </c>
      <c r="AA8" t="str">
        <f>+VLOOKUP(O8,'[1]Ventas_odoo Interface'!$E:$AP,38,0)</f>
        <v>FXP/2025/10/0095</v>
      </c>
    </row>
    <row r="9" spans="1:27" ht="15" customHeight="1" x14ac:dyDescent="0.25">
      <c r="A9" s="1">
        <v>18</v>
      </c>
      <c r="B9" s="1">
        <v>20251008</v>
      </c>
      <c r="C9" s="1">
        <v>20251008</v>
      </c>
      <c r="D9" s="1"/>
      <c r="E9" s="1">
        <v>2026</v>
      </c>
      <c r="F9" s="1">
        <v>1</v>
      </c>
      <c r="G9" s="1">
        <v>42.37</v>
      </c>
      <c r="H9" s="1">
        <v>5</v>
      </c>
      <c r="I9" s="1">
        <v>50</v>
      </c>
      <c r="J9" s="1">
        <v>100</v>
      </c>
      <c r="K9" s="1">
        <v>30918</v>
      </c>
      <c r="L9" s="1">
        <v>7.63</v>
      </c>
      <c r="M9" s="1">
        <v>1</v>
      </c>
      <c r="N9" s="1">
        <v>0</v>
      </c>
      <c r="O9" s="1" t="s">
        <v>5</v>
      </c>
      <c r="P9" s="1">
        <v>877</v>
      </c>
      <c r="Q9" s="1">
        <v>42.37</v>
      </c>
      <c r="R9" s="1">
        <v>50</v>
      </c>
      <c r="S9" s="1">
        <v>0</v>
      </c>
      <c r="T9" s="1">
        <v>18.010000000000002</v>
      </c>
      <c r="U9" s="1">
        <v>1</v>
      </c>
      <c r="V9" s="1">
        <v>1</v>
      </c>
      <c r="W9" s="1" t="s">
        <v>1</v>
      </c>
      <c r="X9" s="1" t="s">
        <v>2</v>
      </c>
      <c r="Y9" s="2">
        <v>45954.434108796297</v>
      </c>
      <c r="Z9" s="1">
        <v>1579</v>
      </c>
      <c r="AA9" t="str">
        <f>+VLOOKUP(O9,'[1]Ventas_odoo Interface'!$E:$AP,38,0)</f>
        <v>FXP/2025/10/0095</v>
      </c>
    </row>
    <row r="10" spans="1:27" ht="15" customHeight="1" x14ac:dyDescent="0.25">
      <c r="A10" s="1">
        <v>19</v>
      </c>
      <c r="B10" s="1">
        <v>20251008</v>
      </c>
      <c r="C10" s="1">
        <v>20251008</v>
      </c>
      <c r="D10" s="1"/>
      <c r="E10" s="1">
        <v>2026</v>
      </c>
      <c r="F10" s="1">
        <v>1</v>
      </c>
      <c r="G10" s="1">
        <v>23.73</v>
      </c>
      <c r="H10" s="1">
        <v>5</v>
      </c>
      <c r="I10" s="1">
        <v>28</v>
      </c>
      <c r="J10" s="1">
        <v>100</v>
      </c>
      <c r="K10" s="1">
        <v>30919</v>
      </c>
      <c r="L10" s="1">
        <v>4.2699999999999996</v>
      </c>
      <c r="M10" s="1">
        <v>1</v>
      </c>
      <c r="N10" s="1">
        <v>0</v>
      </c>
      <c r="O10" s="1" t="s">
        <v>5</v>
      </c>
      <c r="P10" s="1">
        <v>877</v>
      </c>
      <c r="Q10" s="1">
        <v>23.73</v>
      </c>
      <c r="R10" s="1">
        <v>28</v>
      </c>
      <c r="S10" s="1">
        <v>0</v>
      </c>
      <c r="T10" s="1">
        <v>17.989999999999998</v>
      </c>
      <c r="U10" s="1">
        <v>1</v>
      </c>
      <c r="V10" s="1">
        <v>1</v>
      </c>
      <c r="W10" s="1" t="s">
        <v>1</v>
      </c>
      <c r="X10" s="1" t="s">
        <v>2</v>
      </c>
      <c r="Y10" s="2">
        <v>45954.434108796297</v>
      </c>
      <c r="Z10" s="1">
        <v>1579</v>
      </c>
      <c r="AA10" t="str">
        <f>+VLOOKUP(O10,'[1]Ventas_odoo Interface'!$E:$AP,38,0)</f>
        <v>FXP/2025/10/0095</v>
      </c>
    </row>
    <row r="11" spans="1:27" ht="15" customHeight="1" x14ac:dyDescent="0.25">
      <c r="A11" s="1">
        <v>20</v>
      </c>
      <c r="B11" s="1">
        <v>20251008</v>
      </c>
      <c r="C11" s="1">
        <v>20251008</v>
      </c>
      <c r="D11" s="1"/>
      <c r="E11" s="1">
        <v>2026</v>
      </c>
      <c r="F11" s="1">
        <v>1</v>
      </c>
      <c r="G11" s="1">
        <v>5.93</v>
      </c>
      <c r="H11" s="1">
        <v>5</v>
      </c>
      <c r="I11" s="1">
        <v>7</v>
      </c>
      <c r="J11" s="1">
        <v>100</v>
      </c>
      <c r="K11" s="1">
        <v>30920</v>
      </c>
      <c r="L11" s="1">
        <v>1.07</v>
      </c>
      <c r="M11" s="1">
        <v>1</v>
      </c>
      <c r="N11" s="1">
        <v>0</v>
      </c>
      <c r="O11" s="1" t="s">
        <v>5</v>
      </c>
      <c r="P11" s="1">
        <v>877</v>
      </c>
      <c r="Q11" s="1">
        <v>5.93</v>
      </c>
      <c r="R11" s="1">
        <v>7</v>
      </c>
      <c r="S11" s="1">
        <v>0</v>
      </c>
      <c r="T11" s="1">
        <v>18.04</v>
      </c>
      <c r="U11" s="1">
        <v>1</v>
      </c>
      <c r="V11" s="1">
        <v>1</v>
      </c>
      <c r="W11" s="1" t="s">
        <v>1</v>
      </c>
      <c r="X11" s="1" t="s">
        <v>2</v>
      </c>
      <c r="Y11" s="2">
        <v>45954.434108796297</v>
      </c>
      <c r="Z11" s="1">
        <v>1579</v>
      </c>
      <c r="AA11" t="str">
        <f>+VLOOKUP(O11,'[1]Ventas_odoo Interface'!$E:$AP,38,0)</f>
        <v>FXP/2025/10/0095</v>
      </c>
    </row>
    <row r="12" spans="1:27" ht="15" customHeight="1" x14ac:dyDescent="0.25">
      <c r="A12" s="1">
        <v>21</v>
      </c>
      <c r="B12" s="1">
        <v>20251008</v>
      </c>
      <c r="C12" s="1">
        <v>20251008</v>
      </c>
      <c r="D12" s="1"/>
      <c r="E12" s="1">
        <v>2026</v>
      </c>
      <c r="F12" s="1">
        <v>1</v>
      </c>
      <c r="G12" s="1">
        <v>50.85</v>
      </c>
      <c r="H12" s="1">
        <v>5</v>
      </c>
      <c r="I12" s="1">
        <v>60</v>
      </c>
      <c r="J12" s="1">
        <v>100</v>
      </c>
      <c r="K12" s="1">
        <v>30921</v>
      </c>
      <c r="L12" s="1">
        <v>9.15</v>
      </c>
      <c r="M12" s="1">
        <v>1</v>
      </c>
      <c r="N12" s="1">
        <v>0</v>
      </c>
      <c r="O12" s="1" t="s">
        <v>5</v>
      </c>
      <c r="P12" s="1">
        <v>877</v>
      </c>
      <c r="Q12" s="1">
        <v>50.85</v>
      </c>
      <c r="R12" s="1">
        <v>60</v>
      </c>
      <c r="S12" s="1">
        <v>0</v>
      </c>
      <c r="T12" s="1">
        <v>17.989999999999998</v>
      </c>
      <c r="U12" s="1">
        <v>1</v>
      </c>
      <c r="V12" s="1">
        <v>1</v>
      </c>
      <c r="W12" s="1" t="s">
        <v>1</v>
      </c>
      <c r="X12" s="1" t="s">
        <v>2</v>
      </c>
      <c r="Y12" s="2">
        <v>45954.434108796297</v>
      </c>
      <c r="Z12" s="1">
        <v>1579</v>
      </c>
      <c r="AA12" t="str">
        <f>+VLOOKUP(O12,'[1]Ventas_odoo Interface'!$E:$AP,38,0)</f>
        <v>FXP/2025/10/0095</v>
      </c>
    </row>
    <row r="13" spans="1:27" ht="15" customHeight="1" x14ac:dyDescent="0.25">
      <c r="A13" s="1">
        <v>22</v>
      </c>
      <c r="B13" s="1">
        <v>20251008</v>
      </c>
      <c r="C13" s="1">
        <v>20251008</v>
      </c>
      <c r="D13" s="1"/>
      <c r="E13" s="1">
        <v>2026</v>
      </c>
      <c r="F13" s="1">
        <v>1</v>
      </c>
      <c r="G13" s="1">
        <v>22.88</v>
      </c>
      <c r="H13" s="1">
        <v>5</v>
      </c>
      <c r="I13" s="1">
        <v>27</v>
      </c>
      <c r="J13" s="1">
        <v>100</v>
      </c>
      <c r="K13" s="1">
        <v>30922</v>
      </c>
      <c r="L13" s="1">
        <v>4.12</v>
      </c>
      <c r="M13" s="1">
        <v>1</v>
      </c>
      <c r="N13" s="1">
        <v>0</v>
      </c>
      <c r="O13" s="1" t="s">
        <v>5</v>
      </c>
      <c r="P13" s="1">
        <v>877</v>
      </c>
      <c r="Q13" s="1">
        <v>22.88</v>
      </c>
      <c r="R13" s="1">
        <v>27</v>
      </c>
      <c r="S13" s="1">
        <v>0</v>
      </c>
      <c r="T13" s="1">
        <v>18.010000000000002</v>
      </c>
      <c r="U13" s="1">
        <v>1</v>
      </c>
      <c r="V13" s="1">
        <v>1</v>
      </c>
      <c r="W13" s="1" t="s">
        <v>1</v>
      </c>
      <c r="X13" s="1" t="s">
        <v>2</v>
      </c>
      <c r="Y13" s="2">
        <v>45954.434108796297</v>
      </c>
      <c r="Z13" s="1">
        <v>1579</v>
      </c>
      <c r="AA13" t="str">
        <f>+VLOOKUP(O13,'[1]Ventas_odoo Interface'!$E:$AP,38,0)</f>
        <v>FXP/2025/10/0095</v>
      </c>
    </row>
    <row r="14" spans="1:27" ht="15" customHeight="1" x14ac:dyDescent="0.25">
      <c r="A14" s="1">
        <v>23</v>
      </c>
      <c r="B14" s="1">
        <v>20251008</v>
      </c>
      <c r="C14" s="1">
        <v>20251008</v>
      </c>
      <c r="D14" s="1"/>
      <c r="E14" s="1">
        <v>2026</v>
      </c>
      <c r="F14" s="1">
        <v>1</v>
      </c>
      <c r="G14" s="1">
        <v>194.92</v>
      </c>
      <c r="H14" s="1">
        <v>2</v>
      </c>
      <c r="I14" s="1">
        <v>230.01</v>
      </c>
      <c r="J14" s="1">
        <v>100</v>
      </c>
      <c r="K14" s="1">
        <v>30923</v>
      </c>
      <c r="L14" s="1">
        <v>35.090000000000003</v>
      </c>
      <c r="M14" s="1">
        <v>1</v>
      </c>
      <c r="N14" s="1">
        <v>0</v>
      </c>
      <c r="O14" s="1" t="s">
        <v>5</v>
      </c>
      <c r="P14" s="1">
        <v>877</v>
      </c>
      <c r="Q14" s="1">
        <v>194.92</v>
      </c>
      <c r="R14" s="1">
        <v>230.01</v>
      </c>
      <c r="S14" s="1">
        <v>0</v>
      </c>
      <c r="T14" s="1">
        <v>18</v>
      </c>
      <c r="U14" s="1">
        <v>1</v>
      </c>
      <c r="V14" s="1">
        <v>1</v>
      </c>
      <c r="W14" s="1" t="s">
        <v>1</v>
      </c>
      <c r="X14" s="1" t="s">
        <v>2</v>
      </c>
      <c r="Y14" s="2">
        <v>45954.434108796297</v>
      </c>
      <c r="Z14" s="1">
        <v>1579</v>
      </c>
      <c r="AA14" t="str">
        <f>+VLOOKUP(O14,'[1]Ventas_odoo Interface'!$E:$AP,38,0)</f>
        <v>FXP/2025/10/0095</v>
      </c>
    </row>
    <row r="15" spans="1:27" ht="15" customHeight="1" x14ac:dyDescent="0.25">
      <c r="A15" s="1">
        <v>31</v>
      </c>
      <c r="B15" s="1">
        <v>20251008</v>
      </c>
      <c r="C15" s="1">
        <v>20251008</v>
      </c>
      <c r="D15" s="1"/>
      <c r="E15" s="1">
        <v>2258</v>
      </c>
      <c r="F15" s="1">
        <v>1</v>
      </c>
      <c r="G15" s="1">
        <v>160</v>
      </c>
      <c r="H15" s="1">
        <v>2</v>
      </c>
      <c r="I15" s="1">
        <v>160</v>
      </c>
      <c r="J15" s="1">
        <v>100</v>
      </c>
      <c r="K15" s="1">
        <v>30930</v>
      </c>
      <c r="L15" s="1">
        <v>0</v>
      </c>
      <c r="M15" s="1">
        <v>1</v>
      </c>
      <c r="N15" s="1">
        <v>0</v>
      </c>
      <c r="O15" s="1" t="s">
        <v>6</v>
      </c>
      <c r="P15" s="1">
        <v>877</v>
      </c>
      <c r="Q15" s="1">
        <v>160</v>
      </c>
      <c r="R15" s="1">
        <v>160</v>
      </c>
      <c r="S15" s="1">
        <v>0</v>
      </c>
      <c r="T15" s="1">
        <v>0</v>
      </c>
      <c r="U15" s="1">
        <v>1</v>
      </c>
      <c r="V15" s="1">
        <v>1</v>
      </c>
      <c r="W15" s="1" t="s">
        <v>1</v>
      </c>
      <c r="X15" s="1" t="s">
        <v>2</v>
      </c>
      <c r="Y15" s="2">
        <v>45954.434120370373</v>
      </c>
      <c r="Z15" s="1">
        <v>1553</v>
      </c>
      <c r="AA15" t="str">
        <f>+VLOOKUP(O15,'[1]Ventas_odoo Interface'!$E:$AP,38,0)</f>
        <v>FXP/2025/10/0097</v>
      </c>
    </row>
    <row r="16" spans="1:27" ht="15" customHeight="1" x14ac:dyDescent="0.25">
      <c r="A16" s="1">
        <v>38</v>
      </c>
      <c r="B16" s="1">
        <v>20251004</v>
      </c>
      <c r="C16" s="1">
        <v>20251004</v>
      </c>
      <c r="D16" s="1"/>
      <c r="E16" s="1">
        <v>2258</v>
      </c>
      <c r="F16" s="1">
        <v>1</v>
      </c>
      <c r="G16" s="1">
        <v>120</v>
      </c>
      <c r="H16" s="1">
        <v>2</v>
      </c>
      <c r="I16" s="1">
        <v>120</v>
      </c>
      <c r="J16" s="1">
        <v>100</v>
      </c>
      <c r="K16" s="1">
        <v>30843</v>
      </c>
      <c r="L16" s="1">
        <v>0</v>
      </c>
      <c r="M16" s="1">
        <v>1</v>
      </c>
      <c r="N16" s="1">
        <v>0</v>
      </c>
      <c r="O16" s="1" t="s">
        <v>7</v>
      </c>
      <c r="P16" s="1">
        <v>877</v>
      </c>
      <c r="Q16" s="1">
        <v>120</v>
      </c>
      <c r="R16" s="1">
        <v>120</v>
      </c>
      <c r="S16" s="1">
        <v>0</v>
      </c>
      <c r="T16" s="1">
        <v>0</v>
      </c>
      <c r="U16" s="1">
        <v>1</v>
      </c>
      <c r="V16" s="1">
        <v>1</v>
      </c>
      <c r="W16" s="1" t="s">
        <v>1</v>
      </c>
      <c r="X16" s="1" t="s">
        <v>2</v>
      </c>
      <c r="Y16" s="2">
        <v>45954.434131944443</v>
      </c>
      <c r="Z16" s="1">
        <v>1430</v>
      </c>
      <c r="AA16" t="str">
        <f>+VLOOKUP(O16,'[1]Ventas_odoo Interface'!$E:$AP,38,0)</f>
        <v>FXP/2025/10/0084</v>
      </c>
    </row>
    <row r="17" spans="1:27" ht="15" customHeight="1" x14ac:dyDescent="0.25">
      <c r="A17" s="1">
        <v>67</v>
      </c>
      <c r="B17" s="1">
        <v>20251001</v>
      </c>
      <c r="C17" s="1">
        <v>20251001</v>
      </c>
      <c r="D17" s="1"/>
      <c r="E17" s="1">
        <v>2258</v>
      </c>
      <c r="F17" s="1">
        <v>1</v>
      </c>
      <c r="G17" s="1">
        <v>2470</v>
      </c>
      <c r="H17" s="1">
        <v>2</v>
      </c>
      <c r="I17" s="1">
        <v>2914.6</v>
      </c>
      <c r="J17" s="1">
        <v>100</v>
      </c>
      <c r="K17" s="1">
        <v>30654</v>
      </c>
      <c r="L17" s="1">
        <v>444.6</v>
      </c>
      <c r="M17" s="1">
        <v>1</v>
      </c>
      <c r="N17" s="1">
        <v>0</v>
      </c>
      <c r="O17" s="1" t="s">
        <v>8</v>
      </c>
      <c r="P17" s="1">
        <v>877</v>
      </c>
      <c r="Q17" s="1">
        <v>2470</v>
      </c>
      <c r="R17" s="1">
        <v>2914.6</v>
      </c>
      <c r="S17" s="1">
        <v>0</v>
      </c>
      <c r="T17" s="1">
        <v>18</v>
      </c>
      <c r="U17" s="1">
        <v>1</v>
      </c>
      <c r="V17" s="1">
        <v>1</v>
      </c>
      <c r="W17" s="1" t="s">
        <v>1</v>
      </c>
      <c r="X17" s="1" t="s">
        <v>2</v>
      </c>
      <c r="Y17" s="2">
        <v>45954.434166666666</v>
      </c>
      <c r="Z17" s="1">
        <v>1389</v>
      </c>
      <c r="AA17" t="str">
        <f>+VLOOKUP(O17,'[1]Ventas_odoo Interface'!$E:$AP,38,0)</f>
        <v>FXP/2025/10/0072</v>
      </c>
    </row>
    <row r="18" spans="1:27" ht="15" customHeight="1" x14ac:dyDescent="0.25">
      <c r="A18" s="1">
        <v>90</v>
      </c>
      <c r="B18" s="1">
        <v>20250923</v>
      </c>
      <c r="C18" s="1">
        <v>20250923</v>
      </c>
      <c r="D18" s="1"/>
      <c r="E18" s="1">
        <v>2284</v>
      </c>
      <c r="F18" s="1">
        <v>12</v>
      </c>
      <c r="G18" s="1">
        <v>456</v>
      </c>
      <c r="H18" s="1">
        <v>5</v>
      </c>
      <c r="I18" s="1">
        <v>538.08000000000004</v>
      </c>
      <c r="J18" s="1">
        <v>100</v>
      </c>
      <c r="K18" s="1">
        <v>30466</v>
      </c>
      <c r="L18" s="1">
        <v>82.08</v>
      </c>
      <c r="M18" s="1">
        <v>1</v>
      </c>
      <c r="N18" s="1">
        <v>0</v>
      </c>
      <c r="O18" s="1" t="s">
        <v>9</v>
      </c>
      <c r="P18" s="1">
        <v>6962</v>
      </c>
      <c r="Q18" s="1">
        <v>38</v>
      </c>
      <c r="R18" s="1">
        <v>44.84</v>
      </c>
      <c r="S18" s="1">
        <v>0</v>
      </c>
      <c r="T18" s="1">
        <v>18</v>
      </c>
      <c r="U18" s="1">
        <v>1</v>
      </c>
      <c r="V18" s="1">
        <v>1</v>
      </c>
      <c r="W18" s="1" t="s">
        <v>1</v>
      </c>
      <c r="X18" s="1" t="s">
        <v>2</v>
      </c>
      <c r="Y18" s="2">
        <v>45954.434189814812</v>
      </c>
      <c r="Z18" s="1">
        <v>5991</v>
      </c>
      <c r="AA18" t="str">
        <f>+VLOOKUP(O18,'[1]Ventas_odoo Interface'!$E:$AP,38,0)</f>
        <v>FXP/2025/09/0006</v>
      </c>
    </row>
    <row r="19" spans="1:27" ht="15" customHeight="1" x14ac:dyDescent="0.25">
      <c r="A19" s="1">
        <v>127</v>
      </c>
      <c r="B19" s="1">
        <v>20250930</v>
      </c>
      <c r="C19" s="1">
        <v>20250930</v>
      </c>
      <c r="D19" s="1"/>
      <c r="E19" s="1">
        <v>2025</v>
      </c>
      <c r="F19" s="1">
        <v>1</v>
      </c>
      <c r="G19" s="1">
        <v>528.27</v>
      </c>
      <c r="H19" s="1">
        <v>5</v>
      </c>
      <c r="I19" s="1">
        <v>623.34</v>
      </c>
      <c r="J19" s="1">
        <v>100</v>
      </c>
      <c r="K19" s="1">
        <v>30463</v>
      </c>
      <c r="L19" s="1">
        <v>95.08</v>
      </c>
      <c r="M19" s="1">
        <v>1</v>
      </c>
      <c r="N19" s="1">
        <v>0</v>
      </c>
      <c r="O19" s="1" t="s">
        <v>10</v>
      </c>
      <c r="P19" s="1">
        <v>6796</v>
      </c>
      <c r="Q19" s="1">
        <v>528.27</v>
      </c>
      <c r="R19" s="1">
        <v>623.34</v>
      </c>
      <c r="S19" s="1">
        <v>0</v>
      </c>
      <c r="T19" s="1">
        <v>18</v>
      </c>
      <c r="U19" s="1">
        <v>2</v>
      </c>
      <c r="V19" s="1">
        <v>3.4889999999999999</v>
      </c>
      <c r="W19" s="1" t="s">
        <v>1</v>
      </c>
      <c r="X19" s="1" t="s">
        <v>2</v>
      </c>
      <c r="Y19" s="2">
        <v>45954.434224537035</v>
      </c>
      <c r="Z19" s="1">
        <v>5880</v>
      </c>
      <c r="AA19" t="str">
        <f>+VLOOKUP(O19,'[1]Ventas_odoo Interface'!$E:$AP,38,0)</f>
        <v>FXP/2025/10/0059</v>
      </c>
    </row>
    <row r="20" spans="1:27" ht="15" customHeight="1" x14ac:dyDescent="0.25">
      <c r="A20" s="1">
        <v>128</v>
      </c>
      <c r="B20" s="1">
        <v>20250930</v>
      </c>
      <c r="C20" s="1">
        <v>20250930</v>
      </c>
      <c r="D20" s="1"/>
      <c r="E20" s="1">
        <v>2025</v>
      </c>
      <c r="F20" s="1">
        <v>1</v>
      </c>
      <c r="G20" s="1">
        <v>528.03</v>
      </c>
      <c r="H20" s="1">
        <v>5</v>
      </c>
      <c r="I20" s="1">
        <v>623.07000000000005</v>
      </c>
      <c r="J20" s="1">
        <v>100</v>
      </c>
      <c r="K20" s="1">
        <v>30460</v>
      </c>
      <c r="L20" s="1">
        <v>95.04</v>
      </c>
      <c r="M20" s="1">
        <v>1</v>
      </c>
      <c r="N20" s="1">
        <v>0</v>
      </c>
      <c r="O20" s="1" t="s">
        <v>11</v>
      </c>
      <c r="P20" s="1">
        <v>6796</v>
      </c>
      <c r="Q20" s="1">
        <v>528.03</v>
      </c>
      <c r="R20" s="1">
        <v>623.07000000000005</v>
      </c>
      <c r="S20" s="1">
        <v>0</v>
      </c>
      <c r="T20" s="1">
        <v>18</v>
      </c>
      <c r="U20" s="1">
        <v>2</v>
      </c>
      <c r="V20" s="1">
        <v>3.4889999999999999</v>
      </c>
      <c r="W20" s="1" t="s">
        <v>1</v>
      </c>
      <c r="X20" s="1" t="s">
        <v>2</v>
      </c>
      <c r="Y20" s="2">
        <v>45954.434224537035</v>
      </c>
      <c r="Z20" s="1">
        <v>5880</v>
      </c>
      <c r="AA20" t="str">
        <f>+VLOOKUP(O20,'[1]Ventas_odoo Interface'!$E:$AP,38,0)</f>
        <v>FXP/2025/10/0058</v>
      </c>
    </row>
    <row r="21" spans="1:27" ht="15" customHeight="1" x14ac:dyDescent="0.25">
      <c r="A21" s="1">
        <v>129</v>
      </c>
      <c r="B21" s="1">
        <v>20250930</v>
      </c>
      <c r="C21" s="1">
        <v>20250930</v>
      </c>
      <c r="D21" s="1"/>
      <c r="E21" s="1">
        <v>2025</v>
      </c>
      <c r="F21" s="1">
        <v>1</v>
      </c>
      <c r="G21" s="1">
        <v>528.03</v>
      </c>
      <c r="H21" s="1">
        <v>5</v>
      </c>
      <c r="I21" s="1">
        <v>623.07000000000005</v>
      </c>
      <c r="J21" s="1">
        <v>100</v>
      </c>
      <c r="K21" s="1">
        <v>30457</v>
      </c>
      <c r="L21" s="1">
        <v>95.04</v>
      </c>
      <c r="M21" s="1">
        <v>1</v>
      </c>
      <c r="N21" s="1">
        <v>0</v>
      </c>
      <c r="O21" s="1" t="s">
        <v>12</v>
      </c>
      <c r="P21" s="1">
        <v>6796</v>
      </c>
      <c r="Q21" s="1">
        <v>528.03</v>
      </c>
      <c r="R21" s="1">
        <v>623.07000000000005</v>
      </c>
      <c r="S21" s="1">
        <v>0</v>
      </c>
      <c r="T21" s="1">
        <v>18</v>
      </c>
      <c r="U21" s="1">
        <v>2</v>
      </c>
      <c r="V21" s="1">
        <v>3.4889999999999999</v>
      </c>
      <c r="W21" s="1" t="s">
        <v>1</v>
      </c>
      <c r="X21" s="1" t="s">
        <v>2</v>
      </c>
      <c r="Y21" s="2">
        <v>45954.434224537035</v>
      </c>
      <c r="Z21" s="1">
        <v>5880</v>
      </c>
      <c r="AA21" t="str">
        <f>+VLOOKUP(O21,'[1]Ventas_odoo Interface'!$E:$AP,38,0)</f>
        <v>FXP/2025/10/0057</v>
      </c>
    </row>
    <row r="22" spans="1:27" ht="15" customHeight="1" x14ac:dyDescent="0.25">
      <c r="A22" s="1">
        <v>130</v>
      </c>
      <c r="B22" s="1">
        <v>20250930</v>
      </c>
      <c r="C22" s="1">
        <v>20250930</v>
      </c>
      <c r="D22" s="1"/>
      <c r="E22" s="1">
        <v>2025</v>
      </c>
      <c r="F22" s="1">
        <v>1</v>
      </c>
      <c r="G22" s="1">
        <v>528.03</v>
      </c>
      <c r="H22" s="1">
        <v>5</v>
      </c>
      <c r="I22" s="1">
        <v>623.07000000000005</v>
      </c>
      <c r="J22" s="1">
        <v>100</v>
      </c>
      <c r="K22" s="1">
        <v>30454</v>
      </c>
      <c r="L22" s="1">
        <v>95.04</v>
      </c>
      <c r="M22" s="1">
        <v>1</v>
      </c>
      <c r="N22" s="1">
        <v>0</v>
      </c>
      <c r="O22" s="1" t="s">
        <v>13</v>
      </c>
      <c r="P22" s="1">
        <v>6796</v>
      </c>
      <c r="Q22" s="1">
        <v>528.03</v>
      </c>
      <c r="R22" s="1">
        <v>623.07000000000005</v>
      </c>
      <c r="S22" s="1">
        <v>0</v>
      </c>
      <c r="T22" s="1">
        <v>18</v>
      </c>
      <c r="U22" s="1">
        <v>2</v>
      </c>
      <c r="V22" s="1">
        <v>3.4889999999999999</v>
      </c>
      <c r="W22" s="1" t="s">
        <v>1</v>
      </c>
      <c r="X22" s="1" t="s">
        <v>2</v>
      </c>
      <c r="Y22" s="2">
        <v>45954.434224537035</v>
      </c>
      <c r="Z22" s="1">
        <v>5880</v>
      </c>
      <c r="AA22" t="str">
        <f>+VLOOKUP(O22,'[1]Ventas_odoo Interface'!$E:$AP,38,0)</f>
        <v>FXP/2025/10/0054</v>
      </c>
    </row>
    <row r="23" spans="1:27" ht="15" customHeight="1" x14ac:dyDescent="0.25">
      <c r="A23" s="1">
        <v>134</v>
      </c>
      <c r="B23" s="1">
        <v>20250930</v>
      </c>
      <c r="C23" s="1">
        <v>20250930</v>
      </c>
      <c r="D23" s="1"/>
      <c r="E23" s="1">
        <v>2045</v>
      </c>
      <c r="F23" s="1">
        <v>34</v>
      </c>
      <c r="G23" s="1">
        <v>2550</v>
      </c>
      <c r="H23" s="1">
        <v>5</v>
      </c>
      <c r="I23" s="1">
        <v>3009</v>
      </c>
      <c r="J23" s="1">
        <v>100</v>
      </c>
      <c r="K23" s="1">
        <v>30423</v>
      </c>
      <c r="L23" s="1">
        <v>459</v>
      </c>
      <c r="M23" s="1">
        <v>1</v>
      </c>
      <c r="N23" s="1">
        <v>0</v>
      </c>
      <c r="O23" s="1" t="s">
        <v>14</v>
      </c>
      <c r="P23" s="1">
        <v>6743</v>
      </c>
      <c r="Q23" s="1">
        <v>75</v>
      </c>
      <c r="R23" s="1">
        <v>88.5</v>
      </c>
      <c r="S23" s="1">
        <v>0</v>
      </c>
      <c r="T23" s="1">
        <v>18</v>
      </c>
      <c r="U23" s="1">
        <v>1</v>
      </c>
      <c r="V23" s="1">
        <v>1</v>
      </c>
      <c r="W23" s="1" t="s">
        <v>1</v>
      </c>
      <c r="X23" s="1" t="s">
        <v>2</v>
      </c>
      <c r="Y23" s="2">
        <v>45954.434224537035</v>
      </c>
      <c r="Z23" s="1">
        <v>565</v>
      </c>
      <c r="AA23" t="str">
        <f>+VLOOKUP(O23,'[1]Ventas_odoo Interface'!$E:$AP,38,0)</f>
        <v>FXP/2025/10/0053</v>
      </c>
    </row>
    <row r="24" spans="1:27" ht="15" customHeight="1" x14ac:dyDescent="0.25">
      <c r="A24" s="1">
        <v>142</v>
      </c>
      <c r="B24" s="1">
        <v>20250911</v>
      </c>
      <c r="C24" s="1">
        <v>20250911</v>
      </c>
      <c r="D24" s="1"/>
      <c r="E24" s="1">
        <v>2023</v>
      </c>
      <c r="F24" s="1">
        <v>1</v>
      </c>
      <c r="G24" s="1">
        <v>626.19000000000005</v>
      </c>
      <c r="H24" s="1">
        <v>2</v>
      </c>
      <c r="I24" s="1">
        <v>738.9</v>
      </c>
      <c r="J24" s="1">
        <v>100</v>
      </c>
      <c r="K24" s="1">
        <v>30373</v>
      </c>
      <c r="L24" s="1">
        <v>112.71</v>
      </c>
      <c r="M24" s="1">
        <v>1</v>
      </c>
      <c r="N24" s="1">
        <v>0</v>
      </c>
      <c r="O24" s="1" t="s">
        <v>15</v>
      </c>
      <c r="P24" s="1">
        <v>877</v>
      </c>
      <c r="Q24" s="1">
        <v>626.19000000000005</v>
      </c>
      <c r="R24" s="1">
        <v>738.9</v>
      </c>
      <c r="S24" s="1">
        <v>0</v>
      </c>
      <c r="T24" s="1">
        <v>18</v>
      </c>
      <c r="U24" s="1">
        <v>1</v>
      </c>
      <c r="V24" s="1">
        <v>1</v>
      </c>
      <c r="W24" s="1" t="s">
        <v>1</v>
      </c>
      <c r="X24" s="1" t="s">
        <v>2</v>
      </c>
      <c r="Y24" s="2">
        <v>45954.434236111112</v>
      </c>
      <c r="Z24" s="1">
        <v>1450</v>
      </c>
      <c r="AA24" t="str">
        <f>+VLOOKUP(O24,'[1]Ventas_odoo Interface'!$E:$AP,38,0)</f>
        <v>F S108-00389525</v>
      </c>
    </row>
    <row r="25" spans="1:27" ht="15" customHeight="1" x14ac:dyDescent="0.25">
      <c r="A25" s="1">
        <v>149</v>
      </c>
      <c r="B25" s="1">
        <v>20250929</v>
      </c>
      <c r="C25" s="1">
        <v>20250929</v>
      </c>
      <c r="D25" s="1"/>
      <c r="E25" s="1">
        <v>1916</v>
      </c>
      <c r="F25" s="1">
        <v>1</v>
      </c>
      <c r="G25" s="1">
        <v>16.95</v>
      </c>
      <c r="H25" s="1">
        <v>5</v>
      </c>
      <c r="I25" s="1">
        <v>20</v>
      </c>
      <c r="J25" s="1">
        <v>100</v>
      </c>
      <c r="K25" s="1">
        <v>30437</v>
      </c>
      <c r="L25" s="1">
        <v>3.05</v>
      </c>
      <c r="M25" s="1">
        <v>1</v>
      </c>
      <c r="N25" s="1">
        <v>0</v>
      </c>
      <c r="O25" s="1" t="s">
        <v>16</v>
      </c>
      <c r="P25" s="1">
        <v>6746</v>
      </c>
      <c r="Q25" s="1">
        <v>16.95</v>
      </c>
      <c r="R25" s="1">
        <v>20</v>
      </c>
      <c r="S25" s="1">
        <v>0</v>
      </c>
      <c r="T25" s="1">
        <v>17.989999999999998</v>
      </c>
      <c r="U25" s="1">
        <v>1</v>
      </c>
      <c r="V25" s="1">
        <v>1</v>
      </c>
      <c r="W25" s="1" t="s">
        <v>1</v>
      </c>
      <c r="X25" s="1" t="s">
        <v>2</v>
      </c>
      <c r="Y25" s="2">
        <v>45954.434247685182</v>
      </c>
      <c r="Z25" s="1">
        <v>2224</v>
      </c>
      <c r="AA25" t="str">
        <f>+VLOOKUP(O25,'[1]Ventas_odoo Interface'!$E:$AP,38,0)</f>
        <v>FXP/2025/09/0049</v>
      </c>
    </row>
    <row r="26" spans="1:27" ht="15" customHeight="1" x14ac:dyDescent="0.25">
      <c r="A26" s="1">
        <v>150</v>
      </c>
      <c r="B26" s="1">
        <v>20250929</v>
      </c>
      <c r="C26" s="1">
        <v>20250929</v>
      </c>
      <c r="D26" s="1"/>
      <c r="E26" s="1">
        <v>241</v>
      </c>
      <c r="F26" s="1">
        <v>4</v>
      </c>
      <c r="G26" s="1">
        <v>71.19</v>
      </c>
      <c r="H26" s="1">
        <v>5</v>
      </c>
      <c r="I26" s="1">
        <v>84</v>
      </c>
      <c r="J26" s="1">
        <v>100</v>
      </c>
      <c r="K26" s="1">
        <v>30440</v>
      </c>
      <c r="L26" s="1">
        <v>12.81</v>
      </c>
      <c r="M26" s="1">
        <v>1</v>
      </c>
      <c r="N26" s="1">
        <v>0</v>
      </c>
      <c r="O26" s="1" t="s">
        <v>16</v>
      </c>
      <c r="P26" s="1">
        <v>6746</v>
      </c>
      <c r="Q26" s="1">
        <v>17.8</v>
      </c>
      <c r="R26" s="1">
        <v>21</v>
      </c>
      <c r="S26" s="1">
        <v>0</v>
      </c>
      <c r="T26" s="1">
        <v>17.989999999999998</v>
      </c>
      <c r="U26" s="1">
        <v>1</v>
      </c>
      <c r="V26" s="1">
        <v>1</v>
      </c>
      <c r="W26" s="1" t="s">
        <v>1</v>
      </c>
      <c r="X26" s="1" t="s">
        <v>2</v>
      </c>
      <c r="Y26" s="2">
        <v>45954.434247685182</v>
      </c>
      <c r="Z26" s="1">
        <v>2224</v>
      </c>
      <c r="AA26" t="str">
        <f>+VLOOKUP(O26,'[1]Ventas_odoo Interface'!$E:$AP,38,0)</f>
        <v>FXP/2025/09/0049</v>
      </c>
    </row>
    <row r="27" spans="1:27" ht="15" customHeight="1" x14ac:dyDescent="0.25">
      <c r="A27" s="1">
        <v>151</v>
      </c>
      <c r="B27" s="1">
        <v>20250929</v>
      </c>
      <c r="C27" s="1">
        <v>20250929</v>
      </c>
      <c r="D27" s="1"/>
      <c r="E27" s="1">
        <v>243</v>
      </c>
      <c r="F27" s="1">
        <v>2</v>
      </c>
      <c r="G27" s="1">
        <v>156.78</v>
      </c>
      <c r="H27" s="1">
        <v>5</v>
      </c>
      <c r="I27" s="1">
        <v>185</v>
      </c>
      <c r="J27" s="1">
        <v>100</v>
      </c>
      <c r="K27" s="1">
        <v>30441</v>
      </c>
      <c r="L27" s="1">
        <v>28.22</v>
      </c>
      <c r="M27" s="1">
        <v>1</v>
      </c>
      <c r="N27" s="1">
        <v>0</v>
      </c>
      <c r="O27" s="1" t="s">
        <v>16</v>
      </c>
      <c r="P27" s="1">
        <v>6746</v>
      </c>
      <c r="Q27" s="1">
        <v>78.39</v>
      </c>
      <c r="R27" s="1">
        <v>92.5</v>
      </c>
      <c r="S27" s="1">
        <v>0</v>
      </c>
      <c r="T27" s="1">
        <v>18</v>
      </c>
      <c r="U27" s="1">
        <v>1</v>
      </c>
      <c r="V27" s="1">
        <v>1</v>
      </c>
      <c r="W27" s="1" t="s">
        <v>1</v>
      </c>
      <c r="X27" s="1" t="s">
        <v>2</v>
      </c>
      <c r="Y27" s="2">
        <v>45954.434247685182</v>
      </c>
      <c r="Z27" s="1">
        <v>2224</v>
      </c>
      <c r="AA27" t="str">
        <f>+VLOOKUP(O27,'[1]Ventas_odoo Interface'!$E:$AP,38,0)</f>
        <v>FXP/2025/09/0049</v>
      </c>
    </row>
    <row r="28" spans="1:27" ht="15" customHeight="1" x14ac:dyDescent="0.25">
      <c r="A28" s="1">
        <v>152</v>
      </c>
      <c r="B28" s="1">
        <v>20250929</v>
      </c>
      <c r="C28" s="1">
        <v>20250929</v>
      </c>
      <c r="D28" s="1"/>
      <c r="E28" s="1">
        <v>264</v>
      </c>
      <c r="F28" s="1">
        <v>1</v>
      </c>
      <c r="G28" s="1">
        <v>51.27</v>
      </c>
      <c r="H28" s="1">
        <v>5</v>
      </c>
      <c r="I28" s="1">
        <v>60.5</v>
      </c>
      <c r="J28" s="1">
        <v>100</v>
      </c>
      <c r="K28" s="1">
        <v>30442</v>
      </c>
      <c r="L28" s="1">
        <v>9.23</v>
      </c>
      <c r="M28" s="1">
        <v>1</v>
      </c>
      <c r="N28" s="1">
        <v>0</v>
      </c>
      <c r="O28" s="1" t="s">
        <v>16</v>
      </c>
      <c r="P28" s="1">
        <v>6746</v>
      </c>
      <c r="Q28" s="1">
        <v>51.27</v>
      </c>
      <c r="R28" s="1">
        <v>60.5</v>
      </c>
      <c r="S28" s="1">
        <v>0</v>
      </c>
      <c r="T28" s="1">
        <v>18</v>
      </c>
      <c r="U28" s="1">
        <v>1</v>
      </c>
      <c r="V28" s="1">
        <v>1</v>
      </c>
      <c r="W28" s="1" t="s">
        <v>1</v>
      </c>
      <c r="X28" s="1" t="s">
        <v>2</v>
      </c>
      <c r="Y28" s="2">
        <v>45954.434247685182</v>
      </c>
      <c r="Z28" s="1">
        <v>2224</v>
      </c>
      <c r="AA28" t="str">
        <f>+VLOOKUP(O28,'[1]Ventas_odoo Interface'!$E:$AP,38,0)</f>
        <v>FXP/2025/09/0049</v>
      </c>
    </row>
    <row r="29" spans="1:27" ht="15" customHeight="1" x14ac:dyDescent="0.25">
      <c r="A29" s="1">
        <v>167</v>
      </c>
      <c r="B29" s="1">
        <v>20250928</v>
      </c>
      <c r="C29" s="1">
        <v>20250928</v>
      </c>
      <c r="D29" s="1"/>
      <c r="E29" s="1">
        <v>1994</v>
      </c>
      <c r="F29" s="1">
        <v>1</v>
      </c>
      <c r="G29" s="1">
        <v>141.5</v>
      </c>
      <c r="H29" s="1">
        <v>5</v>
      </c>
      <c r="I29" s="1">
        <v>141.5</v>
      </c>
      <c r="J29" s="1">
        <v>100</v>
      </c>
      <c r="K29" s="1">
        <v>30647</v>
      </c>
      <c r="L29" s="1">
        <v>0</v>
      </c>
      <c r="M29" s="1">
        <v>1</v>
      </c>
      <c r="N29" s="1">
        <v>0</v>
      </c>
      <c r="O29" s="1" t="s">
        <v>17</v>
      </c>
      <c r="P29" s="1">
        <v>6726</v>
      </c>
      <c r="Q29" s="1">
        <v>141.5</v>
      </c>
      <c r="R29" s="1">
        <v>141.5</v>
      </c>
      <c r="S29" s="1">
        <v>0</v>
      </c>
      <c r="T29" s="1">
        <v>0</v>
      </c>
      <c r="U29" s="1">
        <v>1</v>
      </c>
      <c r="V29" s="1">
        <v>1</v>
      </c>
      <c r="W29" s="1" t="s">
        <v>1</v>
      </c>
      <c r="X29" s="1" t="s">
        <v>2</v>
      </c>
      <c r="Y29" s="2">
        <v>45954.434259259258</v>
      </c>
      <c r="Z29" s="1">
        <v>1417</v>
      </c>
      <c r="AA29" t="str">
        <f>+VLOOKUP(O29,'[1]Ventas_odoo Interface'!$E:$AP,38,0)</f>
        <v>FXP/2025/09/0034</v>
      </c>
    </row>
    <row r="30" spans="1:27" ht="15" customHeight="1" x14ac:dyDescent="0.25">
      <c r="A30" s="1">
        <v>194</v>
      </c>
      <c r="B30" s="1">
        <v>20250923</v>
      </c>
      <c r="C30" s="1">
        <v>20250923</v>
      </c>
      <c r="D30" s="1"/>
      <c r="E30" s="1">
        <v>0</v>
      </c>
      <c r="F30" s="1">
        <v>1</v>
      </c>
      <c r="G30" s="1">
        <v>0</v>
      </c>
      <c r="H30" s="1">
        <v>5</v>
      </c>
      <c r="I30" s="1">
        <v>0</v>
      </c>
      <c r="J30" s="1">
        <v>100</v>
      </c>
      <c r="K30" s="1">
        <v>30506</v>
      </c>
      <c r="L30" s="1">
        <v>0</v>
      </c>
      <c r="M30" s="1">
        <v>1</v>
      </c>
      <c r="N30" s="1">
        <v>0</v>
      </c>
      <c r="O30" s="1" t="s">
        <v>18</v>
      </c>
      <c r="P30" s="1">
        <v>6726</v>
      </c>
      <c r="Q30" s="1">
        <v>0</v>
      </c>
      <c r="R30" s="1">
        <v>0</v>
      </c>
      <c r="S30" s="1">
        <v>0</v>
      </c>
      <c r="T30" s="1">
        <v>0</v>
      </c>
      <c r="U30" s="1">
        <v>1</v>
      </c>
      <c r="V30" s="1">
        <v>1</v>
      </c>
      <c r="W30" s="1" t="s">
        <v>1</v>
      </c>
      <c r="X30" s="1" t="s">
        <v>2</v>
      </c>
      <c r="Y30" s="2">
        <v>45954.434293981481</v>
      </c>
      <c r="Z30" s="1">
        <v>1529</v>
      </c>
      <c r="AA30" t="str">
        <f>+VLOOKUP(O30,'[1]Ventas_odoo Interface'!$E:$AP,38,0)</f>
        <v>FXP/2025/09/0004</v>
      </c>
    </row>
    <row r="31" spans="1:27" ht="15" customHeight="1" x14ac:dyDescent="0.25">
      <c r="A31" s="1">
        <v>224</v>
      </c>
      <c r="B31" s="1">
        <v>20250929</v>
      </c>
      <c r="C31" s="1">
        <v>20250929</v>
      </c>
      <c r="D31" s="1"/>
      <c r="E31" s="1">
        <v>244</v>
      </c>
      <c r="F31" s="1">
        <v>2</v>
      </c>
      <c r="G31" s="1">
        <v>3355.93</v>
      </c>
      <c r="H31" s="1">
        <v>5</v>
      </c>
      <c r="I31" s="1">
        <v>3960</v>
      </c>
      <c r="J31" s="1">
        <v>100</v>
      </c>
      <c r="K31" s="1">
        <v>30443</v>
      </c>
      <c r="L31" s="1">
        <v>604.07000000000005</v>
      </c>
      <c r="M31" s="1">
        <v>1</v>
      </c>
      <c r="N31" s="1">
        <v>0</v>
      </c>
      <c r="O31" s="1" t="s">
        <v>19</v>
      </c>
      <c r="P31" s="1">
        <v>6387</v>
      </c>
      <c r="Q31" s="1">
        <v>1677.97</v>
      </c>
      <c r="R31" s="1">
        <v>1980</v>
      </c>
      <c r="S31" s="1">
        <v>0</v>
      </c>
      <c r="T31" s="1">
        <v>18</v>
      </c>
      <c r="U31" s="1">
        <v>1</v>
      </c>
      <c r="V31" s="1">
        <v>1</v>
      </c>
      <c r="W31" s="1" t="s">
        <v>1</v>
      </c>
      <c r="X31" s="1" t="s">
        <v>2</v>
      </c>
      <c r="Y31" s="2">
        <v>45954.434328703705</v>
      </c>
      <c r="Z31" s="1">
        <v>2224</v>
      </c>
      <c r="AA31" t="str">
        <f>+VLOOKUP(O31,'[1]Ventas_odoo Interface'!$E:$AP,38,0)</f>
        <v>FXP/2025/09/0047</v>
      </c>
    </row>
    <row r="32" spans="1:27" ht="15" customHeight="1" x14ac:dyDescent="0.25">
      <c r="A32" s="1">
        <v>225</v>
      </c>
      <c r="B32" s="1">
        <v>20250929</v>
      </c>
      <c r="C32" s="1">
        <v>20250929</v>
      </c>
      <c r="D32" s="1"/>
      <c r="E32" s="1">
        <v>240</v>
      </c>
      <c r="F32" s="1">
        <v>2</v>
      </c>
      <c r="G32" s="1">
        <v>0</v>
      </c>
      <c r="H32" s="1">
        <v>5</v>
      </c>
      <c r="I32" s="1">
        <v>0</v>
      </c>
      <c r="J32" s="1">
        <v>100</v>
      </c>
      <c r="K32" s="1">
        <v>30444</v>
      </c>
      <c r="L32" s="1">
        <v>0</v>
      </c>
      <c r="M32" s="1">
        <v>1</v>
      </c>
      <c r="N32" s="1">
        <v>0</v>
      </c>
      <c r="O32" s="1" t="s">
        <v>19</v>
      </c>
      <c r="P32" s="1">
        <v>6387</v>
      </c>
      <c r="Q32" s="1">
        <v>0</v>
      </c>
      <c r="R32" s="1">
        <v>0</v>
      </c>
      <c r="S32" s="1">
        <v>0</v>
      </c>
      <c r="T32" s="1">
        <v>0</v>
      </c>
      <c r="U32" s="1">
        <v>1</v>
      </c>
      <c r="V32" s="1">
        <v>1</v>
      </c>
      <c r="W32" s="1" t="s">
        <v>1</v>
      </c>
      <c r="X32" s="1" t="s">
        <v>2</v>
      </c>
      <c r="Y32" s="2">
        <v>45954.434328703705</v>
      </c>
      <c r="Z32" s="1">
        <v>2224</v>
      </c>
      <c r="AA32" t="str">
        <f>+VLOOKUP(O32,'[1]Ventas_odoo Interface'!$E:$AP,38,0)</f>
        <v>FXP/2025/09/0047</v>
      </c>
    </row>
    <row r="33" spans="1:27" ht="15" customHeight="1" x14ac:dyDescent="0.25">
      <c r="A33" s="1">
        <v>226</v>
      </c>
      <c r="B33" s="1">
        <v>20250929</v>
      </c>
      <c r="C33" s="1">
        <v>20250929</v>
      </c>
      <c r="D33" s="1"/>
      <c r="E33" s="1">
        <v>238</v>
      </c>
      <c r="F33" s="1">
        <v>1</v>
      </c>
      <c r="G33" s="1">
        <v>233.98</v>
      </c>
      <c r="H33" s="1">
        <v>5</v>
      </c>
      <c r="I33" s="1">
        <v>276.10000000000002</v>
      </c>
      <c r="J33" s="1">
        <v>100</v>
      </c>
      <c r="K33" s="1">
        <v>30445</v>
      </c>
      <c r="L33" s="1">
        <v>42.12</v>
      </c>
      <c r="M33" s="1">
        <v>1</v>
      </c>
      <c r="N33" s="1">
        <v>0</v>
      </c>
      <c r="O33" s="1" t="s">
        <v>19</v>
      </c>
      <c r="P33" s="1">
        <v>6387</v>
      </c>
      <c r="Q33" s="1">
        <v>233.98</v>
      </c>
      <c r="R33" s="1">
        <v>276.10000000000002</v>
      </c>
      <c r="S33" s="1">
        <v>0</v>
      </c>
      <c r="T33" s="1">
        <v>18</v>
      </c>
      <c r="U33" s="1">
        <v>1</v>
      </c>
      <c r="V33" s="1">
        <v>1</v>
      </c>
      <c r="W33" s="1" t="s">
        <v>1</v>
      </c>
      <c r="X33" s="1" t="s">
        <v>2</v>
      </c>
      <c r="Y33" s="2">
        <v>45954.434328703705</v>
      </c>
      <c r="Z33" s="1">
        <v>2224</v>
      </c>
      <c r="AA33" t="str">
        <f>+VLOOKUP(O33,'[1]Ventas_odoo Interface'!$E:$AP,38,0)</f>
        <v>FXP/2025/09/0047</v>
      </c>
    </row>
    <row r="34" spans="1:27" ht="15" customHeight="1" x14ac:dyDescent="0.25">
      <c r="A34" s="1">
        <v>227</v>
      </c>
      <c r="B34" s="1">
        <v>20250929</v>
      </c>
      <c r="C34" s="1">
        <v>20250929</v>
      </c>
      <c r="D34" s="1"/>
      <c r="E34" s="1">
        <v>245</v>
      </c>
      <c r="F34" s="1">
        <v>1</v>
      </c>
      <c r="G34" s="1">
        <v>79.239999999999995</v>
      </c>
      <c r="H34" s="1">
        <v>5</v>
      </c>
      <c r="I34" s="1">
        <v>93.5</v>
      </c>
      <c r="J34" s="1">
        <v>100</v>
      </c>
      <c r="K34" s="1">
        <v>30446</v>
      </c>
      <c r="L34" s="1">
        <v>14.26</v>
      </c>
      <c r="M34" s="1">
        <v>1</v>
      </c>
      <c r="N34" s="1">
        <v>0</v>
      </c>
      <c r="O34" s="1" t="s">
        <v>19</v>
      </c>
      <c r="P34" s="1">
        <v>6387</v>
      </c>
      <c r="Q34" s="1">
        <v>79.239999999999995</v>
      </c>
      <c r="R34" s="1">
        <v>93.5</v>
      </c>
      <c r="S34" s="1">
        <v>0</v>
      </c>
      <c r="T34" s="1">
        <v>18</v>
      </c>
      <c r="U34" s="1">
        <v>1</v>
      </c>
      <c r="V34" s="1">
        <v>1</v>
      </c>
      <c r="W34" s="1" t="s">
        <v>1</v>
      </c>
      <c r="X34" s="1" t="s">
        <v>2</v>
      </c>
      <c r="Y34" s="2">
        <v>45954.434328703705</v>
      </c>
      <c r="Z34" s="1">
        <v>2224</v>
      </c>
      <c r="AA34" t="str">
        <f>+VLOOKUP(O34,'[1]Ventas_odoo Interface'!$E:$AP,38,0)</f>
        <v>FXP/2025/09/0047</v>
      </c>
    </row>
    <row r="35" spans="1:27" ht="15" customHeight="1" x14ac:dyDescent="0.25">
      <c r="A35" s="1">
        <v>236</v>
      </c>
      <c r="B35" s="1">
        <v>20250829</v>
      </c>
      <c r="C35" s="1">
        <v>20250829</v>
      </c>
      <c r="D35" s="1"/>
      <c r="E35" s="1">
        <v>1830</v>
      </c>
      <c r="F35" s="1">
        <v>20</v>
      </c>
      <c r="G35" s="1">
        <v>7489</v>
      </c>
      <c r="H35" s="1">
        <v>5</v>
      </c>
      <c r="I35" s="1">
        <v>8837.02</v>
      </c>
      <c r="J35" s="1">
        <v>100</v>
      </c>
      <c r="K35" s="1">
        <v>30112</v>
      </c>
      <c r="L35" s="1">
        <v>1348.02</v>
      </c>
      <c r="M35" s="1">
        <v>1</v>
      </c>
      <c r="N35" s="1">
        <v>0</v>
      </c>
      <c r="O35" s="1" t="s">
        <v>20</v>
      </c>
      <c r="P35" s="1">
        <v>6743</v>
      </c>
      <c r="Q35" s="1">
        <v>374.45</v>
      </c>
      <c r="R35" s="1">
        <v>441.85</v>
      </c>
      <c r="S35" s="1">
        <v>0</v>
      </c>
      <c r="T35" s="1">
        <v>18</v>
      </c>
      <c r="U35" s="1">
        <v>1</v>
      </c>
      <c r="V35" s="1">
        <v>1</v>
      </c>
      <c r="W35" s="1" t="s">
        <v>1</v>
      </c>
      <c r="X35" s="1" t="s">
        <v>2</v>
      </c>
      <c r="Y35" s="2">
        <v>45954.434340277781</v>
      </c>
      <c r="Z35" s="1">
        <v>384</v>
      </c>
      <c r="AA35" t="str">
        <f>+VLOOKUP(O35,'[1]Ventas_odoo Interface'!$E:$AP,38,0)</f>
        <v>F E001-00000527</v>
      </c>
    </row>
    <row r="36" spans="1:27" ht="15" customHeight="1" x14ac:dyDescent="0.25">
      <c r="A36" s="1">
        <v>237</v>
      </c>
      <c r="B36" s="1">
        <v>20250829</v>
      </c>
      <c r="C36" s="1">
        <v>20250829</v>
      </c>
      <c r="D36" s="1"/>
      <c r="E36" s="1">
        <v>1905</v>
      </c>
      <c r="F36" s="1">
        <v>10</v>
      </c>
      <c r="G36" s="1">
        <v>2276.85</v>
      </c>
      <c r="H36" s="1">
        <v>5</v>
      </c>
      <c r="I36" s="1">
        <v>2686.68</v>
      </c>
      <c r="J36" s="1">
        <v>100</v>
      </c>
      <c r="K36" s="1">
        <v>30113</v>
      </c>
      <c r="L36" s="1">
        <v>409.83</v>
      </c>
      <c r="M36" s="1">
        <v>1</v>
      </c>
      <c r="N36" s="1">
        <v>0</v>
      </c>
      <c r="O36" s="1" t="s">
        <v>20</v>
      </c>
      <c r="P36" s="1">
        <v>6743</v>
      </c>
      <c r="Q36" s="1">
        <v>227.69</v>
      </c>
      <c r="R36" s="1">
        <v>268.67</v>
      </c>
      <c r="S36" s="1">
        <v>0</v>
      </c>
      <c r="T36" s="1">
        <v>18</v>
      </c>
      <c r="U36" s="1">
        <v>1</v>
      </c>
      <c r="V36" s="1">
        <v>1</v>
      </c>
      <c r="W36" s="1" t="s">
        <v>1</v>
      </c>
      <c r="X36" s="1" t="s">
        <v>2</v>
      </c>
      <c r="Y36" s="2">
        <v>45954.434340277781</v>
      </c>
      <c r="Z36" s="1">
        <v>384</v>
      </c>
      <c r="AA36" t="str">
        <f>+VLOOKUP(O36,'[1]Ventas_odoo Interface'!$E:$AP,38,0)</f>
        <v>F E001-00000527</v>
      </c>
    </row>
    <row r="37" spans="1:27" ht="15" customHeight="1" x14ac:dyDescent="0.25">
      <c r="A37" s="1">
        <v>238</v>
      </c>
      <c r="B37" s="1">
        <v>20250829</v>
      </c>
      <c r="C37" s="1">
        <v>20250829</v>
      </c>
      <c r="D37" s="1"/>
      <c r="E37" s="1">
        <v>1903</v>
      </c>
      <c r="F37" s="1">
        <v>3</v>
      </c>
      <c r="G37" s="1">
        <v>2130.02</v>
      </c>
      <c r="H37" s="1">
        <v>5</v>
      </c>
      <c r="I37" s="1">
        <v>2513.42</v>
      </c>
      <c r="J37" s="1">
        <v>100</v>
      </c>
      <c r="K37" s="1">
        <v>30107</v>
      </c>
      <c r="L37" s="1">
        <v>383.4</v>
      </c>
      <c r="M37" s="1">
        <v>1</v>
      </c>
      <c r="N37" s="1">
        <v>0</v>
      </c>
      <c r="O37" s="1" t="s">
        <v>21</v>
      </c>
      <c r="P37" s="1">
        <v>6743</v>
      </c>
      <c r="Q37" s="1">
        <v>710.01</v>
      </c>
      <c r="R37" s="1">
        <v>837.81</v>
      </c>
      <c r="S37" s="1">
        <v>0</v>
      </c>
      <c r="T37" s="1">
        <v>18</v>
      </c>
      <c r="U37" s="1">
        <v>1</v>
      </c>
      <c r="V37" s="1">
        <v>1</v>
      </c>
      <c r="W37" s="1" t="s">
        <v>1</v>
      </c>
      <c r="X37" s="1" t="s">
        <v>2</v>
      </c>
      <c r="Y37" s="2">
        <v>45954.434340277781</v>
      </c>
      <c r="Z37" s="1">
        <v>384</v>
      </c>
      <c r="AA37" t="str">
        <f>+VLOOKUP(O37,'[1]Ventas_odoo Interface'!$E:$AP,38,0)</f>
        <v>F E001-00000526</v>
      </c>
    </row>
    <row r="38" spans="1:27" ht="15" customHeight="1" x14ac:dyDescent="0.25">
      <c r="A38" s="1">
        <v>239</v>
      </c>
      <c r="B38" s="1">
        <v>20250829</v>
      </c>
      <c r="C38" s="1">
        <v>20250829</v>
      </c>
      <c r="D38" s="1"/>
      <c r="E38" s="1">
        <v>1905</v>
      </c>
      <c r="F38" s="1">
        <v>86</v>
      </c>
      <c r="G38" s="1">
        <v>13520.66</v>
      </c>
      <c r="H38" s="1">
        <v>5</v>
      </c>
      <c r="I38" s="1">
        <v>15954.38</v>
      </c>
      <c r="J38" s="1">
        <v>100</v>
      </c>
      <c r="K38" s="1">
        <v>30108</v>
      </c>
      <c r="L38" s="1">
        <v>2433.7199999999998</v>
      </c>
      <c r="M38" s="1">
        <v>1</v>
      </c>
      <c r="N38" s="1">
        <v>0</v>
      </c>
      <c r="O38" s="1" t="s">
        <v>21</v>
      </c>
      <c r="P38" s="1">
        <v>6743</v>
      </c>
      <c r="Q38" s="1">
        <v>157.22</v>
      </c>
      <c r="R38" s="1">
        <v>185.52</v>
      </c>
      <c r="S38" s="1">
        <v>0</v>
      </c>
      <c r="T38" s="1">
        <v>18</v>
      </c>
      <c r="U38" s="1">
        <v>1</v>
      </c>
      <c r="V38" s="1">
        <v>1</v>
      </c>
      <c r="W38" s="1" t="s">
        <v>1</v>
      </c>
      <c r="X38" s="1" t="s">
        <v>2</v>
      </c>
      <c r="Y38" s="2">
        <v>45954.434340277781</v>
      </c>
      <c r="Z38" s="1">
        <v>384</v>
      </c>
      <c r="AA38" t="str">
        <f>+VLOOKUP(O38,'[1]Ventas_odoo Interface'!$E:$AP,38,0)</f>
        <v>F E001-00000526</v>
      </c>
    </row>
    <row r="39" spans="1:27" ht="15" customHeight="1" x14ac:dyDescent="0.25">
      <c r="A39" s="1">
        <v>240</v>
      </c>
      <c r="B39" s="1">
        <v>20250829</v>
      </c>
      <c r="C39" s="1">
        <v>20250829</v>
      </c>
      <c r="D39" s="1"/>
      <c r="E39" s="1">
        <v>1906</v>
      </c>
      <c r="F39" s="1">
        <v>59</v>
      </c>
      <c r="G39" s="1">
        <v>5723</v>
      </c>
      <c r="H39" s="1">
        <v>5</v>
      </c>
      <c r="I39" s="1">
        <v>6753.14</v>
      </c>
      <c r="J39" s="1">
        <v>100</v>
      </c>
      <c r="K39" s="1">
        <v>30109</v>
      </c>
      <c r="L39" s="1">
        <v>1030.1400000000001</v>
      </c>
      <c r="M39" s="1">
        <v>1</v>
      </c>
      <c r="N39" s="1">
        <v>0</v>
      </c>
      <c r="O39" s="1" t="s">
        <v>21</v>
      </c>
      <c r="P39" s="1">
        <v>6743</v>
      </c>
      <c r="Q39" s="1">
        <v>97</v>
      </c>
      <c r="R39" s="1">
        <v>114.46</v>
      </c>
      <c r="S39" s="1">
        <v>0</v>
      </c>
      <c r="T39" s="1">
        <v>18</v>
      </c>
      <c r="U39" s="1">
        <v>1</v>
      </c>
      <c r="V39" s="1">
        <v>1</v>
      </c>
      <c r="W39" s="1" t="s">
        <v>1</v>
      </c>
      <c r="X39" s="1" t="s">
        <v>2</v>
      </c>
      <c r="Y39" s="2">
        <v>45954.434340277781</v>
      </c>
      <c r="Z39" s="1">
        <v>384</v>
      </c>
      <c r="AA39" t="str">
        <f>+VLOOKUP(O39,'[1]Ventas_odoo Interface'!$E:$AP,38,0)</f>
        <v>F E001-00000526</v>
      </c>
    </row>
    <row r="40" spans="1:27" ht="15" customHeight="1" x14ac:dyDescent="0.25">
      <c r="A40" s="1">
        <v>242</v>
      </c>
      <c r="B40" s="1">
        <v>20250828</v>
      </c>
      <c r="C40" s="1">
        <v>20250828</v>
      </c>
      <c r="D40" s="1"/>
      <c r="E40" s="1">
        <v>223</v>
      </c>
      <c r="F40" s="1">
        <v>5000</v>
      </c>
      <c r="G40" s="1">
        <v>1355.93</v>
      </c>
      <c r="H40" s="1">
        <v>5</v>
      </c>
      <c r="I40" s="1">
        <v>1600</v>
      </c>
      <c r="J40" s="1">
        <v>100</v>
      </c>
      <c r="K40" s="1">
        <v>30157</v>
      </c>
      <c r="L40" s="1">
        <v>244.07</v>
      </c>
      <c r="M40" s="1">
        <v>1</v>
      </c>
      <c r="N40" s="1">
        <v>0</v>
      </c>
      <c r="O40" s="1" t="s">
        <v>22</v>
      </c>
      <c r="P40" s="1">
        <v>877</v>
      </c>
      <c r="Q40" s="1">
        <v>0.27</v>
      </c>
      <c r="R40" s="1">
        <v>0.32</v>
      </c>
      <c r="S40" s="1">
        <v>0</v>
      </c>
      <c r="T40" s="1">
        <v>18</v>
      </c>
      <c r="U40" s="1">
        <v>1</v>
      </c>
      <c r="V40" s="1">
        <v>1</v>
      </c>
      <c r="W40" s="1" t="s">
        <v>1</v>
      </c>
      <c r="X40" s="1" t="s">
        <v>2</v>
      </c>
      <c r="Y40" s="2">
        <v>45954.434340277781</v>
      </c>
      <c r="Z40" s="1">
        <v>1400</v>
      </c>
      <c r="AA40" t="str">
        <f>+VLOOKUP(O40,'[1]Ventas_odoo Interface'!$E:$AP,38,0)</f>
        <v>F F001-00009446</v>
      </c>
    </row>
    <row r="41" spans="1:27" ht="15" customHeight="1" x14ac:dyDescent="0.25">
      <c r="A41" s="1">
        <v>243</v>
      </c>
      <c r="B41" s="1">
        <v>20250828</v>
      </c>
      <c r="C41" s="1">
        <v>20250828</v>
      </c>
      <c r="D41" s="1"/>
      <c r="E41" s="1">
        <v>223</v>
      </c>
      <c r="F41" s="1">
        <v>5000</v>
      </c>
      <c r="G41" s="1">
        <v>1355.93</v>
      </c>
      <c r="H41" s="1">
        <v>5</v>
      </c>
      <c r="I41" s="1">
        <v>1600</v>
      </c>
      <c r="J41" s="1">
        <v>100</v>
      </c>
      <c r="K41" s="1">
        <v>30158</v>
      </c>
      <c r="L41" s="1">
        <v>244.07</v>
      </c>
      <c r="M41" s="1">
        <v>1</v>
      </c>
      <c r="N41" s="1">
        <v>0</v>
      </c>
      <c r="O41" s="1" t="s">
        <v>22</v>
      </c>
      <c r="P41" s="1">
        <v>877</v>
      </c>
      <c r="Q41" s="1">
        <v>0.27</v>
      </c>
      <c r="R41" s="1">
        <v>0.32</v>
      </c>
      <c r="S41" s="1">
        <v>0</v>
      </c>
      <c r="T41" s="1">
        <v>18</v>
      </c>
      <c r="U41" s="1">
        <v>1</v>
      </c>
      <c r="V41" s="1">
        <v>1</v>
      </c>
      <c r="W41" s="1" t="s">
        <v>1</v>
      </c>
      <c r="X41" s="1" t="s">
        <v>2</v>
      </c>
      <c r="Y41" s="2">
        <v>45954.434351851851</v>
      </c>
      <c r="Z41" s="1">
        <v>1400</v>
      </c>
      <c r="AA41" t="str">
        <f>+VLOOKUP(O41,'[1]Ventas_odoo Interface'!$E:$AP,38,0)</f>
        <v>F F001-00009446</v>
      </c>
    </row>
    <row r="42" spans="1:27" ht="15" customHeight="1" x14ac:dyDescent="0.25">
      <c r="A42" s="1">
        <v>244</v>
      </c>
      <c r="B42" s="1">
        <v>20250828</v>
      </c>
      <c r="C42" s="1">
        <v>20250828</v>
      </c>
      <c r="D42" s="1"/>
      <c r="E42" s="1">
        <v>1895</v>
      </c>
      <c r="F42" s="1">
        <v>1500</v>
      </c>
      <c r="G42" s="1">
        <v>232.63</v>
      </c>
      <c r="H42" s="1">
        <v>5</v>
      </c>
      <c r="I42" s="1">
        <v>274.5</v>
      </c>
      <c r="J42" s="1">
        <v>100</v>
      </c>
      <c r="K42" s="1">
        <v>30159</v>
      </c>
      <c r="L42" s="1">
        <v>41.87</v>
      </c>
      <c r="M42" s="1">
        <v>1</v>
      </c>
      <c r="N42" s="1">
        <v>0</v>
      </c>
      <c r="O42" s="1" t="s">
        <v>22</v>
      </c>
      <c r="P42" s="1">
        <v>877</v>
      </c>
      <c r="Q42" s="1">
        <v>0.16</v>
      </c>
      <c r="R42" s="1">
        <v>0.18</v>
      </c>
      <c r="S42" s="1">
        <v>0</v>
      </c>
      <c r="T42" s="1">
        <v>18</v>
      </c>
      <c r="U42" s="1">
        <v>1</v>
      </c>
      <c r="V42" s="1">
        <v>1</v>
      </c>
      <c r="W42" s="1" t="s">
        <v>1</v>
      </c>
      <c r="X42" s="1" t="s">
        <v>2</v>
      </c>
      <c r="Y42" s="2">
        <v>45954.434351851851</v>
      </c>
      <c r="Z42" s="1">
        <v>1400</v>
      </c>
      <c r="AA42" t="str">
        <f>+VLOOKUP(O42,'[1]Ventas_odoo Interface'!$E:$AP,38,0)</f>
        <v>F F001-00009446</v>
      </c>
    </row>
    <row r="43" spans="1:27" ht="15" customHeight="1" x14ac:dyDescent="0.25">
      <c r="A43" s="1">
        <v>245</v>
      </c>
      <c r="B43" s="1">
        <v>20250828</v>
      </c>
      <c r="C43" s="1">
        <v>20250828</v>
      </c>
      <c r="D43" s="1"/>
      <c r="E43" s="1">
        <v>1895</v>
      </c>
      <c r="F43" s="1">
        <v>1000</v>
      </c>
      <c r="G43" s="1">
        <v>155.08000000000001</v>
      </c>
      <c r="H43" s="1">
        <v>5</v>
      </c>
      <c r="I43" s="1">
        <v>183</v>
      </c>
      <c r="J43" s="1">
        <v>100</v>
      </c>
      <c r="K43" s="1">
        <v>30160</v>
      </c>
      <c r="L43" s="1">
        <v>27.92</v>
      </c>
      <c r="M43" s="1">
        <v>1</v>
      </c>
      <c r="N43" s="1">
        <v>0</v>
      </c>
      <c r="O43" s="1" t="s">
        <v>22</v>
      </c>
      <c r="P43" s="1">
        <v>877</v>
      </c>
      <c r="Q43" s="1">
        <v>0.16</v>
      </c>
      <c r="R43" s="1">
        <v>0.18</v>
      </c>
      <c r="S43" s="1">
        <v>0</v>
      </c>
      <c r="T43" s="1">
        <v>18</v>
      </c>
      <c r="U43" s="1">
        <v>1</v>
      </c>
      <c r="V43" s="1">
        <v>1</v>
      </c>
      <c r="W43" s="1" t="s">
        <v>1</v>
      </c>
      <c r="X43" s="1" t="s">
        <v>2</v>
      </c>
      <c r="Y43" s="2">
        <v>45954.434351851851</v>
      </c>
      <c r="Z43" s="1">
        <v>1400</v>
      </c>
      <c r="AA43" t="str">
        <f>+VLOOKUP(O43,'[1]Ventas_odoo Interface'!$E:$AP,38,0)</f>
        <v>F F001-00009446</v>
      </c>
    </row>
    <row r="44" spans="1:27" ht="15" customHeight="1" x14ac:dyDescent="0.25">
      <c r="A44" s="1">
        <v>246</v>
      </c>
      <c r="B44" s="1">
        <v>20250828</v>
      </c>
      <c r="C44" s="1">
        <v>20250828</v>
      </c>
      <c r="D44" s="1"/>
      <c r="E44" s="1">
        <v>1895</v>
      </c>
      <c r="F44" s="1">
        <v>500</v>
      </c>
      <c r="G44" s="1">
        <v>77.540000000000006</v>
      </c>
      <c r="H44" s="1">
        <v>5</v>
      </c>
      <c r="I44" s="1">
        <v>91.5</v>
      </c>
      <c r="J44" s="1">
        <v>100</v>
      </c>
      <c r="K44" s="1">
        <v>30161</v>
      </c>
      <c r="L44" s="1">
        <v>13.96</v>
      </c>
      <c r="M44" s="1">
        <v>1</v>
      </c>
      <c r="N44" s="1">
        <v>0</v>
      </c>
      <c r="O44" s="1" t="s">
        <v>22</v>
      </c>
      <c r="P44" s="1">
        <v>877</v>
      </c>
      <c r="Q44" s="1">
        <v>0.16</v>
      </c>
      <c r="R44" s="1">
        <v>0.18</v>
      </c>
      <c r="S44" s="1">
        <v>0</v>
      </c>
      <c r="T44" s="1">
        <v>18</v>
      </c>
      <c r="U44" s="1">
        <v>1</v>
      </c>
      <c r="V44" s="1">
        <v>1</v>
      </c>
      <c r="W44" s="1" t="s">
        <v>1</v>
      </c>
      <c r="X44" s="1" t="s">
        <v>2</v>
      </c>
      <c r="Y44" s="2">
        <v>45954.434351851851</v>
      </c>
      <c r="Z44" s="1">
        <v>1400</v>
      </c>
      <c r="AA44" t="str">
        <f>+VLOOKUP(O44,'[1]Ventas_odoo Interface'!$E:$AP,38,0)</f>
        <v>F F001-00009446</v>
      </c>
    </row>
    <row r="45" spans="1:27" ht="15" customHeight="1" x14ac:dyDescent="0.25">
      <c r="A45" s="1">
        <v>247</v>
      </c>
      <c r="B45" s="1">
        <v>20250828</v>
      </c>
      <c r="C45" s="1">
        <v>20250828</v>
      </c>
      <c r="D45" s="1"/>
      <c r="E45" s="1">
        <v>1895</v>
      </c>
      <c r="F45" s="1">
        <v>500</v>
      </c>
      <c r="G45" s="1">
        <v>77.540000000000006</v>
      </c>
      <c r="H45" s="1">
        <v>5</v>
      </c>
      <c r="I45" s="1">
        <v>91.5</v>
      </c>
      <c r="J45" s="1">
        <v>100</v>
      </c>
      <c r="K45" s="1">
        <v>30162</v>
      </c>
      <c r="L45" s="1">
        <v>13.96</v>
      </c>
      <c r="M45" s="1">
        <v>1</v>
      </c>
      <c r="N45" s="1">
        <v>0</v>
      </c>
      <c r="O45" s="1" t="s">
        <v>22</v>
      </c>
      <c r="P45" s="1">
        <v>877</v>
      </c>
      <c r="Q45" s="1">
        <v>0.16</v>
      </c>
      <c r="R45" s="1">
        <v>0.18</v>
      </c>
      <c r="S45" s="1">
        <v>0</v>
      </c>
      <c r="T45" s="1">
        <v>18</v>
      </c>
      <c r="U45" s="1">
        <v>1</v>
      </c>
      <c r="V45" s="1">
        <v>1</v>
      </c>
      <c r="W45" s="1" t="s">
        <v>1</v>
      </c>
      <c r="X45" s="1" t="s">
        <v>2</v>
      </c>
      <c r="Y45" s="2">
        <v>45954.434351851851</v>
      </c>
      <c r="Z45" s="1">
        <v>1400</v>
      </c>
      <c r="AA45" t="str">
        <f>+VLOOKUP(O45,'[1]Ventas_odoo Interface'!$E:$AP,38,0)</f>
        <v>F F001-00009446</v>
      </c>
    </row>
    <row r="46" spans="1:27" ht="15" customHeight="1" x14ac:dyDescent="0.25">
      <c r="A46" s="1">
        <v>248</v>
      </c>
      <c r="B46" s="1">
        <v>20250828</v>
      </c>
      <c r="C46" s="1">
        <v>20250828</v>
      </c>
      <c r="D46" s="1"/>
      <c r="E46" s="1">
        <v>1895</v>
      </c>
      <c r="F46" s="1">
        <v>500</v>
      </c>
      <c r="G46" s="1">
        <v>77.540000000000006</v>
      </c>
      <c r="H46" s="1">
        <v>5</v>
      </c>
      <c r="I46" s="1">
        <v>91.5</v>
      </c>
      <c r="J46" s="1">
        <v>100</v>
      </c>
      <c r="K46" s="1">
        <v>30163</v>
      </c>
      <c r="L46" s="1">
        <v>13.96</v>
      </c>
      <c r="M46" s="1">
        <v>1</v>
      </c>
      <c r="N46" s="1">
        <v>0</v>
      </c>
      <c r="O46" s="1" t="s">
        <v>22</v>
      </c>
      <c r="P46" s="1">
        <v>877</v>
      </c>
      <c r="Q46" s="1">
        <v>0.16</v>
      </c>
      <c r="R46" s="1">
        <v>0.18</v>
      </c>
      <c r="S46" s="1">
        <v>0</v>
      </c>
      <c r="T46" s="1">
        <v>18</v>
      </c>
      <c r="U46" s="1">
        <v>1</v>
      </c>
      <c r="V46" s="1">
        <v>1</v>
      </c>
      <c r="W46" s="1" t="s">
        <v>1</v>
      </c>
      <c r="X46" s="1" t="s">
        <v>2</v>
      </c>
      <c r="Y46" s="2">
        <v>45954.434351851851</v>
      </c>
      <c r="Z46" s="1">
        <v>1400</v>
      </c>
      <c r="AA46" t="str">
        <f>+VLOOKUP(O46,'[1]Ventas_odoo Interface'!$E:$AP,38,0)</f>
        <v>F F001-00009446</v>
      </c>
    </row>
    <row r="47" spans="1:27" ht="15" customHeight="1" x14ac:dyDescent="0.25">
      <c r="A47" s="1">
        <v>249</v>
      </c>
      <c r="B47" s="1">
        <v>20250828</v>
      </c>
      <c r="C47" s="1">
        <v>20250828</v>
      </c>
      <c r="D47" s="1"/>
      <c r="E47" s="1">
        <v>1895</v>
      </c>
      <c r="F47" s="1">
        <v>500</v>
      </c>
      <c r="G47" s="1">
        <v>77.540000000000006</v>
      </c>
      <c r="H47" s="1">
        <v>5</v>
      </c>
      <c r="I47" s="1">
        <v>91.5</v>
      </c>
      <c r="J47" s="1">
        <v>100</v>
      </c>
      <c r="K47" s="1">
        <v>30164</v>
      </c>
      <c r="L47" s="1">
        <v>13.96</v>
      </c>
      <c r="M47" s="1">
        <v>1</v>
      </c>
      <c r="N47" s="1">
        <v>0</v>
      </c>
      <c r="O47" s="1" t="s">
        <v>22</v>
      </c>
      <c r="P47" s="1">
        <v>877</v>
      </c>
      <c r="Q47" s="1">
        <v>0.16</v>
      </c>
      <c r="R47" s="1">
        <v>0.18</v>
      </c>
      <c r="S47" s="1">
        <v>0</v>
      </c>
      <c r="T47" s="1">
        <v>18</v>
      </c>
      <c r="U47" s="1">
        <v>1</v>
      </c>
      <c r="V47" s="1">
        <v>1</v>
      </c>
      <c r="W47" s="1" t="s">
        <v>1</v>
      </c>
      <c r="X47" s="1" t="s">
        <v>2</v>
      </c>
      <c r="Y47" s="2">
        <v>45954.434351851851</v>
      </c>
      <c r="Z47" s="1">
        <v>1400</v>
      </c>
      <c r="AA47" t="str">
        <f>+VLOOKUP(O47,'[1]Ventas_odoo Interface'!$E:$AP,38,0)</f>
        <v>F F001-00009446</v>
      </c>
    </row>
    <row r="48" spans="1:27" ht="15" customHeight="1" x14ac:dyDescent="0.25">
      <c r="A48" s="1">
        <v>250</v>
      </c>
      <c r="B48" s="1">
        <v>20250828</v>
      </c>
      <c r="C48" s="1">
        <v>20250828</v>
      </c>
      <c r="D48" s="1"/>
      <c r="E48" s="1">
        <v>1895</v>
      </c>
      <c r="F48" s="1">
        <v>500</v>
      </c>
      <c r="G48" s="1">
        <v>77.540000000000006</v>
      </c>
      <c r="H48" s="1">
        <v>5</v>
      </c>
      <c r="I48" s="1">
        <v>91.5</v>
      </c>
      <c r="J48" s="1">
        <v>100</v>
      </c>
      <c r="K48" s="1">
        <v>30165</v>
      </c>
      <c r="L48" s="1">
        <v>13.96</v>
      </c>
      <c r="M48" s="1">
        <v>1</v>
      </c>
      <c r="N48" s="1">
        <v>0</v>
      </c>
      <c r="O48" s="1" t="s">
        <v>22</v>
      </c>
      <c r="P48" s="1">
        <v>877</v>
      </c>
      <c r="Q48" s="1">
        <v>0.16</v>
      </c>
      <c r="R48" s="1">
        <v>0.18</v>
      </c>
      <c r="S48" s="1">
        <v>0</v>
      </c>
      <c r="T48" s="1">
        <v>18</v>
      </c>
      <c r="U48" s="1">
        <v>1</v>
      </c>
      <c r="V48" s="1">
        <v>1</v>
      </c>
      <c r="W48" s="1" t="s">
        <v>1</v>
      </c>
      <c r="X48" s="1" t="s">
        <v>2</v>
      </c>
      <c r="Y48" s="2">
        <v>45954.434351851851</v>
      </c>
      <c r="Z48" s="1">
        <v>1400</v>
      </c>
      <c r="AA48" t="str">
        <f>+VLOOKUP(O48,'[1]Ventas_odoo Interface'!$E:$AP,38,0)</f>
        <v>F F001-00009446</v>
      </c>
    </row>
    <row r="49" spans="1:27" ht="15" customHeight="1" x14ac:dyDescent="0.25">
      <c r="A49" s="1">
        <v>251</v>
      </c>
      <c r="B49" s="1">
        <v>20250828</v>
      </c>
      <c r="C49" s="1">
        <v>20250828</v>
      </c>
      <c r="D49" s="1"/>
      <c r="E49" s="1">
        <v>1895</v>
      </c>
      <c r="F49" s="1">
        <v>1000</v>
      </c>
      <c r="G49" s="1">
        <v>153.38999999999999</v>
      </c>
      <c r="H49" s="1">
        <v>5</v>
      </c>
      <c r="I49" s="1">
        <v>181</v>
      </c>
      <c r="J49" s="1">
        <v>100</v>
      </c>
      <c r="K49" s="1">
        <v>30166</v>
      </c>
      <c r="L49" s="1">
        <v>27.61</v>
      </c>
      <c r="M49" s="1">
        <v>1</v>
      </c>
      <c r="N49" s="1">
        <v>0</v>
      </c>
      <c r="O49" s="1" t="s">
        <v>22</v>
      </c>
      <c r="P49" s="1">
        <v>877</v>
      </c>
      <c r="Q49" s="1">
        <v>0.15</v>
      </c>
      <c r="R49" s="1">
        <v>0.18</v>
      </c>
      <c r="S49" s="1">
        <v>0</v>
      </c>
      <c r="T49" s="1">
        <v>18</v>
      </c>
      <c r="U49" s="1">
        <v>1</v>
      </c>
      <c r="V49" s="1">
        <v>1</v>
      </c>
      <c r="W49" s="1" t="s">
        <v>1</v>
      </c>
      <c r="X49" s="1" t="s">
        <v>2</v>
      </c>
      <c r="Y49" s="2">
        <v>45954.434351851851</v>
      </c>
      <c r="Z49" s="1">
        <v>1400</v>
      </c>
      <c r="AA49" t="str">
        <f>+VLOOKUP(O49,'[1]Ventas_odoo Interface'!$E:$AP,38,0)</f>
        <v>F F001-00009446</v>
      </c>
    </row>
    <row r="50" spans="1:27" ht="15" customHeight="1" x14ac:dyDescent="0.25">
      <c r="A50" s="1">
        <v>252</v>
      </c>
      <c r="B50" s="1">
        <v>20250828</v>
      </c>
      <c r="C50" s="1">
        <v>20250828</v>
      </c>
      <c r="D50" s="1"/>
      <c r="E50" s="1">
        <v>223</v>
      </c>
      <c r="F50" s="1">
        <v>1000</v>
      </c>
      <c r="G50" s="1">
        <v>271.19</v>
      </c>
      <c r="H50" s="1">
        <v>5</v>
      </c>
      <c r="I50" s="1">
        <v>320</v>
      </c>
      <c r="J50" s="1">
        <v>100</v>
      </c>
      <c r="K50" s="1">
        <v>30167</v>
      </c>
      <c r="L50" s="1">
        <v>48.81</v>
      </c>
      <c r="M50" s="1">
        <v>1</v>
      </c>
      <c r="N50" s="1">
        <v>0</v>
      </c>
      <c r="O50" s="1" t="s">
        <v>22</v>
      </c>
      <c r="P50" s="1">
        <v>877</v>
      </c>
      <c r="Q50" s="1">
        <v>0.27</v>
      </c>
      <c r="R50" s="1">
        <v>0.32</v>
      </c>
      <c r="S50" s="1">
        <v>0</v>
      </c>
      <c r="T50" s="1">
        <v>18</v>
      </c>
      <c r="U50" s="1">
        <v>1</v>
      </c>
      <c r="V50" s="1">
        <v>1</v>
      </c>
      <c r="W50" s="1" t="s">
        <v>1</v>
      </c>
      <c r="X50" s="1" t="s">
        <v>2</v>
      </c>
      <c r="Y50" s="2">
        <v>45954.434351851851</v>
      </c>
      <c r="Z50" s="1">
        <v>1400</v>
      </c>
      <c r="AA50" t="str">
        <f>+VLOOKUP(O50,'[1]Ventas_odoo Interface'!$E:$AP,38,0)</f>
        <v>F F001-00009446</v>
      </c>
    </row>
    <row r="51" spans="1:27" ht="15" customHeight="1" x14ac:dyDescent="0.25">
      <c r="A51" s="1">
        <v>253</v>
      </c>
      <c r="B51" s="1">
        <v>20250828</v>
      </c>
      <c r="C51" s="1">
        <v>20250828</v>
      </c>
      <c r="D51" s="1"/>
      <c r="E51" s="1">
        <v>223</v>
      </c>
      <c r="F51" s="1">
        <v>1000</v>
      </c>
      <c r="G51" s="1">
        <v>271.19</v>
      </c>
      <c r="H51" s="1">
        <v>5</v>
      </c>
      <c r="I51" s="1">
        <v>320</v>
      </c>
      <c r="J51" s="1">
        <v>100</v>
      </c>
      <c r="K51" s="1">
        <v>30168</v>
      </c>
      <c r="L51" s="1">
        <v>48.81</v>
      </c>
      <c r="M51" s="1">
        <v>1</v>
      </c>
      <c r="N51" s="1">
        <v>0</v>
      </c>
      <c r="O51" s="1" t="s">
        <v>22</v>
      </c>
      <c r="P51" s="1">
        <v>877</v>
      </c>
      <c r="Q51" s="1">
        <v>0.27</v>
      </c>
      <c r="R51" s="1">
        <v>0.32</v>
      </c>
      <c r="S51" s="1">
        <v>0</v>
      </c>
      <c r="T51" s="1">
        <v>18</v>
      </c>
      <c r="U51" s="1">
        <v>1</v>
      </c>
      <c r="V51" s="1">
        <v>1</v>
      </c>
      <c r="W51" s="1" t="s">
        <v>1</v>
      </c>
      <c r="X51" s="1" t="s">
        <v>2</v>
      </c>
      <c r="Y51" s="2">
        <v>45954.434351851851</v>
      </c>
      <c r="Z51" s="1">
        <v>1400</v>
      </c>
      <c r="AA51" t="str">
        <f>+VLOOKUP(O51,'[1]Ventas_odoo Interface'!$E:$AP,38,0)</f>
        <v>F F001-00009446</v>
      </c>
    </row>
    <row r="52" spans="1:27" ht="15" customHeight="1" x14ac:dyDescent="0.25">
      <c r="A52" s="1">
        <v>254</v>
      </c>
      <c r="B52" s="1">
        <v>20250828</v>
      </c>
      <c r="C52" s="1">
        <v>20250828</v>
      </c>
      <c r="D52" s="1"/>
      <c r="E52" s="1">
        <v>1895</v>
      </c>
      <c r="F52" s="1">
        <v>1500</v>
      </c>
      <c r="G52" s="1">
        <v>232.63</v>
      </c>
      <c r="H52" s="1">
        <v>5</v>
      </c>
      <c r="I52" s="1">
        <v>274.5</v>
      </c>
      <c r="J52" s="1">
        <v>100</v>
      </c>
      <c r="K52" s="1">
        <v>30169</v>
      </c>
      <c r="L52" s="1">
        <v>41.87</v>
      </c>
      <c r="M52" s="1">
        <v>1</v>
      </c>
      <c r="N52" s="1">
        <v>0</v>
      </c>
      <c r="O52" s="1" t="s">
        <v>22</v>
      </c>
      <c r="P52" s="1">
        <v>877</v>
      </c>
      <c r="Q52" s="1">
        <v>0.16</v>
      </c>
      <c r="R52" s="1">
        <v>0.18</v>
      </c>
      <c r="S52" s="1">
        <v>0</v>
      </c>
      <c r="T52" s="1">
        <v>18</v>
      </c>
      <c r="U52" s="1">
        <v>1</v>
      </c>
      <c r="V52" s="1">
        <v>1</v>
      </c>
      <c r="W52" s="1" t="s">
        <v>1</v>
      </c>
      <c r="X52" s="1" t="s">
        <v>2</v>
      </c>
      <c r="Y52" s="2">
        <v>45954.434351851851</v>
      </c>
      <c r="Z52" s="1">
        <v>1400</v>
      </c>
      <c r="AA52" t="str">
        <f>+VLOOKUP(O52,'[1]Ventas_odoo Interface'!$E:$AP,38,0)</f>
        <v>F F001-00009446</v>
      </c>
    </row>
    <row r="53" spans="1:27" ht="15" customHeight="1" x14ac:dyDescent="0.25">
      <c r="A53" s="1">
        <v>255</v>
      </c>
      <c r="B53" s="1">
        <v>20250828</v>
      </c>
      <c r="C53" s="1">
        <v>20250828</v>
      </c>
      <c r="D53" s="1"/>
      <c r="E53" s="1">
        <v>1895</v>
      </c>
      <c r="F53" s="1">
        <v>1500</v>
      </c>
      <c r="G53" s="1">
        <v>232.63</v>
      </c>
      <c r="H53" s="1">
        <v>5</v>
      </c>
      <c r="I53" s="1">
        <v>274.5</v>
      </c>
      <c r="J53" s="1">
        <v>100</v>
      </c>
      <c r="K53" s="1">
        <v>30170</v>
      </c>
      <c r="L53" s="1">
        <v>41.87</v>
      </c>
      <c r="M53" s="1">
        <v>1</v>
      </c>
      <c r="N53" s="1">
        <v>0</v>
      </c>
      <c r="O53" s="1" t="s">
        <v>22</v>
      </c>
      <c r="P53" s="1">
        <v>877</v>
      </c>
      <c r="Q53" s="1">
        <v>0.16</v>
      </c>
      <c r="R53" s="1">
        <v>0.18</v>
      </c>
      <c r="S53" s="1">
        <v>0</v>
      </c>
      <c r="T53" s="1">
        <v>18</v>
      </c>
      <c r="U53" s="1">
        <v>1</v>
      </c>
      <c r="V53" s="1">
        <v>1</v>
      </c>
      <c r="W53" s="1" t="s">
        <v>1</v>
      </c>
      <c r="X53" s="1" t="s">
        <v>2</v>
      </c>
      <c r="Y53" s="2">
        <v>45954.434351851851</v>
      </c>
      <c r="Z53" s="1">
        <v>1400</v>
      </c>
      <c r="AA53" t="str">
        <f>+VLOOKUP(O53,'[1]Ventas_odoo Interface'!$E:$AP,38,0)</f>
        <v>F F001-00009446</v>
      </c>
    </row>
    <row r="54" spans="1:27" ht="15" customHeight="1" x14ac:dyDescent="0.25">
      <c r="A54" s="1">
        <v>256</v>
      </c>
      <c r="B54" s="1">
        <v>20250828</v>
      </c>
      <c r="C54" s="1">
        <v>20250828</v>
      </c>
      <c r="D54" s="1"/>
      <c r="E54" s="1">
        <v>223</v>
      </c>
      <c r="F54" s="1">
        <v>350</v>
      </c>
      <c r="G54" s="1">
        <v>94.92</v>
      </c>
      <c r="H54" s="1">
        <v>5</v>
      </c>
      <c r="I54" s="1">
        <v>112</v>
      </c>
      <c r="J54" s="1">
        <v>100</v>
      </c>
      <c r="K54" s="1">
        <v>30171</v>
      </c>
      <c r="L54" s="1">
        <v>17.079999999999998</v>
      </c>
      <c r="M54" s="1">
        <v>1</v>
      </c>
      <c r="N54" s="1">
        <v>0</v>
      </c>
      <c r="O54" s="1" t="s">
        <v>22</v>
      </c>
      <c r="P54" s="1">
        <v>877</v>
      </c>
      <c r="Q54" s="1">
        <v>0.27</v>
      </c>
      <c r="R54" s="1">
        <v>0.32</v>
      </c>
      <c r="S54" s="1">
        <v>0</v>
      </c>
      <c r="T54" s="1">
        <v>17.989999999999998</v>
      </c>
      <c r="U54" s="1">
        <v>1</v>
      </c>
      <c r="V54" s="1">
        <v>1</v>
      </c>
      <c r="W54" s="1" t="s">
        <v>1</v>
      </c>
      <c r="X54" s="1" t="s">
        <v>2</v>
      </c>
      <c r="Y54" s="2">
        <v>45954.434363425928</v>
      </c>
      <c r="Z54" s="1">
        <v>1400</v>
      </c>
      <c r="AA54" t="str">
        <f>+VLOOKUP(O54,'[1]Ventas_odoo Interface'!$E:$AP,38,0)</f>
        <v>F F001-00009446</v>
      </c>
    </row>
    <row r="55" spans="1:27" ht="15" customHeight="1" x14ac:dyDescent="0.25">
      <c r="A55" s="1">
        <v>257</v>
      </c>
      <c r="B55" s="1">
        <v>20250828</v>
      </c>
      <c r="C55" s="1">
        <v>20250828</v>
      </c>
      <c r="D55" s="1"/>
      <c r="E55" s="1">
        <v>223</v>
      </c>
      <c r="F55" s="1">
        <v>350</v>
      </c>
      <c r="G55" s="1">
        <v>94.92</v>
      </c>
      <c r="H55" s="1">
        <v>5</v>
      </c>
      <c r="I55" s="1">
        <v>112</v>
      </c>
      <c r="J55" s="1">
        <v>100</v>
      </c>
      <c r="K55" s="1">
        <v>30172</v>
      </c>
      <c r="L55" s="1">
        <v>17.079999999999998</v>
      </c>
      <c r="M55" s="1">
        <v>1</v>
      </c>
      <c r="N55" s="1">
        <v>0</v>
      </c>
      <c r="O55" s="1" t="s">
        <v>22</v>
      </c>
      <c r="P55" s="1">
        <v>877</v>
      </c>
      <c r="Q55" s="1">
        <v>0.27</v>
      </c>
      <c r="R55" s="1">
        <v>0.32</v>
      </c>
      <c r="S55" s="1">
        <v>0</v>
      </c>
      <c r="T55" s="1">
        <v>17.989999999999998</v>
      </c>
      <c r="U55" s="1">
        <v>1</v>
      </c>
      <c r="V55" s="1">
        <v>1</v>
      </c>
      <c r="W55" s="1" t="s">
        <v>1</v>
      </c>
      <c r="X55" s="1" t="s">
        <v>2</v>
      </c>
      <c r="Y55" s="2">
        <v>45954.434363425928</v>
      </c>
      <c r="Z55" s="1">
        <v>1400</v>
      </c>
      <c r="AA55" t="str">
        <f>+VLOOKUP(O55,'[1]Ventas_odoo Interface'!$E:$AP,38,0)</f>
        <v>F F001-00009446</v>
      </c>
    </row>
    <row r="56" spans="1:27" ht="15" customHeight="1" x14ac:dyDescent="0.25">
      <c r="A56" s="1">
        <v>258</v>
      </c>
      <c r="B56" s="1">
        <v>20250828</v>
      </c>
      <c r="C56" s="1">
        <v>20250828</v>
      </c>
      <c r="D56" s="1"/>
      <c r="E56" s="1">
        <v>223</v>
      </c>
      <c r="F56" s="1">
        <v>300</v>
      </c>
      <c r="G56" s="1">
        <v>81.36</v>
      </c>
      <c r="H56" s="1">
        <v>5</v>
      </c>
      <c r="I56" s="1">
        <v>96</v>
      </c>
      <c r="J56" s="1">
        <v>100</v>
      </c>
      <c r="K56" s="1">
        <v>30173</v>
      </c>
      <c r="L56" s="1">
        <v>14.64</v>
      </c>
      <c r="M56" s="1">
        <v>1</v>
      </c>
      <c r="N56" s="1">
        <v>0</v>
      </c>
      <c r="O56" s="1" t="s">
        <v>22</v>
      </c>
      <c r="P56" s="1">
        <v>877</v>
      </c>
      <c r="Q56" s="1">
        <v>0.27</v>
      </c>
      <c r="R56" s="1">
        <v>0.32</v>
      </c>
      <c r="S56" s="1">
        <v>0</v>
      </c>
      <c r="T56" s="1">
        <v>17.989999999999998</v>
      </c>
      <c r="U56" s="1">
        <v>1</v>
      </c>
      <c r="V56" s="1">
        <v>1</v>
      </c>
      <c r="W56" s="1" t="s">
        <v>1</v>
      </c>
      <c r="X56" s="1" t="s">
        <v>2</v>
      </c>
      <c r="Y56" s="2">
        <v>45954.434363425928</v>
      </c>
      <c r="Z56" s="1">
        <v>1400</v>
      </c>
      <c r="AA56" t="str">
        <f>+VLOOKUP(O56,'[1]Ventas_odoo Interface'!$E:$AP,38,0)</f>
        <v>F F001-00009446</v>
      </c>
    </row>
    <row r="57" spans="1:27" ht="15" customHeight="1" x14ac:dyDescent="0.25">
      <c r="A57" s="1">
        <v>259</v>
      </c>
      <c r="B57" s="1">
        <v>20250828</v>
      </c>
      <c r="C57" s="1">
        <v>20250828</v>
      </c>
      <c r="D57" s="1"/>
      <c r="E57" s="1">
        <v>1895</v>
      </c>
      <c r="F57" s="1">
        <v>500</v>
      </c>
      <c r="G57" s="1">
        <v>84.75</v>
      </c>
      <c r="H57" s="1">
        <v>5</v>
      </c>
      <c r="I57" s="1">
        <v>100</v>
      </c>
      <c r="J57" s="1">
        <v>100</v>
      </c>
      <c r="K57" s="1">
        <v>30174</v>
      </c>
      <c r="L57" s="1">
        <v>15.25</v>
      </c>
      <c r="M57" s="1">
        <v>1</v>
      </c>
      <c r="N57" s="1">
        <v>0</v>
      </c>
      <c r="O57" s="1" t="s">
        <v>22</v>
      </c>
      <c r="P57" s="1">
        <v>877</v>
      </c>
      <c r="Q57" s="1">
        <v>0.17</v>
      </c>
      <c r="R57" s="1">
        <v>0.2</v>
      </c>
      <c r="S57" s="1">
        <v>0</v>
      </c>
      <c r="T57" s="1">
        <v>17.989999999999998</v>
      </c>
      <c r="U57" s="1">
        <v>1</v>
      </c>
      <c r="V57" s="1">
        <v>1</v>
      </c>
      <c r="W57" s="1" t="s">
        <v>1</v>
      </c>
      <c r="X57" s="1" t="s">
        <v>2</v>
      </c>
      <c r="Y57" s="2">
        <v>45954.434363425928</v>
      </c>
      <c r="Z57" s="1">
        <v>1400</v>
      </c>
      <c r="AA57" t="str">
        <f>+VLOOKUP(O57,'[1]Ventas_odoo Interface'!$E:$AP,38,0)</f>
        <v>F F001-00009446</v>
      </c>
    </row>
    <row r="58" spans="1:27" ht="15" customHeight="1" x14ac:dyDescent="0.25">
      <c r="A58" s="1">
        <v>260</v>
      </c>
      <c r="B58" s="1">
        <v>20250828</v>
      </c>
      <c r="C58" s="1">
        <v>20250828</v>
      </c>
      <c r="D58" s="1"/>
      <c r="E58" s="1">
        <v>1895</v>
      </c>
      <c r="F58" s="1">
        <v>500</v>
      </c>
      <c r="G58" s="1">
        <v>88.98</v>
      </c>
      <c r="H58" s="1">
        <v>5</v>
      </c>
      <c r="I58" s="1">
        <v>105</v>
      </c>
      <c r="J58" s="1">
        <v>100</v>
      </c>
      <c r="K58" s="1">
        <v>30175</v>
      </c>
      <c r="L58" s="1">
        <v>16.02</v>
      </c>
      <c r="M58" s="1">
        <v>1</v>
      </c>
      <c r="N58" s="1">
        <v>0</v>
      </c>
      <c r="O58" s="1" t="s">
        <v>22</v>
      </c>
      <c r="P58" s="1">
        <v>877</v>
      </c>
      <c r="Q58" s="1">
        <v>0.18</v>
      </c>
      <c r="R58" s="1">
        <v>0.21</v>
      </c>
      <c r="S58" s="1">
        <v>0</v>
      </c>
      <c r="T58" s="1">
        <v>18</v>
      </c>
      <c r="U58" s="1">
        <v>1</v>
      </c>
      <c r="V58" s="1">
        <v>1</v>
      </c>
      <c r="W58" s="1" t="s">
        <v>1</v>
      </c>
      <c r="X58" s="1" t="s">
        <v>2</v>
      </c>
      <c r="Y58" s="2">
        <v>45954.434363425928</v>
      </c>
      <c r="Z58" s="1">
        <v>1400</v>
      </c>
      <c r="AA58" t="str">
        <f>+VLOOKUP(O58,'[1]Ventas_odoo Interface'!$E:$AP,38,0)</f>
        <v>F F001-00009446</v>
      </c>
    </row>
    <row r="59" spans="1:27" ht="15" customHeight="1" x14ac:dyDescent="0.25">
      <c r="A59" s="1">
        <v>261</v>
      </c>
      <c r="B59" s="1">
        <v>20250828</v>
      </c>
      <c r="C59" s="1">
        <v>20250828</v>
      </c>
      <c r="D59" s="1"/>
      <c r="E59" s="1">
        <v>223</v>
      </c>
      <c r="F59" s="1">
        <v>1000</v>
      </c>
      <c r="G59" s="1">
        <v>271.19</v>
      </c>
      <c r="H59" s="1">
        <v>5</v>
      </c>
      <c r="I59" s="1">
        <v>320</v>
      </c>
      <c r="J59" s="1">
        <v>100</v>
      </c>
      <c r="K59" s="1">
        <v>30176</v>
      </c>
      <c r="L59" s="1">
        <v>48.81</v>
      </c>
      <c r="M59" s="1">
        <v>1</v>
      </c>
      <c r="N59" s="1">
        <v>0</v>
      </c>
      <c r="O59" s="1" t="s">
        <v>22</v>
      </c>
      <c r="P59" s="1">
        <v>877</v>
      </c>
      <c r="Q59" s="1">
        <v>0.27</v>
      </c>
      <c r="R59" s="1">
        <v>0.32</v>
      </c>
      <c r="S59" s="1">
        <v>0</v>
      </c>
      <c r="T59" s="1">
        <v>18</v>
      </c>
      <c r="U59" s="1">
        <v>1</v>
      </c>
      <c r="V59" s="1">
        <v>1</v>
      </c>
      <c r="W59" s="1" t="s">
        <v>1</v>
      </c>
      <c r="X59" s="1" t="s">
        <v>2</v>
      </c>
      <c r="Y59" s="2">
        <v>45954.434363425928</v>
      </c>
      <c r="Z59" s="1">
        <v>1400</v>
      </c>
      <c r="AA59" t="str">
        <f>+VLOOKUP(O59,'[1]Ventas_odoo Interface'!$E:$AP,38,0)</f>
        <v>F F001-00009446</v>
      </c>
    </row>
    <row r="60" spans="1:27" ht="15" customHeight="1" x14ac:dyDescent="0.25">
      <c r="A60" s="1">
        <v>263</v>
      </c>
      <c r="B60" s="1">
        <v>20250828</v>
      </c>
      <c r="C60" s="1">
        <v>20250828</v>
      </c>
      <c r="D60" s="1"/>
      <c r="E60" s="1">
        <v>2026</v>
      </c>
      <c r="F60" s="1">
        <v>1</v>
      </c>
      <c r="G60" s="1">
        <v>75</v>
      </c>
      <c r="H60" s="1">
        <v>2</v>
      </c>
      <c r="I60" s="1">
        <v>88.5</v>
      </c>
      <c r="J60" s="1">
        <v>100</v>
      </c>
      <c r="K60" s="1">
        <v>30096</v>
      </c>
      <c r="L60" s="1">
        <v>13.5</v>
      </c>
      <c r="M60" s="1">
        <v>1</v>
      </c>
      <c r="N60" s="1">
        <v>0</v>
      </c>
      <c r="O60" s="1" t="s">
        <v>23</v>
      </c>
      <c r="P60" s="1">
        <v>6742</v>
      </c>
      <c r="Q60" s="1">
        <v>75</v>
      </c>
      <c r="R60" s="1">
        <v>88.5</v>
      </c>
      <c r="S60" s="1">
        <v>0</v>
      </c>
      <c r="T60" s="1">
        <v>18</v>
      </c>
      <c r="U60" s="1">
        <v>1</v>
      </c>
      <c r="V60" s="1">
        <v>1</v>
      </c>
      <c r="W60" s="1" t="s">
        <v>1</v>
      </c>
      <c r="X60" s="1" t="s">
        <v>2</v>
      </c>
      <c r="Y60" s="2">
        <v>45954.434363425928</v>
      </c>
      <c r="Z60" s="1">
        <v>4858</v>
      </c>
      <c r="AA60" t="str">
        <f>+VLOOKUP(O60,'[1]Ventas_odoo Interface'!$E:$AP,38,0)</f>
        <v>F E001-00000049</v>
      </c>
    </row>
    <row r="61" spans="1:27" ht="15" customHeight="1" x14ac:dyDescent="0.25">
      <c r="A61" s="1">
        <v>264</v>
      </c>
      <c r="B61" s="1">
        <v>20250828</v>
      </c>
      <c r="C61" s="1">
        <v>20250828</v>
      </c>
      <c r="D61" s="1"/>
      <c r="E61" s="1">
        <v>2026</v>
      </c>
      <c r="F61" s="1">
        <v>1</v>
      </c>
      <c r="G61" s="1">
        <v>75</v>
      </c>
      <c r="H61" s="1">
        <v>5</v>
      </c>
      <c r="I61" s="1">
        <v>88.5</v>
      </c>
      <c r="J61" s="1">
        <v>100</v>
      </c>
      <c r="K61" s="1">
        <v>30097</v>
      </c>
      <c r="L61" s="1">
        <v>13.5</v>
      </c>
      <c r="M61" s="1">
        <v>1</v>
      </c>
      <c r="N61" s="1">
        <v>0</v>
      </c>
      <c r="O61" s="1" t="s">
        <v>23</v>
      </c>
      <c r="P61" s="1">
        <v>6742</v>
      </c>
      <c r="Q61" s="1">
        <v>75</v>
      </c>
      <c r="R61" s="1">
        <v>88.5</v>
      </c>
      <c r="S61" s="1">
        <v>0</v>
      </c>
      <c r="T61" s="1">
        <v>18</v>
      </c>
      <c r="U61" s="1">
        <v>1</v>
      </c>
      <c r="V61" s="1">
        <v>1</v>
      </c>
      <c r="W61" s="1" t="s">
        <v>1</v>
      </c>
      <c r="X61" s="1" t="s">
        <v>2</v>
      </c>
      <c r="Y61" s="2">
        <v>45954.434363425928</v>
      </c>
      <c r="Z61" s="1">
        <v>4858</v>
      </c>
      <c r="AA61" t="str">
        <f>+VLOOKUP(O61,'[1]Ventas_odoo Interface'!$E:$AP,38,0)</f>
        <v>F E001-00000049</v>
      </c>
    </row>
    <row r="62" spans="1:27" ht="15" customHeight="1" x14ac:dyDescent="0.25">
      <c r="A62" s="1">
        <v>272</v>
      </c>
      <c r="B62" s="1">
        <v>20250824</v>
      </c>
      <c r="C62" s="1">
        <v>20250824</v>
      </c>
      <c r="D62" s="1"/>
      <c r="E62" s="1">
        <v>1895</v>
      </c>
      <c r="F62" s="1">
        <v>5000</v>
      </c>
      <c r="G62" s="1">
        <v>805.08</v>
      </c>
      <c r="H62" s="1">
        <v>5</v>
      </c>
      <c r="I62" s="1">
        <v>950</v>
      </c>
      <c r="J62" s="1">
        <v>100</v>
      </c>
      <c r="K62" s="1">
        <v>30179</v>
      </c>
      <c r="L62" s="1">
        <v>144.91999999999999</v>
      </c>
      <c r="M62" s="1">
        <v>1</v>
      </c>
      <c r="N62" s="1">
        <v>0</v>
      </c>
      <c r="O62" s="1" t="s">
        <v>24</v>
      </c>
      <c r="P62" s="1">
        <v>877</v>
      </c>
      <c r="Q62" s="1">
        <v>0.16</v>
      </c>
      <c r="R62" s="1">
        <v>0.19</v>
      </c>
      <c r="S62" s="1">
        <v>0</v>
      </c>
      <c r="T62" s="1">
        <v>18</v>
      </c>
      <c r="U62" s="1">
        <v>1</v>
      </c>
      <c r="V62" s="1">
        <v>1</v>
      </c>
      <c r="W62" s="1" t="s">
        <v>1</v>
      </c>
      <c r="X62" s="1" t="s">
        <v>2</v>
      </c>
      <c r="Y62" s="2">
        <v>45954.434374999997</v>
      </c>
      <c r="Z62" s="1">
        <v>1555</v>
      </c>
      <c r="AA62" t="str">
        <f>+VLOOKUP(O62,'[1]Ventas_odoo Interface'!$E:$AP,38,0)</f>
        <v>F F002-00032725</v>
      </c>
    </row>
    <row r="63" spans="1:27" ht="15" customHeight="1" x14ac:dyDescent="0.25">
      <c r="A63" s="1">
        <v>273</v>
      </c>
      <c r="B63" s="1">
        <v>20250824</v>
      </c>
      <c r="C63" s="1">
        <v>20250824</v>
      </c>
      <c r="D63" s="1"/>
      <c r="E63" s="1">
        <v>1895</v>
      </c>
      <c r="F63" s="1">
        <v>5000</v>
      </c>
      <c r="G63" s="1">
        <v>805.08</v>
      </c>
      <c r="H63" s="1">
        <v>5</v>
      </c>
      <c r="I63" s="1">
        <v>950</v>
      </c>
      <c r="J63" s="1">
        <v>100</v>
      </c>
      <c r="K63" s="1">
        <v>30180</v>
      </c>
      <c r="L63" s="1">
        <v>144.91999999999999</v>
      </c>
      <c r="M63" s="1">
        <v>1</v>
      </c>
      <c r="N63" s="1">
        <v>0</v>
      </c>
      <c r="O63" s="1" t="s">
        <v>24</v>
      </c>
      <c r="P63" s="1">
        <v>877</v>
      </c>
      <c r="Q63" s="1">
        <v>0.16</v>
      </c>
      <c r="R63" s="1">
        <v>0.19</v>
      </c>
      <c r="S63" s="1">
        <v>0</v>
      </c>
      <c r="T63" s="1">
        <v>18</v>
      </c>
      <c r="U63" s="1">
        <v>1</v>
      </c>
      <c r="V63" s="1">
        <v>1</v>
      </c>
      <c r="W63" s="1" t="s">
        <v>1</v>
      </c>
      <c r="X63" s="1" t="s">
        <v>2</v>
      </c>
      <c r="Y63" s="2">
        <v>45954.434374999997</v>
      </c>
      <c r="Z63" s="1">
        <v>1555</v>
      </c>
      <c r="AA63" t="str">
        <f>+VLOOKUP(O63,'[1]Ventas_odoo Interface'!$E:$AP,38,0)</f>
        <v>F F002-00032725</v>
      </c>
    </row>
    <row r="64" spans="1:27" ht="15" customHeight="1" x14ac:dyDescent="0.25">
      <c r="A64" s="1">
        <v>274</v>
      </c>
      <c r="B64" s="1">
        <v>20250824</v>
      </c>
      <c r="C64" s="1">
        <v>20250824</v>
      </c>
      <c r="D64" s="1"/>
      <c r="E64" s="1">
        <v>1895</v>
      </c>
      <c r="F64" s="1">
        <v>5000</v>
      </c>
      <c r="G64" s="1">
        <v>805.08</v>
      </c>
      <c r="H64" s="1">
        <v>5</v>
      </c>
      <c r="I64" s="1">
        <v>950</v>
      </c>
      <c r="J64" s="1">
        <v>100</v>
      </c>
      <c r="K64" s="1">
        <v>30181</v>
      </c>
      <c r="L64" s="1">
        <v>144.91999999999999</v>
      </c>
      <c r="M64" s="1">
        <v>1</v>
      </c>
      <c r="N64" s="1">
        <v>0</v>
      </c>
      <c r="O64" s="1" t="s">
        <v>24</v>
      </c>
      <c r="P64" s="1">
        <v>877</v>
      </c>
      <c r="Q64" s="1">
        <v>0.16</v>
      </c>
      <c r="R64" s="1">
        <v>0.19</v>
      </c>
      <c r="S64" s="1">
        <v>0</v>
      </c>
      <c r="T64" s="1">
        <v>18</v>
      </c>
      <c r="U64" s="1">
        <v>1</v>
      </c>
      <c r="V64" s="1">
        <v>1</v>
      </c>
      <c r="W64" s="1" t="s">
        <v>1</v>
      </c>
      <c r="X64" s="1" t="s">
        <v>2</v>
      </c>
      <c r="Y64" s="2">
        <v>45954.434374999997</v>
      </c>
      <c r="Z64" s="1">
        <v>1555</v>
      </c>
      <c r="AA64" t="str">
        <f>+VLOOKUP(O64,'[1]Ventas_odoo Interface'!$E:$AP,38,0)</f>
        <v>F F002-00032725</v>
      </c>
    </row>
    <row r="65" spans="1:27" ht="15" customHeight="1" x14ac:dyDescent="0.25">
      <c r="A65" s="1">
        <v>275</v>
      </c>
      <c r="B65" s="1">
        <v>20250824</v>
      </c>
      <c r="C65" s="1">
        <v>20250824</v>
      </c>
      <c r="D65" s="1"/>
      <c r="E65" s="1">
        <v>1895</v>
      </c>
      <c r="F65" s="1">
        <v>5000</v>
      </c>
      <c r="G65" s="1">
        <v>805.08</v>
      </c>
      <c r="H65" s="1">
        <v>5</v>
      </c>
      <c r="I65" s="1">
        <v>950</v>
      </c>
      <c r="J65" s="1">
        <v>100</v>
      </c>
      <c r="K65" s="1">
        <v>30182</v>
      </c>
      <c r="L65" s="1">
        <v>144.91999999999999</v>
      </c>
      <c r="M65" s="1">
        <v>1</v>
      </c>
      <c r="N65" s="1">
        <v>0</v>
      </c>
      <c r="O65" s="1" t="s">
        <v>24</v>
      </c>
      <c r="P65" s="1">
        <v>877</v>
      </c>
      <c r="Q65" s="1">
        <v>0.16</v>
      </c>
      <c r="R65" s="1">
        <v>0.19</v>
      </c>
      <c r="S65" s="1">
        <v>0</v>
      </c>
      <c r="T65" s="1">
        <v>18</v>
      </c>
      <c r="U65" s="1">
        <v>1</v>
      </c>
      <c r="V65" s="1">
        <v>1</v>
      </c>
      <c r="W65" s="1" t="s">
        <v>1</v>
      </c>
      <c r="X65" s="1" t="s">
        <v>2</v>
      </c>
      <c r="Y65" s="2">
        <v>45954.434386574074</v>
      </c>
      <c r="Z65" s="1">
        <v>1555</v>
      </c>
      <c r="AA65" t="str">
        <f>+VLOOKUP(O65,'[1]Ventas_odoo Interface'!$E:$AP,38,0)</f>
        <v>F F002-00032725</v>
      </c>
    </row>
    <row r="66" spans="1:27" ht="15" customHeight="1" x14ac:dyDescent="0.25">
      <c r="A66" s="1">
        <v>276</v>
      </c>
      <c r="B66" s="1">
        <v>20250824</v>
      </c>
      <c r="C66" s="1">
        <v>20250824</v>
      </c>
      <c r="D66" s="1"/>
      <c r="E66" s="1">
        <v>1895</v>
      </c>
      <c r="F66" s="1">
        <v>5000</v>
      </c>
      <c r="G66" s="1">
        <v>805.08</v>
      </c>
      <c r="H66" s="1">
        <v>5</v>
      </c>
      <c r="I66" s="1">
        <v>950</v>
      </c>
      <c r="J66" s="1">
        <v>100</v>
      </c>
      <c r="K66" s="1">
        <v>30183</v>
      </c>
      <c r="L66" s="1">
        <v>144.91999999999999</v>
      </c>
      <c r="M66" s="1">
        <v>1</v>
      </c>
      <c r="N66" s="1">
        <v>0</v>
      </c>
      <c r="O66" s="1" t="s">
        <v>24</v>
      </c>
      <c r="P66" s="1">
        <v>877</v>
      </c>
      <c r="Q66" s="1">
        <v>0.16</v>
      </c>
      <c r="R66" s="1">
        <v>0.19</v>
      </c>
      <c r="S66" s="1">
        <v>0</v>
      </c>
      <c r="T66" s="1">
        <v>18</v>
      </c>
      <c r="U66" s="1">
        <v>1</v>
      </c>
      <c r="V66" s="1">
        <v>1</v>
      </c>
      <c r="W66" s="1" t="s">
        <v>1</v>
      </c>
      <c r="X66" s="1" t="s">
        <v>2</v>
      </c>
      <c r="Y66" s="2">
        <v>45954.434386574074</v>
      </c>
      <c r="Z66" s="1">
        <v>1555</v>
      </c>
      <c r="AA66" t="str">
        <f>+VLOOKUP(O66,'[1]Ventas_odoo Interface'!$E:$AP,38,0)</f>
        <v>F F002-00032725</v>
      </c>
    </row>
    <row r="67" spans="1:27" ht="15" customHeight="1" x14ac:dyDescent="0.25">
      <c r="A67" s="1">
        <v>277</v>
      </c>
      <c r="B67" s="1">
        <v>20250824</v>
      </c>
      <c r="C67" s="1">
        <v>20250824</v>
      </c>
      <c r="D67" s="1"/>
      <c r="E67" s="1">
        <v>1895</v>
      </c>
      <c r="F67" s="1">
        <v>5000</v>
      </c>
      <c r="G67" s="1">
        <v>805.08</v>
      </c>
      <c r="H67" s="1">
        <v>5</v>
      </c>
      <c r="I67" s="1">
        <v>950</v>
      </c>
      <c r="J67" s="1">
        <v>100</v>
      </c>
      <c r="K67" s="1">
        <v>30184</v>
      </c>
      <c r="L67" s="1">
        <v>144.91999999999999</v>
      </c>
      <c r="M67" s="1">
        <v>1</v>
      </c>
      <c r="N67" s="1">
        <v>0</v>
      </c>
      <c r="O67" s="1" t="s">
        <v>24</v>
      </c>
      <c r="P67" s="1">
        <v>877</v>
      </c>
      <c r="Q67" s="1">
        <v>0.16</v>
      </c>
      <c r="R67" s="1">
        <v>0.19</v>
      </c>
      <c r="S67" s="1">
        <v>0</v>
      </c>
      <c r="T67" s="1">
        <v>18</v>
      </c>
      <c r="U67" s="1">
        <v>1</v>
      </c>
      <c r="V67" s="1">
        <v>1</v>
      </c>
      <c r="W67" s="1" t="s">
        <v>1</v>
      </c>
      <c r="X67" s="1" t="s">
        <v>2</v>
      </c>
      <c r="Y67" s="2">
        <v>45954.434386574074</v>
      </c>
      <c r="Z67" s="1">
        <v>1555</v>
      </c>
      <c r="AA67" t="str">
        <f>+VLOOKUP(O67,'[1]Ventas_odoo Interface'!$E:$AP,38,0)</f>
        <v>F F002-00032725</v>
      </c>
    </row>
    <row r="68" spans="1:27" ht="15" customHeight="1" x14ac:dyDescent="0.25">
      <c r="A68" s="1">
        <v>278</v>
      </c>
      <c r="B68" s="1">
        <v>20250824</v>
      </c>
      <c r="C68" s="1">
        <v>20250824</v>
      </c>
      <c r="D68" s="1"/>
      <c r="E68" s="1">
        <v>1895</v>
      </c>
      <c r="F68" s="1">
        <v>5000</v>
      </c>
      <c r="G68" s="1">
        <v>805.08</v>
      </c>
      <c r="H68" s="1">
        <v>5</v>
      </c>
      <c r="I68" s="1">
        <v>950</v>
      </c>
      <c r="J68" s="1">
        <v>100</v>
      </c>
      <c r="K68" s="1">
        <v>30185</v>
      </c>
      <c r="L68" s="1">
        <v>144.91999999999999</v>
      </c>
      <c r="M68" s="1">
        <v>1</v>
      </c>
      <c r="N68" s="1">
        <v>0</v>
      </c>
      <c r="O68" s="1" t="s">
        <v>24</v>
      </c>
      <c r="P68" s="1">
        <v>877</v>
      </c>
      <c r="Q68" s="1">
        <v>0.16</v>
      </c>
      <c r="R68" s="1">
        <v>0.19</v>
      </c>
      <c r="S68" s="1">
        <v>0</v>
      </c>
      <c r="T68" s="1">
        <v>18</v>
      </c>
      <c r="U68" s="1">
        <v>1</v>
      </c>
      <c r="V68" s="1">
        <v>1</v>
      </c>
      <c r="W68" s="1" t="s">
        <v>1</v>
      </c>
      <c r="X68" s="1" t="s">
        <v>2</v>
      </c>
      <c r="Y68" s="2">
        <v>45954.434386574074</v>
      </c>
      <c r="Z68" s="1">
        <v>1555</v>
      </c>
      <c r="AA68" t="str">
        <f>+VLOOKUP(O68,'[1]Ventas_odoo Interface'!$E:$AP,38,0)</f>
        <v>F F002-00032725</v>
      </c>
    </row>
    <row r="69" spans="1:27" ht="15" customHeight="1" x14ac:dyDescent="0.25">
      <c r="A69" s="1">
        <v>279</v>
      </c>
      <c r="B69" s="1">
        <v>20250824</v>
      </c>
      <c r="C69" s="1">
        <v>20250824</v>
      </c>
      <c r="D69" s="1"/>
      <c r="E69" s="1">
        <v>1895</v>
      </c>
      <c r="F69" s="1">
        <v>5000</v>
      </c>
      <c r="G69" s="1">
        <v>805.08</v>
      </c>
      <c r="H69" s="1">
        <v>5</v>
      </c>
      <c r="I69" s="1">
        <v>950</v>
      </c>
      <c r="J69" s="1">
        <v>100</v>
      </c>
      <c r="K69" s="1">
        <v>30186</v>
      </c>
      <c r="L69" s="1">
        <v>144.91999999999999</v>
      </c>
      <c r="M69" s="1">
        <v>1</v>
      </c>
      <c r="N69" s="1">
        <v>0</v>
      </c>
      <c r="O69" s="1" t="s">
        <v>24</v>
      </c>
      <c r="P69" s="1">
        <v>877</v>
      </c>
      <c r="Q69" s="1">
        <v>0.16</v>
      </c>
      <c r="R69" s="1">
        <v>0.19</v>
      </c>
      <c r="S69" s="1">
        <v>0</v>
      </c>
      <c r="T69" s="1">
        <v>18</v>
      </c>
      <c r="U69" s="1">
        <v>1</v>
      </c>
      <c r="V69" s="1">
        <v>1</v>
      </c>
      <c r="W69" s="1" t="s">
        <v>1</v>
      </c>
      <c r="X69" s="1" t="s">
        <v>2</v>
      </c>
      <c r="Y69" s="2">
        <v>45954.434386574074</v>
      </c>
      <c r="Z69" s="1">
        <v>1555</v>
      </c>
      <c r="AA69" t="str">
        <f>+VLOOKUP(O69,'[1]Ventas_odoo Interface'!$E:$AP,38,0)</f>
        <v>F F002-00032725</v>
      </c>
    </row>
    <row r="70" spans="1:27" ht="15" customHeight="1" x14ac:dyDescent="0.25">
      <c r="A70" s="1">
        <v>280</v>
      </c>
      <c r="B70" s="1">
        <v>20250824</v>
      </c>
      <c r="C70" s="1">
        <v>20250824</v>
      </c>
      <c r="D70" s="1"/>
      <c r="E70" s="1">
        <v>1895</v>
      </c>
      <c r="F70" s="1">
        <v>5000</v>
      </c>
      <c r="G70" s="1">
        <v>805.08</v>
      </c>
      <c r="H70" s="1">
        <v>5</v>
      </c>
      <c r="I70" s="1">
        <v>950</v>
      </c>
      <c r="J70" s="1">
        <v>100</v>
      </c>
      <c r="K70" s="1">
        <v>30187</v>
      </c>
      <c r="L70" s="1">
        <v>144.91999999999999</v>
      </c>
      <c r="M70" s="1">
        <v>1</v>
      </c>
      <c r="N70" s="1">
        <v>0</v>
      </c>
      <c r="O70" s="1" t="s">
        <v>24</v>
      </c>
      <c r="P70" s="1">
        <v>877</v>
      </c>
      <c r="Q70" s="1">
        <v>0.16</v>
      </c>
      <c r="R70" s="1">
        <v>0.19</v>
      </c>
      <c r="S70" s="1">
        <v>0</v>
      </c>
      <c r="T70" s="1">
        <v>18</v>
      </c>
      <c r="U70" s="1">
        <v>1</v>
      </c>
      <c r="V70" s="1">
        <v>1</v>
      </c>
      <c r="W70" s="1" t="s">
        <v>1</v>
      </c>
      <c r="X70" s="1" t="s">
        <v>2</v>
      </c>
      <c r="Y70" s="2">
        <v>45954.434386574074</v>
      </c>
      <c r="Z70" s="1">
        <v>1555</v>
      </c>
      <c r="AA70" t="str">
        <f>+VLOOKUP(O70,'[1]Ventas_odoo Interface'!$E:$AP,38,0)</f>
        <v>F F002-00032725</v>
      </c>
    </row>
    <row r="71" spans="1:27" ht="15" customHeight="1" x14ac:dyDescent="0.25">
      <c r="A71" s="1">
        <v>281</v>
      </c>
      <c r="B71" s="1">
        <v>20250824</v>
      </c>
      <c r="C71" s="1">
        <v>20250824</v>
      </c>
      <c r="D71" s="1"/>
      <c r="E71" s="1">
        <v>1895</v>
      </c>
      <c r="F71" s="1">
        <v>5000</v>
      </c>
      <c r="G71" s="1">
        <v>805.08</v>
      </c>
      <c r="H71" s="1">
        <v>5</v>
      </c>
      <c r="I71" s="1">
        <v>950</v>
      </c>
      <c r="J71" s="1">
        <v>100</v>
      </c>
      <c r="K71" s="1">
        <v>30188</v>
      </c>
      <c r="L71" s="1">
        <v>144.91999999999999</v>
      </c>
      <c r="M71" s="1">
        <v>1</v>
      </c>
      <c r="N71" s="1">
        <v>0</v>
      </c>
      <c r="O71" s="1" t="s">
        <v>24</v>
      </c>
      <c r="P71" s="1">
        <v>877</v>
      </c>
      <c r="Q71" s="1">
        <v>0.16</v>
      </c>
      <c r="R71" s="1">
        <v>0.19</v>
      </c>
      <c r="S71" s="1">
        <v>0</v>
      </c>
      <c r="T71" s="1">
        <v>18</v>
      </c>
      <c r="U71" s="1">
        <v>1</v>
      </c>
      <c r="V71" s="1">
        <v>1</v>
      </c>
      <c r="W71" s="1" t="s">
        <v>1</v>
      </c>
      <c r="X71" s="1" t="s">
        <v>2</v>
      </c>
      <c r="Y71" s="2">
        <v>45954.434386574074</v>
      </c>
      <c r="Z71" s="1">
        <v>1555</v>
      </c>
      <c r="AA71" t="str">
        <f>+VLOOKUP(O71,'[1]Ventas_odoo Interface'!$E:$AP,38,0)</f>
        <v>F F002-00032725</v>
      </c>
    </row>
    <row r="72" spans="1:27" ht="15" customHeight="1" x14ac:dyDescent="0.25">
      <c r="A72" s="1">
        <v>282</v>
      </c>
      <c r="B72" s="1">
        <v>20250824</v>
      </c>
      <c r="C72" s="1">
        <v>20250824</v>
      </c>
      <c r="D72" s="1"/>
      <c r="E72" s="1">
        <v>1895</v>
      </c>
      <c r="F72" s="1">
        <v>5000</v>
      </c>
      <c r="G72" s="1">
        <v>805.08</v>
      </c>
      <c r="H72" s="1">
        <v>5</v>
      </c>
      <c r="I72" s="1">
        <v>950</v>
      </c>
      <c r="J72" s="1">
        <v>100</v>
      </c>
      <c r="K72" s="1">
        <v>30189</v>
      </c>
      <c r="L72" s="1">
        <v>144.91999999999999</v>
      </c>
      <c r="M72" s="1">
        <v>1</v>
      </c>
      <c r="N72" s="1">
        <v>0</v>
      </c>
      <c r="O72" s="1" t="s">
        <v>24</v>
      </c>
      <c r="P72" s="1">
        <v>877</v>
      </c>
      <c r="Q72" s="1">
        <v>0.16</v>
      </c>
      <c r="R72" s="1">
        <v>0.19</v>
      </c>
      <c r="S72" s="1">
        <v>0</v>
      </c>
      <c r="T72" s="1">
        <v>18</v>
      </c>
      <c r="U72" s="1">
        <v>1</v>
      </c>
      <c r="V72" s="1">
        <v>1</v>
      </c>
      <c r="W72" s="1" t="s">
        <v>1</v>
      </c>
      <c r="X72" s="1" t="s">
        <v>2</v>
      </c>
      <c r="Y72" s="2">
        <v>45954.434386574074</v>
      </c>
      <c r="Z72" s="1">
        <v>1555</v>
      </c>
      <c r="AA72" t="str">
        <f>+VLOOKUP(O72,'[1]Ventas_odoo Interface'!$E:$AP,38,0)</f>
        <v>F F002-00032725</v>
      </c>
    </row>
    <row r="73" spans="1:27" ht="15" customHeight="1" x14ac:dyDescent="0.25">
      <c r="A73" s="1">
        <v>310</v>
      </c>
      <c r="B73" s="1">
        <v>20250818</v>
      </c>
      <c r="C73" s="1">
        <v>20250818</v>
      </c>
      <c r="D73" s="1"/>
      <c r="E73" s="1">
        <v>1918</v>
      </c>
      <c r="F73" s="1">
        <v>34</v>
      </c>
      <c r="G73" s="1">
        <v>331.5</v>
      </c>
      <c r="H73" s="1">
        <v>4</v>
      </c>
      <c r="I73" s="1">
        <v>391.17</v>
      </c>
      <c r="J73" s="1">
        <v>100</v>
      </c>
      <c r="K73" s="1">
        <v>29908</v>
      </c>
      <c r="L73" s="1">
        <v>59.67</v>
      </c>
      <c r="M73" s="1">
        <v>1</v>
      </c>
      <c r="N73" s="1">
        <v>0</v>
      </c>
      <c r="O73" s="1" t="s">
        <v>25</v>
      </c>
      <c r="P73" s="1">
        <v>6676</v>
      </c>
      <c r="Q73" s="1">
        <v>9.75</v>
      </c>
      <c r="R73" s="1">
        <v>11.51</v>
      </c>
      <c r="S73" s="1">
        <v>0</v>
      </c>
      <c r="T73" s="1">
        <v>18</v>
      </c>
      <c r="U73" s="1">
        <v>1</v>
      </c>
      <c r="V73" s="1">
        <v>1</v>
      </c>
      <c r="W73" s="1" t="s">
        <v>1</v>
      </c>
      <c r="X73" s="1" t="s">
        <v>2</v>
      </c>
      <c r="Y73" s="2">
        <v>45954.434421296297</v>
      </c>
      <c r="Z73" s="1">
        <v>2742</v>
      </c>
      <c r="AA73" t="str">
        <f>+VLOOKUP(O73,'[1]Ventas_odoo Interface'!$E:$AP,38,0)</f>
        <v>F F004-01101419</v>
      </c>
    </row>
    <row r="74" spans="1:27" ht="15" customHeight="1" x14ac:dyDescent="0.25">
      <c r="A74" s="1">
        <v>311</v>
      </c>
      <c r="B74" s="1">
        <v>20250818</v>
      </c>
      <c r="C74" s="1">
        <v>20250818</v>
      </c>
      <c r="D74" s="1"/>
      <c r="E74" s="1">
        <v>1918</v>
      </c>
      <c r="F74" s="1">
        <v>2</v>
      </c>
      <c r="G74" s="1">
        <v>14.58</v>
      </c>
      <c r="H74" s="1">
        <v>4</v>
      </c>
      <c r="I74" s="1">
        <v>17.2</v>
      </c>
      <c r="J74" s="1">
        <v>100</v>
      </c>
      <c r="K74" s="1">
        <v>29909</v>
      </c>
      <c r="L74" s="1">
        <v>2.62</v>
      </c>
      <c r="M74" s="1">
        <v>1</v>
      </c>
      <c r="N74" s="1">
        <v>0</v>
      </c>
      <c r="O74" s="1" t="s">
        <v>25</v>
      </c>
      <c r="P74" s="1">
        <v>6676</v>
      </c>
      <c r="Q74" s="1">
        <v>7.29</v>
      </c>
      <c r="R74" s="1">
        <v>8.6</v>
      </c>
      <c r="S74" s="1">
        <v>0</v>
      </c>
      <c r="T74" s="1">
        <v>17.97</v>
      </c>
      <c r="U74" s="1">
        <v>1</v>
      </c>
      <c r="V74" s="1">
        <v>1</v>
      </c>
      <c r="W74" s="1" t="s">
        <v>1</v>
      </c>
      <c r="X74" s="1" t="s">
        <v>2</v>
      </c>
      <c r="Y74" s="2">
        <v>45954.434421296297</v>
      </c>
      <c r="Z74" s="1">
        <v>2742</v>
      </c>
      <c r="AA74" t="str">
        <f>+VLOOKUP(O74,'[1]Ventas_odoo Interface'!$E:$AP,38,0)</f>
        <v>F F004-01101419</v>
      </c>
    </row>
    <row r="75" spans="1:27" ht="15" customHeight="1" x14ac:dyDescent="0.25">
      <c r="A75" s="1">
        <v>312</v>
      </c>
      <c r="B75" s="1">
        <v>20250818</v>
      </c>
      <c r="C75" s="1">
        <v>20250818</v>
      </c>
      <c r="D75" s="1"/>
      <c r="E75" s="1">
        <v>1918</v>
      </c>
      <c r="F75" s="1">
        <v>2</v>
      </c>
      <c r="G75" s="1">
        <v>20.02</v>
      </c>
      <c r="H75" s="1">
        <v>4</v>
      </c>
      <c r="I75" s="1">
        <v>23.62</v>
      </c>
      <c r="J75" s="1">
        <v>100</v>
      </c>
      <c r="K75" s="1">
        <v>29910</v>
      </c>
      <c r="L75" s="1">
        <v>3.6</v>
      </c>
      <c r="M75" s="1">
        <v>1</v>
      </c>
      <c r="N75" s="1">
        <v>0</v>
      </c>
      <c r="O75" s="1" t="s">
        <v>25</v>
      </c>
      <c r="P75" s="1">
        <v>6676</v>
      </c>
      <c r="Q75" s="1">
        <v>10.01</v>
      </c>
      <c r="R75" s="1">
        <v>11.81</v>
      </c>
      <c r="S75" s="1">
        <v>0</v>
      </c>
      <c r="T75" s="1">
        <v>17.98</v>
      </c>
      <c r="U75" s="1">
        <v>1</v>
      </c>
      <c r="V75" s="1">
        <v>1</v>
      </c>
      <c r="W75" s="1" t="s">
        <v>1</v>
      </c>
      <c r="X75" s="1" t="s">
        <v>2</v>
      </c>
      <c r="Y75" s="2">
        <v>45954.434421296297</v>
      </c>
      <c r="Z75" s="1">
        <v>2742</v>
      </c>
      <c r="AA75" t="str">
        <f>+VLOOKUP(O75,'[1]Ventas_odoo Interface'!$E:$AP,38,0)</f>
        <v>F F004-01101419</v>
      </c>
    </row>
    <row r="76" spans="1:27" ht="15" customHeight="1" x14ac:dyDescent="0.25">
      <c r="A76" s="1">
        <v>318</v>
      </c>
      <c r="B76" s="1">
        <v>20250817</v>
      </c>
      <c r="C76" s="1">
        <v>20250817</v>
      </c>
      <c r="D76" s="1"/>
      <c r="E76" s="1">
        <v>1895</v>
      </c>
      <c r="F76" s="1">
        <v>1000</v>
      </c>
      <c r="G76" s="1">
        <v>155.08000000000001</v>
      </c>
      <c r="H76" s="1">
        <v>5</v>
      </c>
      <c r="I76" s="1">
        <v>183</v>
      </c>
      <c r="J76" s="1">
        <v>100</v>
      </c>
      <c r="K76" s="1">
        <v>29796</v>
      </c>
      <c r="L76" s="1">
        <v>27.92</v>
      </c>
      <c r="M76" s="1">
        <v>1</v>
      </c>
      <c r="N76" s="1">
        <v>0</v>
      </c>
      <c r="O76" s="1" t="s">
        <v>26</v>
      </c>
      <c r="P76" s="1">
        <v>877</v>
      </c>
      <c r="Q76" s="1">
        <v>0.16</v>
      </c>
      <c r="R76" s="1">
        <v>0.18</v>
      </c>
      <c r="S76" s="1">
        <v>0</v>
      </c>
      <c r="T76" s="1">
        <v>18</v>
      </c>
      <c r="U76" s="1">
        <v>1</v>
      </c>
      <c r="V76" s="1">
        <v>1</v>
      </c>
      <c r="W76" s="1" t="s">
        <v>1</v>
      </c>
      <c r="X76" s="1" t="s">
        <v>2</v>
      </c>
      <c r="Y76" s="2">
        <v>45954.434421296297</v>
      </c>
      <c r="Z76" s="1">
        <v>1400</v>
      </c>
      <c r="AA76" t="e">
        <f>+VLOOKUP(O76,'[1]Ventas_odoo Interface'!$E:$AP,38,0)</f>
        <v>#N/A</v>
      </c>
    </row>
    <row r="77" spans="1:27" ht="15" customHeight="1" x14ac:dyDescent="0.25">
      <c r="A77" s="1">
        <v>319</v>
      </c>
      <c r="B77" s="1">
        <v>20250817</v>
      </c>
      <c r="C77" s="1">
        <v>20250817</v>
      </c>
      <c r="D77" s="1"/>
      <c r="E77" s="1">
        <v>1895</v>
      </c>
      <c r="F77" s="1">
        <v>1000</v>
      </c>
      <c r="G77" s="1">
        <v>155.08000000000001</v>
      </c>
      <c r="H77" s="1">
        <v>5</v>
      </c>
      <c r="I77" s="1">
        <v>183</v>
      </c>
      <c r="J77" s="1">
        <v>100</v>
      </c>
      <c r="K77" s="1">
        <v>29797</v>
      </c>
      <c r="L77" s="1">
        <v>27.92</v>
      </c>
      <c r="M77" s="1">
        <v>1</v>
      </c>
      <c r="N77" s="1">
        <v>0</v>
      </c>
      <c r="O77" s="1" t="s">
        <v>26</v>
      </c>
      <c r="P77" s="1">
        <v>877</v>
      </c>
      <c r="Q77" s="1">
        <v>0.16</v>
      </c>
      <c r="R77" s="1">
        <v>0.18</v>
      </c>
      <c r="S77" s="1">
        <v>0</v>
      </c>
      <c r="T77" s="1">
        <v>18</v>
      </c>
      <c r="U77" s="1">
        <v>1</v>
      </c>
      <c r="V77" s="1">
        <v>1</v>
      </c>
      <c r="W77" s="1" t="s">
        <v>1</v>
      </c>
      <c r="X77" s="1" t="s">
        <v>2</v>
      </c>
      <c r="Y77" s="2">
        <v>45954.434432870374</v>
      </c>
      <c r="Z77" s="1">
        <v>1400</v>
      </c>
      <c r="AA77" t="e">
        <f>+VLOOKUP(O77,'[1]Ventas_odoo Interface'!$E:$AP,38,0)</f>
        <v>#N/A</v>
      </c>
    </row>
    <row r="78" spans="1:27" ht="15" customHeight="1" x14ac:dyDescent="0.25">
      <c r="A78" s="1">
        <v>320</v>
      </c>
      <c r="B78" s="1">
        <v>20250817</v>
      </c>
      <c r="C78" s="1">
        <v>20250817</v>
      </c>
      <c r="D78" s="1"/>
      <c r="E78" s="1">
        <v>1895</v>
      </c>
      <c r="F78" s="1">
        <v>1000</v>
      </c>
      <c r="G78" s="1">
        <v>155.08000000000001</v>
      </c>
      <c r="H78" s="1">
        <v>5</v>
      </c>
      <c r="I78" s="1">
        <v>183</v>
      </c>
      <c r="J78" s="1">
        <v>100</v>
      </c>
      <c r="K78" s="1">
        <v>29798</v>
      </c>
      <c r="L78" s="1">
        <v>27.92</v>
      </c>
      <c r="M78" s="1">
        <v>1</v>
      </c>
      <c r="N78" s="1">
        <v>0</v>
      </c>
      <c r="O78" s="1" t="s">
        <v>26</v>
      </c>
      <c r="P78" s="1">
        <v>877</v>
      </c>
      <c r="Q78" s="1">
        <v>0.16</v>
      </c>
      <c r="R78" s="1">
        <v>0.18</v>
      </c>
      <c r="S78" s="1">
        <v>0</v>
      </c>
      <c r="T78" s="1">
        <v>18</v>
      </c>
      <c r="U78" s="1">
        <v>1</v>
      </c>
      <c r="V78" s="1">
        <v>1</v>
      </c>
      <c r="W78" s="1" t="s">
        <v>1</v>
      </c>
      <c r="X78" s="1" t="s">
        <v>2</v>
      </c>
      <c r="Y78" s="2">
        <v>45954.434432870374</v>
      </c>
      <c r="Z78" s="1">
        <v>1400</v>
      </c>
      <c r="AA78" t="e">
        <f>+VLOOKUP(O78,'[1]Ventas_odoo Interface'!$E:$AP,38,0)</f>
        <v>#N/A</v>
      </c>
    </row>
    <row r="79" spans="1:27" ht="15" customHeight="1" x14ac:dyDescent="0.25">
      <c r="A79" s="1">
        <v>321</v>
      </c>
      <c r="B79" s="1">
        <v>20250817</v>
      </c>
      <c r="C79" s="1">
        <v>20250817</v>
      </c>
      <c r="D79" s="1"/>
      <c r="E79" s="1">
        <v>1895</v>
      </c>
      <c r="F79" s="1">
        <v>1800</v>
      </c>
      <c r="G79" s="1">
        <v>155.59</v>
      </c>
      <c r="H79" s="1">
        <v>5</v>
      </c>
      <c r="I79" s="1">
        <v>183.6</v>
      </c>
      <c r="J79" s="1">
        <v>100</v>
      </c>
      <c r="K79" s="1">
        <v>29799</v>
      </c>
      <c r="L79" s="1">
        <v>28.01</v>
      </c>
      <c r="M79" s="1">
        <v>1</v>
      </c>
      <c r="N79" s="1">
        <v>0</v>
      </c>
      <c r="O79" s="1" t="s">
        <v>26</v>
      </c>
      <c r="P79" s="1">
        <v>877</v>
      </c>
      <c r="Q79" s="1">
        <v>0.09</v>
      </c>
      <c r="R79" s="1">
        <v>0.1</v>
      </c>
      <c r="S79" s="1">
        <v>0</v>
      </c>
      <c r="T79" s="1">
        <v>18</v>
      </c>
      <c r="U79" s="1">
        <v>1</v>
      </c>
      <c r="V79" s="1">
        <v>1</v>
      </c>
      <c r="W79" s="1" t="s">
        <v>1</v>
      </c>
      <c r="X79" s="1" t="s">
        <v>2</v>
      </c>
      <c r="Y79" s="2">
        <v>45954.434432870374</v>
      </c>
      <c r="Z79" s="1">
        <v>1400</v>
      </c>
      <c r="AA79" t="e">
        <f>+VLOOKUP(O79,'[1]Ventas_odoo Interface'!$E:$AP,38,0)</f>
        <v>#N/A</v>
      </c>
    </row>
    <row r="80" spans="1:27" ht="15" customHeight="1" x14ac:dyDescent="0.25">
      <c r="A80" s="1">
        <v>322</v>
      </c>
      <c r="B80" s="1">
        <v>20250817</v>
      </c>
      <c r="C80" s="1">
        <v>20250817</v>
      </c>
      <c r="D80" s="1"/>
      <c r="E80" s="1">
        <v>1895</v>
      </c>
      <c r="F80" s="1">
        <v>200</v>
      </c>
      <c r="G80" s="1">
        <v>155.08000000000001</v>
      </c>
      <c r="H80" s="1">
        <v>5</v>
      </c>
      <c r="I80" s="1">
        <v>183</v>
      </c>
      <c r="J80" s="1">
        <v>100</v>
      </c>
      <c r="K80" s="1">
        <v>29800</v>
      </c>
      <c r="L80" s="1">
        <v>27.92</v>
      </c>
      <c r="M80" s="1">
        <v>1</v>
      </c>
      <c r="N80" s="1">
        <v>0</v>
      </c>
      <c r="O80" s="1" t="s">
        <v>26</v>
      </c>
      <c r="P80" s="1">
        <v>877</v>
      </c>
      <c r="Q80" s="1">
        <v>0.78</v>
      </c>
      <c r="R80" s="1">
        <v>0.92</v>
      </c>
      <c r="S80" s="1">
        <v>0</v>
      </c>
      <c r="T80" s="1">
        <v>18</v>
      </c>
      <c r="U80" s="1">
        <v>1</v>
      </c>
      <c r="V80" s="1">
        <v>1</v>
      </c>
      <c r="W80" s="1" t="s">
        <v>1</v>
      </c>
      <c r="X80" s="1" t="s">
        <v>2</v>
      </c>
      <c r="Y80" s="2">
        <v>45954.434432870374</v>
      </c>
      <c r="Z80" s="1">
        <v>1400</v>
      </c>
      <c r="AA80" t="e">
        <f>+VLOOKUP(O80,'[1]Ventas_odoo Interface'!$E:$AP,38,0)</f>
        <v>#N/A</v>
      </c>
    </row>
    <row r="81" spans="1:27" ht="15" customHeight="1" x14ac:dyDescent="0.25">
      <c r="A81" s="1">
        <v>323</v>
      </c>
      <c r="B81" s="1">
        <v>20250817</v>
      </c>
      <c r="C81" s="1">
        <v>20250817</v>
      </c>
      <c r="D81" s="1"/>
      <c r="E81" s="1">
        <v>1895</v>
      </c>
      <c r="F81" s="1">
        <v>2000</v>
      </c>
      <c r="G81" s="1">
        <v>310.17</v>
      </c>
      <c r="H81" s="1">
        <v>5</v>
      </c>
      <c r="I81" s="1">
        <v>366</v>
      </c>
      <c r="J81" s="1">
        <v>100</v>
      </c>
      <c r="K81" s="1">
        <v>29801</v>
      </c>
      <c r="L81" s="1">
        <v>55.83</v>
      </c>
      <c r="M81" s="1">
        <v>1</v>
      </c>
      <c r="N81" s="1">
        <v>0</v>
      </c>
      <c r="O81" s="1" t="s">
        <v>26</v>
      </c>
      <c r="P81" s="1">
        <v>877</v>
      </c>
      <c r="Q81" s="1">
        <v>0.16</v>
      </c>
      <c r="R81" s="1">
        <v>0.18</v>
      </c>
      <c r="S81" s="1">
        <v>0</v>
      </c>
      <c r="T81" s="1">
        <v>18</v>
      </c>
      <c r="U81" s="1">
        <v>1</v>
      </c>
      <c r="V81" s="1">
        <v>1</v>
      </c>
      <c r="W81" s="1" t="s">
        <v>1</v>
      </c>
      <c r="X81" s="1" t="s">
        <v>2</v>
      </c>
      <c r="Y81" s="2">
        <v>45954.434432870374</v>
      </c>
      <c r="Z81" s="1">
        <v>1400</v>
      </c>
      <c r="AA81" t="e">
        <f>+VLOOKUP(O81,'[1]Ventas_odoo Interface'!$E:$AP,38,0)</f>
        <v>#N/A</v>
      </c>
    </row>
    <row r="82" spans="1:27" ht="15" customHeight="1" x14ac:dyDescent="0.25">
      <c r="A82" s="1">
        <v>324</v>
      </c>
      <c r="B82" s="1">
        <v>20250817</v>
      </c>
      <c r="C82" s="1">
        <v>20250817</v>
      </c>
      <c r="D82" s="1"/>
      <c r="E82" s="1">
        <v>1895</v>
      </c>
      <c r="F82" s="1">
        <v>1400</v>
      </c>
      <c r="G82" s="1">
        <v>106.78</v>
      </c>
      <c r="H82" s="1">
        <v>5</v>
      </c>
      <c r="I82" s="1">
        <v>126</v>
      </c>
      <c r="J82" s="1">
        <v>100</v>
      </c>
      <c r="K82" s="1">
        <v>29802</v>
      </c>
      <c r="L82" s="1">
        <v>19.22</v>
      </c>
      <c r="M82" s="1">
        <v>1</v>
      </c>
      <c r="N82" s="1">
        <v>0</v>
      </c>
      <c r="O82" s="1" t="s">
        <v>26</v>
      </c>
      <c r="P82" s="1">
        <v>877</v>
      </c>
      <c r="Q82" s="1">
        <v>0.08</v>
      </c>
      <c r="R82" s="1">
        <v>0.09</v>
      </c>
      <c r="S82" s="1">
        <v>0</v>
      </c>
      <c r="T82" s="1">
        <v>18</v>
      </c>
      <c r="U82" s="1">
        <v>1</v>
      </c>
      <c r="V82" s="1">
        <v>1</v>
      </c>
      <c r="W82" s="1" t="s">
        <v>1</v>
      </c>
      <c r="X82" s="1" t="s">
        <v>2</v>
      </c>
      <c r="Y82" s="2">
        <v>45954.434432870374</v>
      </c>
      <c r="Z82" s="1">
        <v>1400</v>
      </c>
      <c r="AA82" t="e">
        <f>+VLOOKUP(O82,'[1]Ventas_odoo Interface'!$E:$AP,38,0)</f>
        <v>#N/A</v>
      </c>
    </row>
    <row r="83" spans="1:27" ht="15" customHeight="1" x14ac:dyDescent="0.25">
      <c r="A83" s="1">
        <v>325</v>
      </c>
      <c r="B83" s="1">
        <v>20250817</v>
      </c>
      <c r="C83" s="1">
        <v>20250817</v>
      </c>
      <c r="D83" s="1"/>
      <c r="E83" s="1">
        <v>1895</v>
      </c>
      <c r="F83" s="1">
        <v>100</v>
      </c>
      <c r="G83" s="1">
        <v>105.17</v>
      </c>
      <c r="H83" s="1">
        <v>5</v>
      </c>
      <c r="I83" s="1">
        <v>124.1</v>
      </c>
      <c r="J83" s="1">
        <v>100</v>
      </c>
      <c r="K83" s="1">
        <v>29803</v>
      </c>
      <c r="L83" s="1">
        <v>18.93</v>
      </c>
      <c r="M83" s="1">
        <v>1</v>
      </c>
      <c r="N83" s="1">
        <v>0</v>
      </c>
      <c r="O83" s="1" t="s">
        <v>26</v>
      </c>
      <c r="P83" s="1">
        <v>877</v>
      </c>
      <c r="Q83" s="1">
        <v>1.05</v>
      </c>
      <c r="R83" s="1">
        <v>1.24</v>
      </c>
      <c r="S83" s="1">
        <v>0</v>
      </c>
      <c r="T83" s="1">
        <v>18</v>
      </c>
      <c r="U83" s="1">
        <v>1</v>
      </c>
      <c r="V83" s="1">
        <v>1</v>
      </c>
      <c r="W83" s="1" t="s">
        <v>1</v>
      </c>
      <c r="X83" s="1" t="s">
        <v>2</v>
      </c>
      <c r="Y83" s="2">
        <v>45954.434432870374</v>
      </c>
      <c r="Z83" s="1">
        <v>1400</v>
      </c>
      <c r="AA83" t="e">
        <f>+VLOOKUP(O83,'[1]Ventas_odoo Interface'!$E:$AP,38,0)</f>
        <v>#N/A</v>
      </c>
    </row>
    <row r="84" spans="1:27" ht="15" customHeight="1" x14ac:dyDescent="0.25">
      <c r="A84" s="1">
        <v>326</v>
      </c>
      <c r="B84" s="1">
        <v>20250817</v>
      </c>
      <c r="C84" s="1">
        <v>20250817</v>
      </c>
      <c r="D84" s="1"/>
      <c r="E84" s="1">
        <v>1895</v>
      </c>
      <c r="F84" s="1">
        <v>500</v>
      </c>
      <c r="G84" s="1">
        <v>105.93</v>
      </c>
      <c r="H84" s="1">
        <v>5</v>
      </c>
      <c r="I84" s="1">
        <v>125</v>
      </c>
      <c r="J84" s="1">
        <v>100</v>
      </c>
      <c r="K84" s="1">
        <v>29804</v>
      </c>
      <c r="L84" s="1">
        <v>19.07</v>
      </c>
      <c r="M84" s="1">
        <v>1</v>
      </c>
      <c r="N84" s="1">
        <v>0</v>
      </c>
      <c r="O84" s="1" t="s">
        <v>26</v>
      </c>
      <c r="P84" s="1">
        <v>877</v>
      </c>
      <c r="Q84" s="1">
        <v>0.21</v>
      </c>
      <c r="R84" s="1">
        <v>0.25</v>
      </c>
      <c r="S84" s="1">
        <v>0</v>
      </c>
      <c r="T84" s="1">
        <v>18</v>
      </c>
      <c r="U84" s="1">
        <v>1</v>
      </c>
      <c r="V84" s="1">
        <v>1</v>
      </c>
      <c r="W84" s="1" t="s">
        <v>1</v>
      </c>
      <c r="X84" s="1" t="s">
        <v>2</v>
      </c>
      <c r="Y84" s="2">
        <v>45954.434432870374</v>
      </c>
      <c r="Z84" s="1">
        <v>1400</v>
      </c>
      <c r="AA84" t="e">
        <f>+VLOOKUP(O84,'[1]Ventas_odoo Interface'!$E:$AP,38,0)</f>
        <v>#N/A</v>
      </c>
    </row>
    <row r="85" spans="1:27" ht="15" customHeight="1" x14ac:dyDescent="0.25">
      <c r="A85" s="1">
        <v>327</v>
      </c>
      <c r="B85" s="1">
        <v>20250817</v>
      </c>
      <c r="C85" s="1">
        <v>20250817</v>
      </c>
      <c r="D85" s="1"/>
      <c r="E85" s="1">
        <v>1895</v>
      </c>
      <c r="F85" s="1">
        <v>1000</v>
      </c>
      <c r="G85" s="1">
        <v>155.08000000000001</v>
      </c>
      <c r="H85" s="1">
        <v>5</v>
      </c>
      <c r="I85" s="1">
        <v>183</v>
      </c>
      <c r="J85" s="1">
        <v>100</v>
      </c>
      <c r="K85" s="1">
        <v>29805</v>
      </c>
      <c r="L85" s="1">
        <v>27.92</v>
      </c>
      <c r="M85" s="1">
        <v>1</v>
      </c>
      <c r="N85" s="1">
        <v>0</v>
      </c>
      <c r="O85" s="1" t="s">
        <v>26</v>
      </c>
      <c r="P85" s="1">
        <v>877</v>
      </c>
      <c r="Q85" s="1">
        <v>0.16</v>
      </c>
      <c r="R85" s="1">
        <v>0.18</v>
      </c>
      <c r="S85" s="1">
        <v>0</v>
      </c>
      <c r="T85" s="1">
        <v>18</v>
      </c>
      <c r="U85" s="1">
        <v>1</v>
      </c>
      <c r="V85" s="1">
        <v>1</v>
      </c>
      <c r="W85" s="1" t="s">
        <v>1</v>
      </c>
      <c r="X85" s="1" t="s">
        <v>2</v>
      </c>
      <c r="Y85" s="2">
        <v>45954.434432870374</v>
      </c>
      <c r="Z85" s="1">
        <v>1400</v>
      </c>
      <c r="AA85" t="e">
        <f>+VLOOKUP(O85,'[1]Ventas_odoo Interface'!$E:$AP,38,0)</f>
        <v>#N/A</v>
      </c>
    </row>
    <row r="86" spans="1:27" ht="15" customHeight="1" x14ac:dyDescent="0.25">
      <c r="A86" s="1">
        <v>328</v>
      </c>
      <c r="B86" s="1">
        <v>20250817</v>
      </c>
      <c r="C86" s="1">
        <v>20250817</v>
      </c>
      <c r="D86" s="1"/>
      <c r="E86" s="1">
        <v>1895</v>
      </c>
      <c r="F86" s="1">
        <v>2000</v>
      </c>
      <c r="G86" s="1">
        <v>155.93</v>
      </c>
      <c r="H86" s="1">
        <v>5</v>
      </c>
      <c r="I86" s="1">
        <v>184</v>
      </c>
      <c r="J86" s="1">
        <v>100</v>
      </c>
      <c r="K86" s="1">
        <v>29806</v>
      </c>
      <c r="L86" s="1">
        <v>28.07</v>
      </c>
      <c r="M86" s="1">
        <v>1</v>
      </c>
      <c r="N86" s="1">
        <v>0</v>
      </c>
      <c r="O86" s="1" t="s">
        <v>26</v>
      </c>
      <c r="P86" s="1">
        <v>877</v>
      </c>
      <c r="Q86" s="1">
        <v>0.08</v>
      </c>
      <c r="R86" s="1">
        <v>0.09</v>
      </c>
      <c r="S86" s="1">
        <v>0</v>
      </c>
      <c r="T86" s="1">
        <v>18</v>
      </c>
      <c r="U86" s="1">
        <v>1</v>
      </c>
      <c r="V86" s="1">
        <v>1</v>
      </c>
      <c r="W86" s="1" t="s">
        <v>1</v>
      </c>
      <c r="X86" s="1" t="s">
        <v>2</v>
      </c>
      <c r="Y86" s="2">
        <v>45954.434432870374</v>
      </c>
      <c r="Z86" s="1">
        <v>1400</v>
      </c>
      <c r="AA86" t="e">
        <f>+VLOOKUP(O86,'[1]Ventas_odoo Interface'!$E:$AP,38,0)</f>
        <v>#N/A</v>
      </c>
    </row>
    <row r="87" spans="1:27" ht="15" customHeight="1" x14ac:dyDescent="0.25">
      <c r="A87" s="1">
        <v>329</v>
      </c>
      <c r="B87" s="1">
        <v>20250817</v>
      </c>
      <c r="C87" s="1">
        <v>20250817</v>
      </c>
      <c r="D87" s="1"/>
      <c r="E87" s="1">
        <v>1895</v>
      </c>
      <c r="F87" s="1">
        <v>500</v>
      </c>
      <c r="G87" s="1">
        <v>155.08000000000001</v>
      </c>
      <c r="H87" s="1">
        <v>5</v>
      </c>
      <c r="I87" s="1">
        <v>183</v>
      </c>
      <c r="J87" s="1">
        <v>100</v>
      </c>
      <c r="K87" s="1">
        <v>29807</v>
      </c>
      <c r="L87" s="1">
        <v>27.92</v>
      </c>
      <c r="M87" s="1">
        <v>1</v>
      </c>
      <c r="N87" s="1">
        <v>0</v>
      </c>
      <c r="O87" s="1" t="s">
        <v>26</v>
      </c>
      <c r="P87" s="1">
        <v>877</v>
      </c>
      <c r="Q87" s="1">
        <v>0.31</v>
      </c>
      <c r="R87" s="1">
        <v>0.37</v>
      </c>
      <c r="S87" s="1">
        <v>0</v>
      </c>
      <c r="T87" s="1">
        <v>18</v>
      </c>
      <c r="U87" s="1">
        <v>1</v>
      </c>
      <c r="V87" s="1">
        <v>1</v>
      </c>
      <c r="W87" s="1" t="s">
        <v>1</v>
      </c>
      <c r="X87" s="1" t="s">
        <v>2</v>
      </c>
      <c r="Y87" s="2">
        <v>45954.434432870374</v>
      </c>
      <c r="Z87" s="1">
        <v>1400</v>
      </c>
      <c r="AA87" t="e">
        <f>+VLOOKUP(O87,'[1]Ventas_odoo Interface'!$E:$AP,38,0)</f>
        <v>#N/A</v>
      </c>
    </row>
    <row r="88" spans="1:27" ht="15" customHeight="1" x14ac:dyDescent="0.25">
      <c r="A88" s="1">
        <v>330</v>
      </c>
      <c r="B88" s="1">
        <v>20250817</v>
      </c>
      <c r="C88" s="1">
        <v>20250817</v>
      </c>
      <c r="D88" s="1"/>
      <c r="E88" s="1">
        <v>1895</v>
      </c>
      <c r="F88" s="1">
        <v>500</v>
      </c>
      <c r="G88" s="1">
        <v>155.08000000000001</v>
      </c>
      <c r="H88" s="1">
        <v>5</v>
      </c>
      <c r="I88" s="1">
        <v>183</v>
      </c>
      <c r="J88" s="1">
        <v>100</v>
      </c>
      <c r="K88" s="1">
        <v>29808</v>
      </c>
      <c r="L88" s="1">
        <v>27.92</v>
      </c>
      <c r="M88" s="1">
        <v>1</v>
      </c>
      <c r="N88" s="1">
        <v>0</v>
      </c>
      <c r="O88" s="1" t="s">
        <v>26</v>
      </c>
      <c r="P88" s="1">
        <v>877</v>
      </c>
      <c r="Q88" s="1">
        <v>0.31</v>
      </c>
      <c r="R88" s="1">
        <v>0.37</v>
      </c>
      <c r="S88" s="1">
        <v>0</v>
      </c>
      <c r="T88" s="1">
        <v>18</v>
      </c>
      <c r="U88" s="1">
        <v>1</v>
      </c>
      <c r="V88" s="1">
        <v>1</v>
      </c>
      <c r="W88" s="1" t="s">
        <v>1</v>
      </c>
      <c r="X88" s="1" t="s">
        <v>2</v>
      </c>
      <c r="Y88" s="2">
        <v>45954.434432870374</v>
      </c>
      <c r="Z88" s="1">
        <v>1400</v>
      </c>
      <c r="AA88" t="e">
        <f>+VLOOKUP(O88,'[1]Ventas_odoo Interface'!$E:$AP,38,0)</f>
        <v>#N/A</v>
      </c>
    </row>
    <row r="89" spans="1:27" ht="15" customHeight="1" x14ac:dyDescent="0.25">
      <c r="A89" s="1">
        <v>331</v>
      </c>
      <c r="B89" s="1">
        <v>20250817</v>
      </c>
      <c r="C89" s="1">
        <v>20250817</v>
      </c>
      <c r="D89" s="1"/>
      <c r="E89" s="1">
        <v>1895</v>
      </c>
      <c r="F89" s="1">
        <v>500</v>
      </c>
      <c r="G89" s="1">
        <v>81.36</v>
      </c>
      <c r="H89" s="1">
        <v>5</v>
      </c>
      <c r="I89" s="1">
        <v>96</v>
      </c>
      <c r="J89" s="1">
        <v>100</v>
      </c>
      <c r="K89" s="1">
        <v>29809</v>
      </c>
      <c r="L89" s="1">
        <v>14.64</v>
      </c>
      <c r="M89" s="1">
        <v>1</v>
      </c>
      <c r="N89" s="1">
        <v>0</v>
      </c>
      <c r="O89" s="1" t="s">
        <v>26</v>
      </c>
      <c r="P89" s="1">
        <v>877</v>
      </c>
      <c r="Q89" s="1">
        <v>0.16</v>
      </c>
      <c r="R89" s="1">
        <v>0.19</v>
      </c>
      <c r="S89" s="1">
        <v>0</v>
      </c>
      <c r="T89" s="1">
        <v>17.989999999999998</v>
      </c>
      <c r="U89" s="1">
        <v>1</v>
      </c>
      <c r="V89" s="1">
        <v>1</v>
      </c>
      <c r="W89" s="1" t="s">
        <v>1</v>
      </c>
      <c r="X89" s="1" t="s">
        <v>2</v>
      </c>
      <c r="Y89" s="2">
        <v>45954.434444444443</v>
      </c>
      <c r="Z89" s="1">
        <v>1400</v>
      </c>
      <c r="AA89" t="e">
        <f>+VLOOKUP(O89,'[1]Ventas_odoo Interface'!$E:$AP,38,0)</f>
        <v>#N/A</v>
      </c>
    </row>
    <row r="90" spans="1:27" ht="15" customHeight="1" x14ac:dyDescent="0.25">
      <c r="A90" s="1">
        <v>332</v>
      </c>
      <c r="B90" s="1">
        <v>20250817</v>
      </c>
      <c r="C90" s="1">
        <v>20250817</v>
      </c>
      <c r="D90" s="1"/>
      <c r="E90" s="1">
        <v>1895</v>
      </c>
      <c r="F90" s="1">
        <v>700</v>
      </c>
      <c r="G90" s="1">
        <v>82.46</v>
      </c>
      <c r="H90" s="1">
        <v>5</v>
      </c>
      <c r="I90" s="1">
        <v>97.3</v>
      </c>
      <c r="J90" s="1">
        <v>100</v>
      </c>
      <c r="K90" s="1">
        <v>29810</v>
      </c>
      <c r="L90" s="1">
        <v>14.84</v>
      </c>
      <c r="M90" s="1">
        <v>1</v>
      </c>
      <c r="N90" s="1">
        <v>0</v>
      </c>
      <c r="O90" s="1" t="s">
        <v>26</v>
      </c>
      <c r="P90" s="1">
        <v>877</v>
      </c>
      <c r="Q90" s="1">
        <v>0.12</v>
      </c>
      <c r="R90" s="1">
        <v>0.14000000000000001</v>
      </c>
      <c r="S90" s="1">
        <v>0</v>
      </c>
      <c r="T90" s="1">
        <v>18</v>
      </c>
      <c r="U90" s="1">
        <v>1</v>
      </c>
      <c r="V90" s="1">
        <v>1</v>
      </c>
      <c r="W90" s="1" t="s">
        <v>1</v>
      </c>
      <c r="X90" s="1" t="s">
        <v>2</v>
      </c>
      <c r="Y90" s="2">
        <v>45954.434444444443</v>
      </c>
      <c r="Z90" s="1">
        <v>1400</v>
      </c>
      <c r="AA90" t="e">
        <f>+VLOOKUP(O90,'[1]Ventas_odoo Interface'!$E:$AP,38,0)</f>
        <v>#N/A</v>
      </c>
    </row>
    <row r="91" spans="1:27" ht="15" customHeight="1" x14ac:dyDescent="0.25">
      <c r="A91" s="1">
        <v>333</v>
      </c>
      <c r="B91" s="1">
        <v>20250817</v>
      </c>
      <c r="C91" s="1">
        <v>20250817</v>
      </c>
      <c r="D91" s="1"/>
      <c r="E91" s="1">
        <v>1895</v>
      </c>
      <c r="F91" s="1">
        <v>300</v>
      </c>
      <c r="G91" s="1">
        <v>81.36</v>
      </c>
      <c r="H91" s="1">
        <v>5</v>
      </c>
      <c r="I91" s="1">
        <v>96</v>
      </c>
      <c r="J91" s="1">
        <v>100</v>
      </c>
      <c r="K91" s="1">
        <v>29811</v>
      </c>
      <c r="L91" s="1">
        <v>14.64</v>
      </c>
      <c r="M91" s="1">
        <v>1</v>
      </c>
      <c r="N91" s="1">
        <v>0</v>
      </c>
      <c r="O91" s="1" t="s">
        <v>26</v>
      </c>
      <c r="P91" s="1">
        <v>877</v>
      </c>
      <c r="Q91" s="1">
        <v>0.27</v>
      </c>
      <c r="R91" s="1">
        <v>0.32</v>
      </c>
      <c r="S91" s="1">
        <v>0</v>
      </c>
      <c r="T91" s="1">
        <v>17.989999999999998</v>
      </c>
      <c r="U91" s="1">
        <v>1</v>
      </c>
      <c r="V91" s="1">
        <v>1</v>
      </c>
      <c r="W91" s="1" t="s">
        <v>1</v>
      </c>
      <c r="X91" s="1" t="s">
        <v>2</v>
      </c>
      <c r="Y91" s="2">
        <v>45954.434444444443</v>
      </c>
      <c r="Z91" s="1">
        <v>1400</v>
      </c>
      <c r="AA91" t="e">
        <f>+VLOOKUP(O91,'[1]Ventas_odoo Interface'!$E:$AP,38,0)</f>
        <v>#N/A</v>
      </c>
    </row>
    <row r="92" spans="1:27" ht="15" customHeight="1" x14ac:dyDescent="0.25">
      <c r="A92" s="1">
        <v>334</v>
      </c>
      <c r="B92" s="1">
        <v>20250817</v>
      </c>
      <c r="C92" s="1">
        <v>20250817</v>
      </c>
      <c r="D92" s="1"/>
      <c r="E92" s="1">
        <v>1895</v>
      </c>
      <c r="F92" s="1">
        <v>500</v>
      </c>
      <c r="G92" s="1">
        <v>81.36</v>
      </c>
      <c r="H92" s="1">
        <v>5</v>
      </c>
      <c r="I92" s="1">
        <v>96</v>
      </c>
      <c r="J92" s="1">
        <v>100</v>
      </c>
      <c r="K92" s="1">
        <v>29812</v>
      </c>
      <c r="L92" s="1">
        <v>14.64</v>
      </c>
      <c r="M92" s="1">
        <v>1</v>
      </c>
      <c r="N92" s="1">
        <v>0</v>
      </c>
      <c r="O92" s="1" t="s">
        <v>26</v>
      </c>
      <c r="P92" s="1">
        <v>877</v>
      </c>
      <c r="Q92" s="1">
        <v>0.16</v>
      </c>
      <c r="R92" s="1">
        <v>0.19</v>
      </c>
      <c r="S92" s="1">
        <v>0</v>
      </c>
      <c r="T92" s="1">
        <v>17.989999999999998</v>
      </c>
      <c r="U92" s="1">
        <v>1</v>
      </c>
      <c r="V92" s="1">
        <v>1</v>
      </c>
      <c r="W92" s="1" t="s">
        <v>1</v>
      </c>
      <c r="X92" s="1" t="s">
        <v>2</v>
      </c>
      <c r="Y92" s="2">
        <v>45954.434444444443</v>
      </c>
      <c r="Z92" s="1">
        <v>1400</v>
      </c>
      <c r="AA92" t="e">
        <f>+VLOOKUP(O92,'[1]Ventas_odoo Interface'!$E:$AP,38,0)</f>
        <v>#N/A</v>
      </c>
    </row>
    <row r="93" spans="1:27" ht="15" customHeight="1" x14ac:dyDescent="0.25">
      <c r="A93" s="1">
        <v>335</v>
      </c>
      <c r="B93" s="1">
        <v>20250817</v>
      </c>
      <c r="C93" s="1">
        <v>20250817</v>
      </c>
      <c r="D93" s="1"/>
      <c r="E93" s="1">
        <v>223</v>
      </c>
      <c r="F93" s="1">
        <v>1000</v>
      </c>
      <c r="G93" s="1">
        <v>271.19</v>
      </c>
      <c r="H93" s="1">
        <v>5</v>
      </c>
      <c r="I93" s="1">
        <v>320</v>
      </c>
      <c r="J93" s="1">
        <v>100</v>
      </c>
      <c r="K93" s="1">
        <v>29813</v>
      </c>
      <c r="L93" s="1">
        <v>48.81</v>
      </c>
      <c r="M93" s="1">
        <v>1</v>
      </c>
      <c r="N93" s="1">
        <v>0</v>
      </c>
      <c r="O93" s="1" t="s">
        <v>26</v>
      </c>
      <c r="P93" s="1">
        <v>877</v>
      </c>
      <c r="Q93" s="1">
        <v>0.27</v>
      </c>
      <c r="R93" s="1">
        <v>0.32</v>
      </c>
      <c r="S93" s="1">
        <v>0</v>
      </c>
      <c r="T93" s="1">
        <v>18</v>
      </c>
      <c r="U93" s="1">
        <v>1</v>
      </c>
      <c r="V93" s="1">
        <v>1</v>
      </c>
      <c r="W93" s="1" t="s">
        <v>1</v>
      </c>
      <c r="X93" s="1" t="s">
        <v>2</v>
      </c>
      <c r="Y93" s="2">
        <v>45954.434444444443</v>
      </c>
      <c r="Z93" s="1">
        <v>1400</v>
      </c>
      <c r="AA93" t="e">
        <f>+VLOOKUP(O93,'[1]Ventas_odoo Interface'!$E:$AP,38,0)</f>
        <v>#N/A</v>
      </c>
    </row>
    <row r="94" spans="1:27" ht="15" customHeight="1" x14ac:dyDescent="0.25">
      <c r="A94" s="1">
        <v>336</v>
      </c>
      <c r="B94" s="1">
        <v>20250817</v>
      </c>
      <c r="C94" s="1">
        <v>20250817</v>
      </c>
      <c r="D94" s="1"/>
      <c r="E94" s="1">
        <v>223</v>
      </c>
      <c r="F94" s="1">
        <v>1000</v>
      </c>
      <c r="G94" s="1">
        <v>271.19</v>
      </c>
      <c r="H94" s="1">
        <v>5</v>
      </c>
      <c r="I94" s="1">
        <v>320</v>
      </c>
      <c r="J94" s="1">
        <v>100</v>
      </c>
      <c r="K94" s="1">
        <v>29814</v>
      </c>
      <c r="L94" s="1">
        <v>48.81</v>
      </c>
      <c r="M94" s="1">
        <v>1</v>
      </c>
      <c r="N94" s="1">
        <v>0</v>
      </c>
      <c r="O94" s="1" t="s">
        <v>26</v>
      </c>
      <c r="P94" s="1">
        <v>877</v>
      </c>
      <c r="Q94" s="1">
        <v>0.27</v>
      </c>
      <c r="R94" s="1">
        <v>0.32</v>
      </c>
      <c r="S94" s="1">
        <v>0</v>
      </c>
      <c r="T94" s="1">
        <v>18</v>
      </c>
      <c r="U94" s="1">
        <v>1</v>
      </c>
      <c r="V94" s="1">
        <v>1</v>
      </c>
      <c r="W94" s="1" t="s">
        <v>1</v>
      </c>
      <c r="X94" s="1" t="s">
        <v>2</v>
      </c>
      <c r="Y94" s="2">
        <v>45954.434444444443</v>
      </c>
      <c r="Z94" s="1">
        <v>1400</v>
      </c>
      <c r="AA94" t="e">
        <f>+VLOOKUP(O94,'[1]Ventas_odoo Interface'!$E:$AP,38,0)</f>
        <v>#N/A</v>
      </c>
    </row>
    <row r="95" spans="1:27" ht="15" customHeight="1" x14ac:dyDescent="0.25">
      <c r="A95" s="1">
        <v>470</v>
      </c>
      <c r="B95" s="1">
        <v>20250717</v>
      </c>
      <c r="C95" s="1">
        <v>20250717</v>
      </c>
      <c r="D95" s="1"/>
      <c r="E95" s="1">
        <v>1987</v>
      </c>
      <c r="F95" s="1">
        <v>5</v>
      </c>
      <c r="G95" s="1">
        <v>36.020000000000003</v>
      </c>
      <c r="H95" s="1">
        <v>5</v>
      </c>
      <c r="I95" s="1">
        <v>42.5</v>
      </c>
      <c r="J95" s="1">
        <v>100</v>
      </c>
      <c r="K95" s="1">
        <v>29445</v>
      </c>
      <c r="L95" s="1">
        <v>6.48</v>
      </c>
      <c r="M95" s="1">
        <v>1</v>
      </c>
      <c r="N95" s="1">
        <v>0</v>
      </c>
      <c r="O95" s="1" t="s">
        <v>27</v>
      </c>
      <c r="P95" s="1">
        <v>877</v>
      </c>
      <c r="Q95" s="1">
        <v>7.2</v>
      </c>
      <c r="R95" s="1">
        <v>8.5</v>
      </c>
      <c r="S95" s="1">
        <v>0</v>
      </c>
      <c r="T95" s="1">
        <v>17.989999999999998</v>
      </c>
      <c r="U95" s="1">
        <v>1</v>
      </c>
      <c r="V95" s="1">
        <v>1</v>
      </c>
      <c r="W95" s="1" t="s">
        <v>1</v>
      </c>
      <c r="X95" s="1" t="s">
        <v>2</v>
      </c>
      <c r="Y95" s="2">
        <v>45954.434583333335</v>
      </c>
      <c r="Z95" s="1">
        <v>1578</v>
      </c>
      <c r="AA95" t="str">
        <f>+VLOOKUP(O95,'[1]Ventas_odoo Interface'!$E:$AP,38,0)</f>
        <v>F F004-00025461</v>
      </c>
    </row>
    <row r="96" spans="1:27" ht="15" customHeight="1" x14ac:dyDescent="0.25">
      <c r="A96" s="1">
        <v>471</v>
      </c>
      <c r="B96" s="1">
        <v>20250717</v>
      </c>
      <c r="C96" s="1">
        <v>20250717</v>
      </c>
      <c r="D96" s="1"/>
      <c r="E96" s="1">
        <v>1987</v>
      </c>
      <c r="F96" s="1">
        <v>3</v>
      </c>
      <c r="G96" s="1">
        <v>33.049999999999997</v>
      </c>
      <c r="H96" s="1">
        <v>5</v>
      </c>
      <c r="I96" s="1">
        <v>39</v>
      </c>
      <c r="J96" s="1">
        <v>100</v>
      </c>
      <c r="K96" s="1">
        <v>29446</v>
      </c>
      <c r="L96" s="1">
        <v>5.95</v>
      </c>
      <c r="M96" s="1">
        <v>1</v>
      </c>
      <c r="N96" s="1">
        <v>0</v>
      </c>
      <c r="O96" s="1" t="s">
        <v>27</v>
      </c>
      <c r="P96" s="1">
        <v>877</v>
      </c>
      <c r="Q96" s="1">
        <v>11.02</v>
      </c>
      <c r="R96" s="1">
        <v>13</v>
      </c>
      <c r="S96" s="1">
        <v>0</v>
      </c>
      <c r="T96" s="1">
        <v>18</v>
      </c>
      <c r="U96" s="1">
        <v>1</v>
      </c>
      <c r="V96" s="1">
        <v>1</v>
      </c>
      <c r="W96" s="1" t="s">
        <v>1</v>
      </c>
      <c r="X96" s="1" t="s">
        <v>2</v>
      </c>
      <c r="Y96" s="2">
        <v>45954.434583333335</v>
      </c>
      <c r="Z96" s="1">
        <v>1578</v>
      </c>
      <c r="AA96" t="str">
        <f>+VLOOKUP(O96,'[1]Ventas_odoo Interface'!$E:$AP,38,0)</f>
        <v>F F004-00025461</v>
      </c>
    </row>
    <row r="97" spans="1:27" ht="15" customHeight="1" x14ac:dyDescent="0.25">
      <c r="A97" s="1">
        <v>472</v>
      </c>
      <c r="B97" s="1">
        <v>20250717</v>
      </c>
      <c r="C97" s="1">
        <v>20250717</v>
      </c>
      <c r="D97" s="1"/>
      <c r="E97" s="1">
        <v>1988</v>
      </c>
      <c r="F97" s="1">
        <v>1</v>
      </c>
      <c r="G97" s="1">
        <v>6.78</v>
      </c>
      <c r="H97" s="1">
        <v>5</v>
      </c>
      <c r="I97" s="1">
        <v>8</v>
      </c>
      <c r="J97" s="1">
        <v>100</v>
      </c>
      <c r="K97" s="1">
        <v>29447</v>
      </c>
      <c r="L97" s="1">
        <v>1.22</v>
      </c>
      <c r="M97" s="1">
        <v>1</v>
      </c>
      <c r="N97" s="1">
        <v>0</v>
      </c>
      <c r="O97" s="1" t="s">
        <v>27</v>
      </c>
      <c r="P97" s="1">
        <v>877</v>
      </c>
      <c r="Q97" s="1">
        <v>6.78</v>
      </c>
      <c r="R97" s="1">
        <v>8</v>
      </c>
      <c r="S97" s="1">
        <v>0</v>
      </c>
      <c r="T97" s="1">
        <v>17.989999999999998</v>
      </c>
      <c r="U97" s="1">
        <v>1</v>
      </c>
      <c r="V97" s="1">
        <v>1</v>
      </c>
      <c r="W97" s="1" t="s">
        <v>1</v>
      </c>
      <c r="X97" s="1" t="s">
        <v>2</v>
      </c>
      <c r="Y97" s="2">
        <v>45954.434583333335</v>
      </c>
      <c r="Z97" s="1">
        <v>1578</v>
      </c>
      <c r="AA97" t="str">
        <f>+VLOOKUP(O97,'[1]Ventas_odoo Interface'!$E:$AP,38,0)</f>
        <v>F F004-00025461</v>
      </c>
    </row>
    <row r="98" spans="1:27" ht="15" customHeight="1" x14ac:dyDescent="0.25">
      <c r="A98" s="1">
        <v>492</v>
      </c>
      <c r="B98" s="1">
        <v>20250713</v>
      </c>
      <c r="C98" s="1">
        <v>20250713</v>
      </c>
      <c r="D98" s="1"/>
      <c r="E98" s="1">
        <v>1964</v>
      </c>
      <c r="F98" s="1">
        <v>1</v>
      </c>
      <c r="G98" s="1">
        <v>127.12</v>
      </c>
      <c r="H98" s="1">
        <v>5</v>
      </c>
      <c r="I98" s="1">
        <v>150</v>
      </c>
      <c r="J98" s="1">
        <v>100</v>
      </c>
      <c r="K98" s="1">
        <v>29361</v>
      </c>
      <c r="L98" s="1">
        <v>22.88</v>
      </c>
      <c r="M98" s="1">
        <v>1</v>
      </c>
      <c r="N98" s="1">
        <v>0</v>
      </c>
      <c r="O98" s="1" t="s">
        <v>28</v>
      </c>
      <c r="P98" s="1">
        <v>6742</v>
      </c>
      <c r="Q98" s="1">
        <v>127.12</v>
      </c>
      <c r="R98" s="1">
        <v>150</v>
      </c>
      <c r="S98" s="1">
        <v>0</v>
      </c>
      <c r="T98" s="1">
        <v>18</v>
      </c>
      <c r="U98" s="1">
        <v>1</v>
      </c>
      <c r="V98" s="1">
        <v>1</v>
      </c>
      <c r="W98" s="1" t="s">
        <v>1</v>
      </c>
      <c r="X98" s="1" t="s">
        <v>2</v>
      </c>
      <c r="Y98" s="2">
        <v>45954.434606481482</v>
      </c>
      <c r="Z98" s="1">
        <v>2452</v>
      </c>
      <c r="AA98" t="str">
        <f>+VLOOKUP(O98,'[1]Ventas_odoo Interface'!$E:$AP,38,0)</f>
        <v>F E001-00001195</v>
      </c>
    </row>
    <row r="99" spans="1:27" ht="15" customHeight="1" x14ac:dyDescent="0.25">
      <c r="A99" s="1">
        <v>493</v>
      </c>
      <c r="B99" s="1">
        <v>20250713</v>
      </c>
      <c r="C99" s="1">
        <v>20250713</v>
      </c>
      <c r="D99" s="1"/>
      <c r="E99" s="1">
        <v>1964</v>
      </c>
      <c r="F99" s="1">
        <v>1</v>
      </c>
      <c r="G99" s="1">
        <v>84.75</v>
      </c>
      <c r="H99" s="1">
        <v>5</v>
      </c>
      <c r="I99" s="1">
        <v>100.01</v>
      </c>
      <c r="J99" s="1">
        <v>100</v>
      </c>
      <c r="K99" s="1">
        <v>29362</v>
      </c>
      <c r="L99" s="1">
        <v>15.26</v>
      </c>
      <c r="M99" s="1">
        <v>1</v>
      </c>
      <c r="N99" s="1">
        <v>0</v>
      </c>
      <c r="O99" s="1" t="s">
        <v>28</v>
      </c>
      <c r="P99" s="1">
        <v>6742</v>
      </c>
      <c r="Q99" s="1">
        <v>84.75</v>
      </c>
      <c r="R99" s="1">
        <v>100.01</v>
      </c>
      <c r="S99" s="1">
        <v>0</v>
      </c>
      <c r="T99" s="1">
        <v>18.010000000000002</v>
      </c>
      <c r="U99" s="1">
        <v>1</v>
      </c>
      <c r="V99" s="1">
        <v>1</v>
      </c>
      <c r="W99" s="1" t="s">
        <v>1</v>
      </c>
      <c r="X99" s="1" t="s">
        <v>2</v>
      </c>
      <c r="Y99" s="2">
        <v>45954.434606481482</v>
      </c>
      <c r="Z99" s="1">
        <v>2452</v>
      </c>
      <c r="AA99" t="str">
        <f>+VLOOKUP(O99,'[1]Ventas_odoo Interface'!$E:$AP,38,0)</f>
        <v>F E001-00001195</v>
      </c>
    </row>
    <row r="100" spans="1:27" ht="15" customHeight="1" x14ac:dyDescent="0.25">
      <c r="A100" s="1">
        <v>537</v>
      </c>
      <c r="B100" s="1">
        <v>20250706</v>
      </c>
      <c r="C100" s="1">
        <v>20250706</v>
      </c>
      <c r="D100" s="1"/>
      <c r="E100" s="1">
        <v>283</v>
      </c>
      <c r="F100" s="1">
        <v>1</v>
      </c>
      <c r="G100" s="1">
        <v>2667</v>
      </c>
      <c r="H100" s="1">
        <v>2</v>
      </c>
      <c r="I100" s="1">
        <v>3147.06</v>
      </c>
      <c r="J100" s="1">
        <v>100</v>
      </c>
      <c r="K100" s="1">
        <v>29282</v>
      </c>
      <c r="L100" s="1">
        <v>480.06</v>
      </c>
      <c r="M100" s="1">
        <v>2</v>
      </c>
      <c r="N100" s="1">
        <v>0</v>
      </c>
      <c r="O100" s="1" t="s">
        <v>29</v>
      </c>
      <c r="P100" s="1">
        <v>6743</v>
      </c>
      <c r="Q100" s="1">
        <v>2667</v>
      </c>
      <c r="R100" s="1">
        <v>3147.06</v>
      </c>
      <c r="S100" s="1">
        <v>0</v>
      </c>
      <c r="T100" s="1">
        <v>18</v>
      </c>
      <c r="U100" s="1">
        <v>1</v>
      </c>
      <c r="V100" s="1">
        <v>1</v>
      </c>
      <c r="W100" s="1" t="s">
        <v>1</v>
      </c>
      <c r="X100" s="1" t="s">
        <v>2</v>
      </c>
      <c r="Y100" s="2">
        <v>45954.434664351851</v>
      </c>
      <c r="Z100" s="1">
        <v>1404</v>
      </c>
      <c r="AA100" t="str">
        <f>+VLOOKUP(O100,'[1]Ventas_odoo Interface'!$E:$AP,38,0)</f>
        <v>F E001-00000557</v>
      </c>
    </row>
    <row r="101" spans="1:27" ht="15" customHeight="1" x14ac:dyDescent="0.25">
      <c r="A101" s="1">
        <v>546</v>
      </c>
      <c r="B101" s="1">
        <v>20250702</v>
      </c>
      <c r="C101" s="1">
        <v>20250702</v>
      </c>
      <c r="D101" s="1"/>
      <c r="E101" s="1">
        <v>1941</v>
      </c>
      <c r="F101" s="1">
        <v>6</v>
      </c>
      <c r="G101" s="1">
        <v>29.64</v>
      </c>
      <c r="H101" s="1">
        <v>5</v>
      </c>
      <c r="I101" s="1">
        <v>34.979999999999997</v>
      </c>
      <c r="J101" s="1">
        <v>100</v>
      </c>
      <c r="K101" s="1">
        <v>29240</v>
      </c>
      <c r="L101" s="1">
        <v>5.34</v>
      </c>
      <c r="M101" s="1">
        <v>1</v>
      </c>
      <c r="N101" s="1">
        <v>0</v>
      </c>
      <c r="O101" s="1" t="s">
        <v>30</v>
      </c>
      <c r="P101" s="1">
        <v>6803</v>
      </c>
      <c r="Q101" s="1">
        <v>4.9400000000000004</v>
      </c>
      <c r="R101" s="1">
        <v>5.83</v>
      </c>
      <c r="S101" s="1">
        <v>0</v>
      </c>
      <c r="T101" s="1">
        <v>18.02</v>
      </c>
      <c r="U101" s="1">
        <v>1</v>
      </c>
      <c r="V101" s="1">
        <v>1</v>
      </c>
      <c r="W101" s="1" t="s">
        <v>1</v>
      </c>
      <c r="X101" s="1" t="s">
        <v>2</v>
      </c>
      <c r="Y101" s="2">
        <v>45954.434664351851</v>
      </c>
      <c r="Z101" s="1">
        <v>2111</v>
      </c>
      <c r="AA101" t="str">
        <f>+VLOOKUP(O101,'[1]Ventas_odoo Interface'!$E:$AP,38,0)</f>
        <v>F E001-00003801</v>
      </c>
    </row>
    <row r="102" spans="1:27" ht="15" customHeight="1" x14ac:dyDescent="0.25">
      <c r="A102" s="1">
        <v>547</v>
      </c>
      <c r="B102" s="1">
        <v>20250702</v>
      </c>
      <c r="C102" s="1">
        <v>20250702</v>
      </c>
      <c r="D102" s="1"/>
      <c r="E102" s="1">
        <v>1942</v>
      </c>
      <c r="F102" s="1">
        <v>2</v>
      </c>
      <c r="G102" s="1">
        <v>14.72</v>
      </c>
      <c r="H102" s="1">
        <v>5</v>
      </c>
      <c r="I102" s="1">
        <v>17.37</v>
      </c>
      <c r="J102" s="1">
        <v>100</v>
      </c>
      <c r="K102" s="1">
        <v>29241</v>
      </c>
      <c r="L102" s="1">
        <v>2.65</v>
      </c>
      <c r="M102" s="1">
        <v>1</v>
      </c>
      <c r="N102" s="1">
        <v>0</v>
      </c>
      <c r="O102" s="1" t="s">
        <v>30</v>
      </c>
      <c r="P102" s="1">
        <v>6803</v>
      </c>
      <c r="Q102" s="1">
        <v>7.36</v>
      </c>
      <c r="R102" s="1">
        <v>8.69</v>
      </c>
      <c r="S102" s="1">
        <v>0</v>
      </c>
      <c r="T102" s="1">
        <v>18</v>
      </c>
      <c r="U102" s="1">
        <v>1</v>
      </c>
      <c r="V102" s="1">
        <v>1</v>
      </c>
      <c r="W102" s="1" t="s">
        <v>1</v>
      </c>
      <c r="X102" s="1" t="s">
        <v>2</v>
      </c>
      <c r="Y102" s="2">
        <v>45954.434664351851</v>
      </c>
      <c r="Z102" s="1">
        <v>2111</v>
      </c>
      <c r="AA102" t="str">
        <f>+VLOOKUP(O102,'[1]Ventas_odoo Interface'!$E:$AP,38,0)</f>
        <v>F E001-00003801</v>
      </c>
    </row>
    <row r="103" spans="1:27" ht="15" customHeight="1" x14ac:dyDescent="0.25">
      <c r="A103" s="1">
        <v>548</v>
      </c>
      <c r="B103" s="1">
        <v>20250702</v>
      </c>
      <c r="C103" s="1">
        <v>20250702</v>
      </c>
      <c r="D103" s="1"/>
      <c r="E103" s="1">
        <v>1943</v>
      </c>
      <c r="F103" s="1">
        <v>2</v>
      </c>
      <c r="G103" s="1">
        <v>6</v>
      </c>
      <c r="H103" s="1">
        <v>5</v>
      </c>
      <c r="I103" s="1">
        <v>7.08</v>
      </c>
      <c r="J103" s="1">
        <v>100</v>
      </c>
      <c r="K103" s="1">
        <v>29242</v>
      </c>
      <c r="L103" s="1">
        <v>1.08</v>
      </c>
      <c r="M103" s="1">
        <v>1</v>
      </c>
      <c r="N103" s="1">
        <v>0</v>
      </c>
      <c r="O103" s="1" t="s">
        <v>30</v>
      </c>
      <c r="P103" s="1">
        <v>6803</v>
      </c>
      <c r="Q103" s="1">
        <v>3</v>
      </c>
      <c r="R103" s="1">
        <v>3.54</v>
      </c>
      <c r="S103" s="1">
        <v>0</v>
      </c>
      <c r="T103" s="1">
        <v>18</v>
      </c>
      <c r="U103" s="1">
        <v>1</v>
      </c>
      <c r="V103" s="1">
        <v>1</v>
      </c>
      <c r="W103" s="1" t="s">
        <v>1</v>
      </c>
      <c r="X103" s="1" t="s">
        <v>2</v>
      </c>
      <c r="Y103" s="2">
        <v>45954.434675925928</v>
      </c>
      <c r="Z103" s="1">
        <v>2111</v>
      </c>
      <c r="AA103" t="str">
        <f>+VLOOKUP(O103,'[1]Ventas_odoo Interface'!$E:$AP,38,0)</f>
        <v>F E001-00003801</v>
      </c>
    </row>
    <row r="104" spans="1:27" ht="15" customHeight="1" x14ac:dyDescent="0.25">
      <c r="A104" s="1">
        <v>549</v>
      </c>
      <c r="B104" s="1">
        <v>20250702</v>
      </c>
      <c r="C104" s="1">
        <v>20250702</v>
      </c>
      <c r="D104" s="1"/>
      <c r="E104" s="1">
        <v>1944</v>
      </c>
      <c r="F104" s="1">
        <v>1</v>
      </c>
      <c r="G104" s="1">
        <v>20.29</v>
      </c>
      <c r="H104" s="1">
        <v>5</v>
      </c>
      <c r="I104" s="1">
        <v>23.94</v>
      </c>
      <c r="J104" s="1">
        <v>100</v>
      </c>
      <c r="K104" s="1">
        <v>29243</v>
      </c>
      <c r="L104" s="1">
        <v>3.65</v>
      </c>
      <c r="M104" s="1">
        <v>1</v>
      </c>
      <c r="N104" s="1">
        <v>0</v>
      </c>
      <c r="O104" s="1" t="s">
        <v>30</v>
      </c>
      <c r="P104" s="1">
        <v>6803</v>
      </c>
      <c r="Q104" s="1">
        <v>20.29</v>
      </c>
      <c r="R104" s="1">
        <v>23.94</v>
      </c>
      <c r="S104" s="1">
        <v>0</v>
      </c>
      <c r="T104" s="1">
        <v>17.989999999999998</v>
      </c>
      <c r="U104" s="1">
        <v>1</v>
      </c>
      <c r="V104" s="1">
        <v>1</v>
      </c>
      <c r="W104" s="1" t="s">
        <v>1</v>
      </c>
      <c r="X104" s="1" t="s">
        <v>2</v>
      </c>
      <c r="Y104" s="2">
        <v>45954.434675925928</v>
      </c>
      <c r="Z104" s="1">
        <v>2111</v>
      </c>
      <c r="AA104" t="str">
        <f>+VLOOKUP(O104,'[1]Ventas_odoo Interface'!$E:$AP,38,0)</f>
        <v>F E001-00003801</v>
      </c>
    </row>
    <row r="105" spans="1:27" ht="15" customHeight="1" x14ac:dyDescent="0.25">
      <c r="A105" s="1">
        <v>550</v>
      </c>
      <c r="B105" s="1">
        <v>20250702</v>
      </c>
      <c r="C105" s="1">
        <v>20250702</v>
      </c>
      <c r="D105" s="1"/>
      <c r="E105" s="1">
        <v>1945</v>
      </c>
      <c r="F105" s="1">
        <v>2</v>
      </c>
      <c r="G105" s="1">
        <v>15</v>
      </c>
      <c r="H105" s="1">
        <v>5</v>
      </c>
      <c r="I105" s="1">
        <v>17.7</v>
      </c>
      <c r="J105" s="1">
        <v>100</v>
      </c>
      <c r="K105" s="1">
        <v>29244</v>
      </c>
      <c r="L105" s="1">
        <v>2.7</v>
      </c>
      <c r="M105" s="1">
        <v>1</v>
      </c>
      <c r="N105" s="1">
        <v>0</v>
      </c>
      <c r="O105" s="1" t="s">
        <v>30</v>
      </c>
      <c r="P105" s="1">
        <v>6803</v>
      </c>
      <c r="Q105" s="1">
        <v>7.5</v>
      </c>
      <c r="R105" s="1">
        <v>8.85</v>
      </c>
      <c r="S105" s="1">
        <v>0</v>
      </c>
      <c r="T105" s="1">
        <v>18</v>
      </c>
      <c r="U105" s="1">
        <v>1</v>
      </c>
      <c r="V105" s="1">
        <v>1</v>
      </c>
      <c r="W105" s="1" t="s">
        <v>1</v>
      </c>
      <c r="X105" s="1" t="s">
        <v>2</v>
      </c>
      <c r="Y105" s="2">
        <v>45954.434675925928</v>
      </c>
      <c r="Z105" s="1">
        <v>2111</v>
      </c>
      <c r="AA105" t="str">
        <f>+VLOOKUP(O105,'[1]Ventas_odoo Interface'!$E:$AP,38,0)</f>
        <v>F E001-00003801</v>
      </c>
    </row>
    <row r="106" spans="1:27" ht="15" customHeight="1" x14ac:dyDescent="0.25">
      <c r="A106" s="1">
        <v>551</v>
      </c>
      <c r="B106" s="1">
        <v>20250702</v>
      </c>
      <c r="C106" s="1">
        <v>20250702</v>
      </c>
      <c r="D106" s="1"/>
      <c r="E106" s="1">
        <v>1946</v>
      </c>
      <c r="F106" s="1">
        <v>2</v>
      </c>
      <c r="G106" s="1">
        <v>20.12</v>
      </c>
      <c r="H106" s="1">
        <v>5</v>
      </c>
      <c r="I106" s="1">
        <v>23.74</v>
      </c>
      <c r="J106" s="1">
        <v>100</v>
      </c>
      <c r="K106" s="1">
        <v>29245</v>
      </c>
      <c r="L106" s="1">
        <v>3.62</v>
      </c>
      <c r="M106" s="1">
        <v>1</v>
      </c>
      <c r="N106" s="1">
        <v>0</v>
      </c>
      <c r="O106" s="1" t="s">
        <v>30</v>
      </c>
      <c r="P106" s="1">
        <v>6803</v>
      </c>
      <c r="Q106" s="1">
        <v>10.06</v>
      </c>
      <c r="R106" s="1">
        <v>11.87</v>
      </c>
      <c r="S106" s="1">
        <v>0</v>
      </c>
      <c r="T106" s="1">
        <v>17.989999999999998</v>
      </c>
      <c r="U106" s="1">
        <v>1</v>
      </c>
      <c r="V106" s="1">
        <v>1</v>
      </c>
      <c r="W106" s="1" t="s">
        <v>1</v>
      </c>
      <c r="X106" s="1" t="s">
        <v>2</v>
      </c>
      <c r="Y106" s="2">
        <v>45954.434675925928</v>
      </c>
      <c r="Z106" s="1">
        <v>2111</v>
      </c>
      <c r="AA106" t="str">
        <f>+VLOOKUP(O106,'[1]Ventas_odoo Interface'!$E:$AP,38,0)</f>
        <v>F E001-00003801</v>
      </c>
    </row>
    <row r="107" spans="1:27" ht="15" customHeight="1" x14ac:dyDescent="0.25">
      <c r="A107" s="1">
        <v>552</v>
      </c>
      <c r="B107" s="1">
        <v>20250702</v>
      </c>
      <c r="C107" s="1">
        <v>20250702</v>
      </c>
      <c r="D107" s="1"/>
      <c r="E107" s="1">
        <v>1947</v>
      </c>
      <c r="F107" s="1">
        <v>1</v>
      </c>
      <c r="G107" s="1">
        <v>11.65</v>
      </c>
      <c r="H107" s="1">
        <v>5</v>
      </c>
      <c r="I107" s="1">
        <v>13.75</v>
      </c>
      <c r="J107" s="1">
        <v>100</v>
      </c>
      <c r="K107" s="1">
        <v>29246</v>
      </c>
      <c r="L107" s="1">
        <v>2.1</v>
      </c>
      <c r="M107" s="1">
        <v>1</v>
      </c>
      <c r="N107" s="1">
        <v>0</v>
      </c>
      <c r="O107" s="1" t="s">
        <v>30</v>
      </c>
      <c r="P107" s="1">
        <v>6803</v>
      </c>
      <c r="Q107" s="1">
        <v>11.65</v>
      </c>
      <c r="R107" s="1">
        <v>13.75</v>
      </c>
      <c r="S107" s="1">
        <v>0</v>
      </c>
      <c r="T107" s="1">
        <v>18.03</v>
      </c>
      <c r="U107" s="1">
        <v>1</v>
      </c>
      <c r="V107" s="1">
        <v>1</v>
      </c>
      <c r="W107" s="1" t="s">
        <v>1</v>
      </c>
      <c r="X107" s="1" t="s">
        <v>2</v>
      </c>
      <c r="Y107" s="2">
        <v>45954.434675925928</v>
      </c>
      <c r="Z107" s="1">
        <v>2111</v>
      </c>
      <c r="AA107" t="str">
        <f>+VLOOKUP(O107,'[1]Ventas_odoo Interface'!$E:$AP,38,0)</f>
        <v>F E001-00003801</v>
      </c>
    </row>
    <row r="108" spans="1:27" ht="15" customHeight="1" x14ac:dyDescent="0.25">
      <c r="A108" s="1">
        <v>553</v>
      </c>
      <c r="B108" s="1">
        <v>20250702</v>
      </c>
      <c r="C108" s="1">
        <v>20250702</v>
      </c>
      <c r="D108" s="1"/>
      <c r="E108" s="1">
        <v>1948</v>
      </c>
      <c r="F108" s="1">
        <v>1</v>
      </c>
      <c r="G108" s="1">
        <v>2</v>
      </c>
      <c r="H108" s="1">
        <v>5</v>
      </c>
      <c r="I108" s="1">
        <v>2.36</v>
      </c>
      <c r="J108" s="1">
        <v>100</v>
      </c>
      <c r="K108" s="1">
        <v>29247</v>
      </c>
      <c r="L108" s="1">
        <v>0.36</v>
      </c>
      <c r="M108" s="1">
        <v>1</v>
      </c>
      <c r="N108" s="1">
        <v>0</v>
      </c>
      <c r="O108" s="1" t="s">
        <v>30</v>
      </c>
      <c r="P108" s="1">
        <v>6803</v>
      </c>
      <c r="Q108" s="1">
        <v>2</v>
      </c>
      <c r="R108" s="1">
        <v>2.36</v>
      </c>
      <c r="S108" s="1">
        <v>0</v>
      </c>
      <c r="T108" s="1">
        <v>18</v>
      </c>
      <c r="U108" s="1">
        <v>1</v>
      </c>
      <c r="V108" s="1">
        <v>1</v>
      </c>
      <c r="W108" s="1" t="s">
        <v>1</v>
      </c>
      <c r="X108" s="1" t="s">
        <v>2</v>
      </c>
      <c r="Y108" s="2">
        <v>45954.434675925928</v>
      </c>
      <c r="Z108" s="1">
        <v>2111</v>
      </c>
      <c r="AA108" t="str">
        <f>+VLOOKUP(O108,'[1]Ventas_odoo Interface'!$E:$AP,38,0)</f>
        <v>F E001-00003801</v>
      </c>
    </row>
    <row r="109" spans="1:27" ht="15" customHeight="1" x14ac:dyDescent="0.25">
      <c r="A109" s="1">
        <v>554</v>
      </c>
      <c r="B109" s="1">
        <v>20250702</v>
      </c>
      <c r="C109" s="1">
        <v>20250702</v>
      </c>
      <c r="D109" s="1"/>
      <c r="E109" s="1">
        <v>1950</v>
      </c>
      <c r="F109" s="1">
        <v>4</v>
      </c>
      <c r="G109" s="1">
        <v>17.36</v>
      </c>
      <c r="H109" s="1">
        <v>5</v>
      </c>
      <c r="I109" s="1">
        <v>20.48</v>
      </c>
      <c r="J109" s="1">
        <v>100</v>
      </c>
      <c r="K109" s="1">
        <v>29248</v>
      </c>
      <c r="L109" s="1">
        <v>3.12</v>
      </c>
      <c r="M109" s="1">
        <v>1</v>
      </c>
      <c r="N109" s="1">
        <v>0</v>
      </c>
      <c r="O109" s="1" t="s">
        <v>30</v>
      </c>
      <c r="P109" s="1">
        <v>6803</v>
      </c>
      <c r="Q109" s="1">
        <v>4.34</v>
      </c>
      <c r="R109" s="1">
        <v>5.12</v>
      </c>
      <c r="S109" s="1">
        <v>0</v>
      </c>
      <c r="T109" s="1">
        <v>17.97</v>
      </c>
      <c r="U109" s="1">
        <v>1</v>
      </c>
      <c r="V109" s="1">
        <v>1</v>
      </c>
      <c r="W109" s="1" t="s">
        <v>1</v>
      </c>
      <c r="X109" s="1" t="s">
        <v>2</v>
      </c>
      <c r="Y109" s="2">
        <v>45954.434675925928</v>
      </c>
      <c r="Z109" s="1">
        <v>2111</v>
      </c>
      <c r="AA109" t="str">
        <f>+VLOOKUP(O109,'[1]Ventas_odoo Interface'!$E:$AP,38,0)</f>
        <v>F E001-00003801</v>
      </c>
    </row>
    <row r="110" spans="1:27" ht="15" customHeight="1" x14ac:dyDescent="0.25">
      <c r="A110" s="1">
        <v>555</v>
      </c>
      <c r="B110" s="1">
        <v>20250702</v>
      </c>
      <c r="C110" s="1">
        <v>20250702</v>
      </c>
      <c r="D110" s="1"/>
      <c r="E110" s="1">
        <v>1951</v>
      </c>
      <c r="F110" s="1">
        <v>1</v>
      </c>
      <c r="G110" s="1">
        <v>7.25</v>
      </c>
      <c r="H110" s="1">
        <v>5</v>
      </c>
      <c r="I110" s="1">
        <v>8.56</v>
      </c>
      <c r="J110" s="1">
        <v>100</v>
      </c>
      <c r="K110" s="1">
        <v>29249</v>
      </c>
      <c r="L110" s="1">
        <v>1.31</v>
      </c>
      <c r="M110" s="1">
        <v>1</v>
      </c>
      <c r="N110" s="1">
        <v>0</v>
      </c>
      <c r="O110" s="1" t="s">
        <v>30</v>
      </c>
      <c r="P110" s="1">
        <v>6803</v>
      </c>
      <c r="Q110" s="1">
        <v>7.25</v>
      </c>
      <c r="R110" s="1">
        <v>8.56</v>
      </c>
      <c r="S110" s="1">
        <v>0</v>
      </c>
      <c r="T110" s="1">
        <v>18.07</v>
      </c>
      <c r="U110" s="1">
        <v>1</v>
      </c>
      <c r="V110" s="1">
        <v>1</v>
      </c>
      <c r="W110" s="1" t="s">
        <v>1</v>
      </c>
      <c r="X110" s="1" t="s">
        <v>2</v>
      </c>
      <c r="Y110" s="2">
        <v>45954.434675925928</v>
      </c>
      <c r="Z110" s="1">
        <v>2111</v>
      </c>
      <c r="AA110" t="str">
        <f>+VLOOKUP(O110,'[1]Ventas_odoo Interface'!$E:$AP,38,0)</f>
        <v>F E001-00003801</v>
      </c>
    </row>
    <row r="111" spans="1:27" ht="15" customHeight="1" x14ac:dyDescent="0.25">
      <c r="A111" s="1">
        <v>556</v>
      </c>
      <c r="B111" s="1">
        <v>20250702</v>
      </c>
      <c r="C111" s="1">
        <v>20250702</v>
      </c>
      <c r="D111" s="1"/>
      <c r="E111" s="1">
        <v>1946</v>
      </c>
      <c r="F111" s="1">
        <v>2</v>
      </c>
      <c r="G111" s="1">
        <v>23.3</v>
      </c>
      <c r="H111" s="1">
        <v>5</v>
      </c>
      <c r="I111" s="1">
        <v>27.49</v>
      </c>
      <c r="J111" s="1">
        <v>100</v>
      </c>
      <c r="K111" s="1">
        <v>29250</v>
      </c>
      <c r="L111" s="1">
        <v>4.1900000000000004</v>
      </c>
      <c r="M111" s="1">
        <v>1</v>
      </c>
      <c r="N111" s="1">
        <v>0</v>
      </c>
      <c r="O111" s="1" t="s">
        <v>30</v>
      </c>
      <c r="P111" s="1">
        <v>6803</v>
      </c>
      <c r="Q111" s="1">
        <v>11.65</v>
      </c>
      <c r="R111" s="1">
        <v>13.75</v>
      </c>
      <c r="S111" s="1">
        <v>0</v>
      </c>
      <c r="T111" s="1">
        <v>17.98</v>
      </c>
      <c r="U111" s="1">
        <v>1</v>
      </c>
      <c r="V111" s="1">
        <v>1</v>
      </c>
      <c r="W111" s="1" t="s">
        <v>1</v>
      </c>
      <c r="X111" s="1" t="s">
        <v>2</v>
      </c>
      <c r="Y111" s="2">
        <v>45954.434675925928</v>
      </c>
      <c r="Z111" s="1">
        <v>2111</v>
      </c>
      <c r="AA111" t="str">
        <f>+VLOOKUP(O111,'[1]Ventas_odoo Interface'!$E:$AP,38,0)</f>
        <v>F E001-00003801</v>
      </c>
    </row>
    <row r="112" spans="1:27" ht="15" customHeight="1" x14ac:dyDescent="0.25">
      <c r="A112" s="1">
        <v>557</v>
      </c>
      <c r="B112" s="1">
        <v>20250702</v>
      </c>
      <c r="C112" s="1">
        <v>20250702</v>
      </c>
      <c r="D112" s="1"/>
      <c r="E112" s="1">
        <v>1946</v>
      </c>
      <c r="F112" s="1">
        <v>2</v>
      </c>
      <c r="G112" s="1">
        <v>32.75</v>
      </c>
      <c r="H112" s="1">
        <v>5</v>
      </c>
      <c r="I112" s="1">
        <v>38.65</v>
      </c>
      <c r="J112" s="1">
        <v>100</v>
      </c>
      <c r="K112" s="1">
        <v>29251</v>
      </c>
      <c r="L112" s="1">
        <v>5.9</v>
      </c>
      <c r="M112" s="1">
        <v>1</v>
      </c>
      <c r="N112" s="1">
        <v>0</v>
      </c>
      <c r="O112" s="1" t="s">
        <v>30</v>
      </c>
      <c r="P112" s="1">
        <v>6803</v>
      </c>
      <c r="Q112" s="1">
        <v>16.38</v>
      </c>
      <c r="R112" s="1">
        <v>19.329999999999998</v>
      </c>
      <c r="S112" s="1">
        <v>0</v>
      </c>
      <c r="T112" s="1">
        <v>18.02</v>
      </c>
      <c r="U112" s="1">
        <v>1</v>
      </c>
      <c r="V112" s="1">
        <v>1</v>
      </c>
      <c r="W112" s="1" t="s">
        <v>1</v>
      </c>
      <c r="X112" s="1" t="s">
        <v>2</v>
      </c>
      <c r="Y112" s="2">
        <v>45954.434675925928</v>
      </c>
      <c r="Z112" s="1">
        <v>2111</v>
      </c>
      <c r="AA112" t="str">
        <f>+VLOOKUP(O112,'[1]Ventas_odoo Interface'!$E:$AP,38,0)</f>
        <v>F E001-00003801</v>
      </c>
    </row>
    <row r="113" spans="1:27" ht="15" customHeight="1" x14ac:dyDescent="0.25">
      <c r="A113" s="1">
        <v>558</v>
      </c>
      <c r="B113" s="1">
        <v>20250702</v>
      </c>
      <c r="C113" s="1">
        <v>20250702</v>
      </c>
      <c r="D113" s="1"/>
      <c r="E113" s="1">
        <v>1952</v>
      </c>
      <c r="F113" s="1">
        <v>2</v>
      </c>
      <c r="G113" s="1">
        <v>56</v>
      </c>
      <c r="H113" s="1">
        <v>5</v>
      </c>
      <c r="I113" s="1">
        <v>66.08</v>
      </c>
      <c r="J113" s="1">
        <v>100</v>
      </c>
      <c r="K113" s="1">
        <v>29252</v>
      </c>
      <c r="L113" s="1">
        <v>10.08</v>
      </c>
      <c r="M113" s="1">
        <v>1</v>
      </c>
      <c r="N113" s="1">
        <v>0</v>
      </c>
      <c r="O113" s="1" t="s">
        <v>30</v>
      </c>
      <c r="P113" s="1">
        <v>6803</v>
      </c>
      <c r="Q113" s="1">
        <v>28</v>
      </c>
      <c r="R113" s="1">
        <v>33.04</v>
      </c>
      <c r="S113" s="1">
        <v>0</v>
      </c>
      <c r="T113" s="1">
        <v>18</v>
      </c>
      <c r="U113" s="1">
        <v>1</v>
      </c>
      <c r="V113" s="1">
        <v>1</v>
      </c>
      <c r="W113" s="1" t="s">
        <v>1</v>
      </c>
      <c r="X113" s="1" t="s">
        <v>2</v>
      </c>
      <c r="Y113" s="2">
        <v>45954.434675925928</v>
      </c>
      <c r="Z113" s="1">
        <v>2111</v>
      </c>
      <c r="AA113" t="str">
        <f>+VLOOKUP(O113,'[1]Ventas_odoo Interface'!$E:$AP,38,0)</f>
        <v>F E001-00003801</v>
      </c>
    </row>
    <row r="114" spans="1:27" ht="15" customHeight="1" x14ac:dyDescent="0.25">
      <c r="A114" s="1">
        <v>559</v>
      </c>
      <c r="B114" s="1">
        <v>20250702</v>
      </c>
      <c r="C114" s="1">
        <v>20250702</v>
      </c>
      <c r="D114" s="1"/>
      <c r="E114" s="1">
        <v>1941</v>
      </c>
      <c r="F114" s="1">
        <v>7</v>
      </c>
      <c r="G114" s="1">
        <v>68.53</v>
      </c>
      <c r="H114" s="1">
        <v>5</v>
      </c>
      <c r="I114" s="1">
        <v>80.87</v>
      </c>
      <c r="J114" s="1">
        <v>100</v>
      </c>
      <c r="K114" s="1">
        <v>29253</v>
      </c>
      <c r="L114" s="1">
        <v>12.34</v>
      </c>
      <c r="M114" s="1">
        <v>1</v>
      </c>
      <c r="N114" s="1">
        <v>0</v>
      </c>
      <c r="O114" s="1" t="s">
        <v>30</v>
      </c>
      <c r="P114" s="1">
        <v>6803</v>
      </c>
      <c r="Q114" s="1">
        <v>9.7899999999999991</v>
      </c>
      <c r="R114" s="1">
        <v>11.55</v>
      </c>
      <c r="S114" s="1">
        <v>0</v>
      </c>
      <c r="T114" s="1">
        <v>18.010000000000002</v>
      </c>
      <c r="U114" s="1">
        <v>1</v>
      </c>
      <c r="V114" s="1">
        <v>1</v>
      </c>
      <c r="W114" s="1" t="s">
        <v>1</v>
      </c>
      <c r="X114" s="1" t="s">
        <v>2</v>
      </c>
      <c r="Y114" s="2">
        <v>45954.434687499997</v>
      </c>
      <c r="Z114" s="1">
        <v>2111</v>
      </c>
      <c r="AA114" t="str">
        <f>+VLOOKUP(O114,'[1]Ventas_odoo Interface'!$E:$AP,38,0)</f>
        <v>F E001-00003801</v>
      </c>
    </row>
    <row r="115" spans="1:27" ht="15" customHeight="1" x14ac:dyDescent="0.25">
      <c r="A115" s="1">
        <v>560</v>
      </c>
      <c r="B115" s="1">
        <v>20250702</v>
      </c>
      <c r="C115" s="1">
        <v>20250702</v>
      </c>
      <c r="D115" s="1"/>
      <c r="E115" s="1">
        <v>1941</v>
      </c>
      <c r="F115" s="1">
        <v>2</v>
      </c>
      <c r="G115" s="1">
        <v>40.79</v>
      </c>
      <c r="H115" s="1">
        <v>5</v>
      </c>
      <c r="I115" s="1">
        <v>48.13</v>
      </c>
      <c r="J115" s="1">
        <v>100</v>
      </c>
      <c r="K115" s="1">
        <v>29254</v>
      </c>
      <c r="L115" s="1">
        <v>7.34</v>
      </c>
      <c r="M115" s="1">
        <v>1</v>
      </c>
      <c r="N115" s="1">
        <v>0</v>
      </c>
      <c r="O115" s="1" t="s">
        <v>30</v>
      </c>
      <c r="P115" s="1">
        <v>6803</v>
      </c>
      <c r="Q115" s="1">
        <v>20.399999999999999</v>
      </c>
      <c r="R115" s="1">
        <v>24.07</v>
      </c>
      <c r="S115" s="1">
        <v>0</v>
      </c>
      <c r="T115" s="1">
        <v>17.989999999999998</v>
      </c>
      <c r="U115" s="1">
        <v>1</v>
      </c>
      <c r="V115" s="1">
        <v>1</v>
      </c>
      <c r="W115" s="1" t="s">
        <v>1</v>
      </c>
      <c r="X115" s="1" t="s">
        <v>2</v>
      </c>
      <c r="Y115" s="2">
        <v>45954.434687499997</v>
      </c>
      <c r="Z115" s="1">
        <v>2111</v>
      </c>
      <c r="AA115" t="str">
        <f>+VLOOKUP(O115,'[1]Ventas_odoo Interface'!$E:$AP,38,0)</f>
        <v>F E001-00003801</v>
      </c>
    </row>
    <row r="116" spans="1:27" ht="15" customHeight="1" x14ac:dyDescent="0.25">
      <c r="A116" s="1">
        <v>561</v>
      </c>
      <c r="B116" s="1">
        <v>20250702</v>
      </c>
      <c r="C116" s="1">
        <v>20250702</v>
      </c>
      <c r="D116" s="1"/>
      <c r="E116" s="1">
        <v>1953</v>
      </c>
      <c r="F116" s="1">
        <v>2</v>
      </c>
      <c r="G116" s="1">
        <v>58.39</v>
      </c>
      <c r="H116" s="1">
        <v>5</v>
      </c>
      <c r="I116" s="1">
        <v>68.900000000000006</v>
      </c>
      <c r="J116" s="1">
        <v>100</v>
      </c>
      <c r="K116" s="1">
        <v>29255</v>
      </c>
      <c r="L116" s="1">
        <v>10.51</v>
      </c>
      <c r="M116" s="1">
        <v>1</v>
      </c>
      <c r="N116" s="1">
        <v>0</v>
      </c>
      <c r="O116" s="1" t="s">
        <v>30</v>
      </c>
      <c r="P116" s="1">
        <v>6803</v>
      </c>
      <c r="Q116" s="1">
        <v>29.2</v>
      </c>
      <c r="R116" s="1">
        <v>34.450000000000003</v>
      </c>
      <c r="S116" s="1">
        <v>0</v>
      </c>
      <c r="T116" s="1">
        <v>18</v>
      </c>
      <c r="U116" s="1">
        <v>1</v>
      </c>
      <c r="V116" s="1">
        <v>1</v>
      </c>
      <c r="W116" s="1" t="s">
        <v>1</v>
      </c>
      <c r="X116" s="1" t="s">
        <v>2</v>
      </c>
      <c r="Y116" s="2">
        <v>45954.434687499997</v>
      </c>
      <c r="Z116" s="1">
        <v>2111</v>
      </c>
      <c r="AA116" t="str">
        <f>+VLOOKUP(O116,'[1]Ventas_odoo Interface'!$E:$AP,38,0)</f>
        <v>F E001-00003801</v>
      </c>
    </row>
    <row r="117" spans="1:27" ht="15" customHeight="1" x14ac:dyDescent="0.25">
      <c r="A117" s="1">
        <v>562</v>
      </c>
      <c r="B117" s="1">
        <v>20250702</v>
      </c>
      <c r="C117" s="1">
        <v>20250702</v>
      </c>
      <c r="D117" s="1"/>
      <c r="E117" s="1">
        <v>1954</v>
      </c>
      <c r="F117" s="1">
        <v>1</v>
      </c>
      <c r="G117" s="1">
        <v>10.9</v>
      </c>
      <c r="H117" s="1">
        <v>5</v>
      </c>
      <c r="I117" s="1">
        <v>12.86</v>
      </c>
      <c r="J117" s="1">
        <v>100</v>
      </c>
      <c r="K117" s="1">
        <v>29256</v>
      </c>
      <c r="L117" s="1">
        <v>1.96</v>
      </c>
      <c r="M117" s="1">
        <v>1</v>
      </c>
      <c r="N117" s="1">
        <v>0</v>
      </c>
      <c r="O117" s="1" t="s">
        <v>30</v>
      </c>
      <c r="P117" s="1">
        <v>6803</v>
      </c>
      <c r="Q117" s="1">
        <v>10.9</v>
      </c>
      <c r="R117" s="1">
        <v>12.86</v>
      </c>
      <c r="S117" s="1">
        <v>0</v>
      </c>
      <c r="T117" s="1">
        <v>17.98</v>
      </c>
      <c r="U117" s="1">
        <v>1</v>
      </c>
      <c r="V117" s="1">
        <v>1</v>
      </c>
      <c r="W117" s="1" t="s">
        <v>1</v>
      </c>
      <c r="X117" s="1" t="s">
        <v>2</v>
      </c>
      <c r="Y117" s="2">
        <v>45954.434687499997</v>
      </c>
      <c r="Z117" s="1">
        <v>2111</v>
      </c>
      <c r="AA117" t="str">
        <f>+VLOOKUP(O117,'[1]Ventas_odoo Interface'!$E:$AP,38,0)</f>
        <v>F E001-00003801</v>
      </c>
    </row>
    <row r="118" spans="1:27" ht="15" customHeight="1" x14ac:dyDescent="0.25">
      <c r="A118" s="1">
        <v>568</v>
      </c>
      <c r="B118" s="1">
        <v>20250701</v>
      </c>
      <c r="C118" s="1">
        <v>20250701</v>
      </c>
      <c r="D118" s="1"/>
      <c r="E118" s="1">
        <v>1931</v>
      </c>
      <c r="F118" s="1">
        <v>4</v>
      </c>
      <c r="G118" s="1">
        <v>298.31</v>
      </c>
      <c r="H118" s="1">
        <v>2</v>
      </c>
      <c r="I118" s="1">
        <v>352</v>
      </c>
      <c r="J118" s="1">
        <v>100</v>
      </c>
      <c r="K118" s="1">
        <v>29188</v>
      </c>
      <c r="L118" s="1">
        <v>53.69</v>
      </c>
      <c r="M118" s="1">
        <v>1</v>
      </c>
      <c r="N118" s="1">
        <v>0</v>
      </c>
      <c r="O118" s="1" t="s">
        <v>31</v>
      </c>
      <c r="P118" s="1">
        <v>6743</v>
      </c>
      <c r="Q118" s="1">
        <v>74.58</v>
      </c>
      <c r="R118" s="1">
        <v>88</v>
      </c>
      <c r="S118" s="1">
        <v>0</v>
      </c>
      <c r="T118" s="1">
        <v>18</v>
      </c>
      <c r="U118" s="1">
        <v>1</v>
      </c>
      <c r="V118" s="1">
        <v>1</v>
      </c>
      <c r="W118" s="1" t="s">
        <v>1</v>
      </c>
      <c r="X118" s="1" t="s">
        <v>2</v>
      </c>
      <c r="Y118" s="2">
        <v>45954.434687499997</v>
      </c>
      <c r="Z118" s="1">
        <v>1991</v>
      </c>
      <c r="AA118" t="str">
        <f>+VLOOKUP(O118,'[1]Ventas_odoo Interface'!$E:$AP,38,0)</f>
        <v>F E001-00000270</v>
      </c>
    </row>
    <row r="119" spans="1:27" ht="15" customHeight="1" x14ac:dyDescent="0.25">
      <c r="A119" s="1">
        <v>608</v>
      </c>
      <c r="B119" s="1">
        <v>20250624</v>
      </c>
      <c r="C119" s="1">
        <v>20250624</v>
      </c>
      <c r="D119" s="1"/>
      <c r="E119" s="1">
        <v>1930</v>
      </c>
      <c r="F119" s="1">
        <v>2</v>
      </c>
      <c r="G119" s="1">
        <v>355.93</v>
      </c>
      <c r="H119" s="1">
        <v>5</v>
      </c>
      <c r="I119" s="1">
        <v>420</v>
      </c>
      <c r="J119" s="1">
        <v>100</v>
      </c>
      <c r="K119" s="1">
        <v>29098</v>
      </c>
      <c r="L119" s="1">
        <v>64.069999999999993</v>
      </c>
      <c r="M119" s="1">
        <v>1</v>
      </c>
      <c r="N119" s="1">
        <v>0</v>
      </c>
      <c r="O119" s="1" t="s">
        <v>32</v>
      </c>
      <c r="P119" s="1">
        <v>877</v>
      </c>
      <c r="Q119" s="1">
        <v>177.97</v>
      </c>
      <c r="R119" s="1">
        <v>210</v>
      </c>
      <c r="S119" s="1">
        <v>0</v>
      </c>
      <c r="T119" s="1">
        <v>18</v>
      </c>
      <c r="U119" s="1">
        <v>1</v>
      </c>
      <c r="V119" s="1">
        <v>1</v>
      </c>
      <c r="W119" s="1" t="s">
        <v>1</v>
      </c>
      <c r="X119" s="1" t="s">
        <v>2</v>
      </c>
      <c r="Y119" s="2">
        <v>45954.434733796297</v>
      </c>
      <c r="Z119" s="1">
        <v>1974</v>
      </c>
      <c r="AA119" t="str">
        <f>+VLOOKUP(O119,'[1]Ventas_odoo Interface'!$E:$AP,38,0)</f>
        <v>F F101-00013907</v>
      </c>
    </row>
    <row r="120" spans="1:27" ht="15" customHeight="1" x14ac:dyDescent="0.25">
      <c r="A120" s="1">
        <v>645</v>
      </c>
      <c r="B120" s="1">
        <v>20250610</v>
      </c>
      <c r="C120" s="1">
        <v>20250610</v>
      </c>
      <c r="D120" s="1"/>
      <c r="E120" s="1">
        <v>1857</v>
      </c>
      <c r="F120" s="1">
        <v>1</v>
      </c>
      <c r="G120" s="1">
        <v>100</v>
      </c>
      <c r="H120" s="1">
        <v>5</v>
      </c>
      <c r="I120" s="1">
        <v>118</v>
      </c>
      <c r="J120" s="1">
        <v>100</v>
      </c>
      <c r="K120" s="1">
        <v>29059</v>
      </c>
      <c r="L120" s="1">
        <v>18</v>
      </c>
      <c r="M120" s="1">
        <v>1</v>
      </c>
      <c r="N120" s="1">
        <v>0</v>
      </c>
      <c r="O120" s="1" t="s">
        <v>33</v>
      </c>
      <c r="P120" s="1">
        <v>877</v>
      </c>
      <c r="Q120" s="1">
        <v>100</v>
      </c>
      <c r="R120" s="1">
        <v>118</v>
      </c>
      <c r="S120" s="1">
        <v>0</v>
      </c>
      <c r="T120" s="1">
        <v>18</v>
      </c>
      <c r="U120" s="1">
        <v>1</v>
      </c>
      <c r="V120" s="1">
        <v>1</v>
      </c>
      <c r="W120" s="1" t="s">
        <v>1</v>
      </c>
      <c r="X120" s="1" t="s">
        <v>2</v>
      </c>
      <c r="Y120" s="2">
        <v>45954.43478009259</v>
      </c>
      <c r="Z120" s="1">
        <v>529</v>
      </c>
      <c r="AA120" t="str">
        <f>+VLOOKUP(O120,'[1]Ventas_odoo Interface'!$E:$AP,38,0)</f>
        <v>F F052-01567501</v>
      </c>
    </row>
    <row r="121" spans="1:27" ht="15" customHeight="1" x14ac:dyDescent="0.25">
      <c r="A121" s="1">
        <v>652</v>
      </c>
      <c r="B121" s="1">
        <v>20250603</v>
      </c>
      <c r="C121" s="1">
        <v>20250603</v>
      </c>
      <c r="D121" s="1"/>
      <c r="E121" s="1">
        <v>1855</v>
      </c>
      <c r="F121" s="1">
        <v>1</v>
      </c>
      <c r="G121" s="1">
        <v>500</v>
      </c>
      <c r="H121" s="1">
        <v>5</v>
      </c>
      <c r="I121" s="1">
        <v>500</v>
      </c>
      <c r="J121" s="1">
        <v>100</v>
      </c>
      <c r="K121" s="1">
        <v>28744</v>
      </c>
      <c r="L121" s="1">
        <v>0</v>
      </c>
      <c r="M121" s="1">
        <v>1</v>
      </c>
      <c r="N121" s="1">
        <v>0</v>
      </c>
      <c r="O121" s="1" t="s">
        <v>34</v>
      </c>
      <c r="P121" s="1">
        <v>6743</v>
      </c>
      <c r="Q121" s="1">
        <v>500</v>
      </c>
      <c r="R121" s="1">
        <v>500</v>
      </c>
      <c r="S121" s="1">
        <v>0</v>
      </c>
      <c r="T121" s="1">
        <v>0</v>
      </c>
      <c r="U121" s="1">
        <v>1</v>
      </c>
      <c r="V121" s="1">
        <v>1</v>
      </c>
      <c r="W121" s="1" t="s">
        <v>1</v>
      </c>
      <c r="X121" s="1" t="s">
        <v>2</v>
      </c>
      <c r="Y121" s="2">
        <v>45954.434791666667</v>
      </c>
      <c r="Z121" s="1">
        <v>1786</v>
      </c>
      <c r="AA121" t="str">
        <f>+VLOOKUP(O121,'[1]Ventas_odoo Interface'!$E:$AP,38,0)</f>
        <v>R E001 17</v>
      </c>
    </row>
    <row r="122" spans="1:27" ht="15" customHeight="1" x14ac:dyDescent="0.25">
      <c r="A122" s="1">
        <v>654</v>
      </c>
      <c r="B122" s="1">
        <v>20250603</v>
      </c>
      <c r="C122" s="1">
        <v>20250603</v>
      </c>
      <c r="D122" s="1"/>
      <c r="E122" s="1">
        <v>279</v>
      </c>
      <c r="F122" s="1">
        <v>1</v>
      </c>
      <c r="G122" s="1">
        <v>5776.55</v>
      </c>
      <c r="H122" s="1">
        <v>2</v>
      </c>
      <c r="I122" s="1">
        <v>5776.55</v>
      </c>
      <c r="J122" s="1">
        <v>100</v>
      </c>
      <c r="K122" s="1">
        <v>28728</v>
      </c>
      <c r="L122" s="1">
        <v>0</v>
      </c>
      <c r="M122" s="1">
        <v>1</v>
      </c>
      <c r="N122" s="1">
        <v>0</v>
      </c>
      <c r="O122" s="1" t="s">
        <v>35</v>
      </c>
      <c r="P122" s="1">
        <v>877</v>
      </c>
      <c r="Q122" s="1">
        <v>5776.55</v>
      </c>
      <c r="R122" s="1">
        <v>5776.55</v>
      </c>
      <c r="S122" s="1">
        <v>0</v>
      </c>
      <c r="T122" s="1">
        <v>0</v>
      </c>
      <c r="U122" s="1">
        <v>1</v>
      </c>
      <c r="V122" s="1">
        <v>1</v>
      </c>
      <c r="W122" s="1" t="s">
        <v>1</v>
      </c>
      <c r="X122" s="1" t="s">
        <v>2</v>
      </c>
      <c r="Y122" s="2">
        <v>45954.434791666667</v>
      </c>
      <c r="Z122" s="1">
        <v>1752</v>
      </c>
      <c r="AA122" t="str">
        <f>+VLOOKUP(O122,'[1]Ventas_odoo Interface'!$E:$AP,38,0)</f>
        <v>R E001 73</v>
      </c>
    </row>
    <row r="123" spans="1:27" ht="15" customHeight="1" x14ac:dyDescent="0.25">
      <c r="A123" s="1">
        <v>692</v>
      </c>
      <c r="B123" s="1">
        <v>20250530</v>
      </c>
      <c r="C123" s="1">
        <v>20250530</v>
      </c>
      <c r="D123" s="1"/>
      <c r="E123" s="1">
        <v>1855</v>
      </c>
      <c r="F123" s="1">
        <v>1</v>
      </c>
      <c r="G123" s="1">
        <v>500</v>
      </c>
      <c r="H123" s="1">
        <v>5</v>
      </c>
      <c r="I123" s="1">
        <v>500</v>
      </c>
      <c r="J123" s="1">
        <v>100</v>
      </c>
      <c r="K123" s="1">
        <v>28669</v>
      </c>
      <c r="L123" s="1">
        <v>0</v>
      </c>
      <c r="M123" s="1">
        <v>1</v>
      </c>
      <c r="N123" s="1">
        <v>0</v>
      </c>
      <c r="O123" s="1" t="s">
        <v>36</v>
      </c>
      <c r="P123" s="1">
        <v>877</v>
      </c>
      <c r="Q123" s="1">
        <v>500</v>
      </c>
      <c r="R123" s="1">
        <v>500</v>
      </c>
      <c r="S123" s="1">
        <v>0</v>
      </c>
      <c r="T123" s="1">
        <v>0</v>
      </c>
      <c r="U123" s="1">
        <v>1</v>
      </c>
      <c r="V123" s="1">
        <v>1</v>
      </c>
      <c r="W123" s="1" t="s">
        <v>1</v>
      </c>
      <c r="X123" s="1" t="s">
        <v>2</v>
      </c>
      <c r="Y123" s="2">
        <v>45954.43482638889</v>
      </c>
      <c r="Z123" s="1">
        <v>1786</v>
      </c>
      <c r="AA123" t="str">
        <f>+VLOOKUP(O123,'[1]Ventas_odoo Interface'!$E:$AP,38,0)</f>
        <v>R E001 16</v>
      </c>
    </row>
    <row r="124" spans="1:27" ht="15" customHeight="1" x14ac:dyDescent="0.25">
      <c r="A124" s="1">
        <v>693</v>
      </c>
      <c r="B124" s="1">
        <v>20250529</v>
      </c>
      <c r="C124" s="1">
        <v>20250529</v>
      </c>
      <c r="D124" s="1"/>
      <c r="E124" s="1">
        <v>219</v>
      </c>
      <c r="F124" s="1">
        <v>1</v>
      </c>
      <c r="G124" s="1">
        <v>1000</v>
      </c>
      <c r="H124" s="1">
        <v>5</v>
      </c>
      <c r="I124" s="1">
        <v>1180</v>
      </c>
      <c r="J124" s="1">
        <v>100</v>
      </c>
      <c r="K124" s="1">
        <v>28666</v>
      </c>
      <c r="L124" s="1">
        <v>180</v>
      </c>
      <c r="M124" s="1">
        <v>1</v>
      </c>
      <c r="N124" s="1">
        <v>0</v>
      </c>
      <c r="O124" s="1" t="s">
        <v>37</v>
      </c>
      <c r="P124" s="1">
        <v>6328</v>
      </c>
      <c r="Q124" s="1">
        <v>1000</v>
      </c>
      <c r="R124" s="1">
        <v>1180</v>
      </c>
      <c r="S124" s="1">
        <v>0</v>
      </c>
      <c r="T124" s="1">
        <v>18</v>
      </c>
      <c r="U124" s="1">
        <v>1</v>
      </c>
      <c r="V124" s="1">
        <v>1</v>
      </c>
      <c r="W124" s="1" t="s">
        <v>1</v>
      </c>
      <c r="X124" s="1" t="s">
        <v>2</v>
      </c>
      <c r="Y124" s="2">
        <v>45954.43482638889</v>
      </c>
      <c r="Z124" s="1">
        <v>1555</v>
      </c>
      <c r="AA124" t="str">
        <f>+VLOOKUP(O124,'[1]Ventas_odoo Interface'!$E:$AP,38,0)</f>
        <v>F F002-00031139</v>
      </c>
    </row>
    <row r="125" spans="1:27" ht="15" customHeight="1" x14ac:dyDescent="0.25">
      <c r="A125" s="1">
        <v>698</v>
      </c>
      <c r="B125" s="1">
        <v>20250529</v>
      </c>
      <c r="C125" s="1">
        <v>20250529</v>
      </c>
      <c r="D125" s="1"/>
      <c r="E125" s="1">
        <v>1902</v>
      </c>
      <c r="F125" s="1">
        <v>60</v>
      </c>
      <c r="G125" s="1">
        <v>1044</v>
      </c>
      <c r="H125" s="1">
        <v>5</v>
      </c>
      <c r="I125" s="1">
        <v>1231.92</v>
      </c>
      <c r="J125" s="1">
        <v>100</v>
      </c>
      <c r="K125" s="1">
        <v>28619</v>
      </c>
      <c r="L125" s="1">
        <v>187.92</v>
      </c>
      <c r="M125" s="1">
        <v>1</v>
      </c>
      <c r="N125" s="1">
        <v>0</v>
      </c>
      <c r="O125" s="1" t="s">
        <v>38</v>
      </c>
      <c r="P125" s="1">
        <v>6962</v>
      </c>
      <c r="Q125" s="1">
        <v>17.399999999999999</v>
      </c>
      <c r="R125" s="1">
        <v>20.53</v>
      </c>
      <c r="S125" s="1">
        <v>0</v>
      </c>
      <c r="T125" s="1">
        <v>18</v>
      </c>
      <c r="U125" s="1">
        <v>1</v>
      </c>
      <c r="V125" s="1">
        <v>1</v>
      </c>
      <c r="W125" s="1" t="s">
        <v>1</v>
      </c>
      <c r="X125" s="1" t="s">
        <v>2</v>
      </c>
      <c r="Y125" s="2">
        <v>45954.434837962966</v>
      </c>
      <c r="Z125" s="1">
        <v>470</v>
      </c>
      <c r="AA125" t="str">
        <f>+VLOOKUP(O125,'[1]Ventas_odoo Interface'!$E:$AP,38,0)</f>
        <v>F F001-00024304</v>
      </c>
    </row>
    <row r="126" spans="1:27" ht="15" customHeight="1" x14ac:dyDescent="0.25">
      <c r="A126" s="1">
        <v>699</v>
      </c>
      <c r="B126" s="1">
        <v>20250529</v>
      </c>
      <c r="C126" s="1">
        <v>20250529</v>
      </c>
      <c r="D126" s="1"/>
      <c r="E126" s="1">
        <v>1825</v>
      </c>
      <c r="F126" s="1">
        <v>2</v>
      </c>
      <c r="G126" s="1">
        <v>128</v>
      </c>
      <c r="H126" s="1">
        <v>5</v>
      </c>
      <c r="I126" s="1">
        <v>151.04</v>
      </c>
      <c r="J126" s="1">
        <v>100</v>
      </c>
      <c r="K126" s="1">
        <v>28620</v>
      </c>
      <c r="L126" s="1">
        <v>23.04</v>
      </c>
      <c r="M126" s="1">
        <v>1</v>
      </c>
      <c r="N126" s="1">
        <v>0</v>
      </c>
      <c r="O126" s="1" t="s">
        <v>38</v>
      </c>
      <c r="P126" s="1">
        <v>6962</v>
      </c>
      <c r="Q126" s="1">
        <v>64</v>
      </c>
      <c r="R126" s="1">
        <v>75.52</v>
      </c>
      <c r="S126" s="1">
        <v>0</v>
      </c>
      <c r="T126" s="1">
        <v>18</v>
      </c>
      <c r="U126" s="1">
        <v>1</v>
      </c>
      <c r="V126" s="1">
        <v>1</v>
      </c>
      <c r="W126" s="1" t="s">
        <v>1</v>
      </c>
      <c r="X126" s="1" t="s">
        <v>2</v>
      </c>
      <c r="Y126" s="2">
        <v>45954.434837962966</v>
      </c>
      <c r="Z126" s="1">
        <v>470</v>
      </c>
      <c r="AA126" t="str">
        <f>+VLOOKUP(O126,'[1]Ventas_odoo Interface'!$E:$AP,38,0)</f>
        <v>F F001-00024304</v>
      </c>
    </row>
    <row r="127" spans="1:27" ht="15" customHeight="1" x14ac:dyDescent="0.25">
      <c r="A127" s="1">
        <v>700</v>
      </c>
      <c r="B127" s="1">
        <v>20250529</v>
      </c>
      <c r="C127" s="1">
        <v>20250529</v>
      </c>
      <c r="D127" s="1"/>
      <c r="E127" s="1">
        <v>1902</v>
      </c>
      <c r="F127" s="1">
        <v>60</v>
      </c>
      <c r="G127" s="1">
        <v>1044</v>
      </c>
      <c r="H127" s="1">
        <v>5</v>
      </c>
      <c r="I127" s="1">
        <v>1231.92</v>
      </c>
      <c r="J127" s="1">
        <v>100</v>
      </c>
      <c r="K127" s="1">
        <v>28615</v>
      </c>
      <c r="L127" s="1">
        <v>187.92</v>
      </c>
      <c r="M127" s="1">
        <v>1</v>
      </c>
      <c r="N127" s="1">
        <v>0</v>
      </c>
      <c r="O127" s="1" t="s">
        <v>39</v>
      </c>
      <c r="P127" s="1">
        <v>6962</v>
      </c>
      <c r="Q127" s="1">
        <v>17.399999999999999</v>
      </c>
      <c r="R127" s="1">
        <v>20.53</v>
      </c>
      <c r="S127" s="1">
        <v>0</v>
      </c>
      <c r="T127" s="1">
        <v>18</v>
      </c>
      <c r="U127" s="1">
        <v>1</v>
      </c>
      <c r="V127" s="1">
        <v>1</v>
      </c>
      <c r="W127" s="1" t="s">
        <v>1</v>
      </c>
      <c r="X127" s="1" t="s">
        <v>2</v>
      </c>
      <c r="Y127" s="2">
        <v>45954.434837962966</v>
      </c>
      <c r="Z127" s="1">
        <v>470</v>
      </c>
      <c r="AA127" t="str">
        <f>+VLOOKUP(O127,'[1]Ventas_odoo Interface'!$E:$AP,38,0)</f>
        <v>F F001-00024303</v>
      </c>
    </row>
    <row r="128" spans="1:27" ht="15" customHeight="1" x14ac:dyDescent="0.25">
      <c r="A128" s="1">
        <v>701</v>
      </c>
      <c r="B128" s="1">
        <v>20250529</v>
      </c>
      <c r="C128" s="1">
        <v>20250529</v>
      </c>
      <c r="D128" s="1"/>
      <c r="E128" s="1">
        <v>1825</v>
      </c>
      <c r="F128" s="1">
        <v>2</v>
      </c>
      <c r="G128" s="1">
        <v>128</v>
      </c>
      <c r="H128" s="1">
        <v>5</v>
      </c>
      <c r="I128" s="1">
        <v>151.04</v>
      </c>
      <c r="J128" s="1">
        <v>100</v>
      </c>
      <c r="K128" s="1">
        <v>28616</v>
      </c>
      <c r="L128" s="1">
        <v>23.04</v>
      </c>
      <c r="M128" s="1">
        <v>1</v>
      </c>
      <c r="N128" s="1">
        <v>0</v>
      </c>
      <c r="O128" s="1" t="s">
        <v>39</v>
      </c>
      <c r="P128" s="1">
        <v>6962</v>
      </c>
      <c r="Q128" s="1">
        <v>64</v>
      </c>
      <c r="R128" s="1">
        <v>75.52</v>
      </c>
      <c r="S128" s="1">
        <v>0</v>
      </c>
      <c r="T128" s="1">
        <v>18</v>
      </c>
      <c r="U128" s="1">
        <v>1</v>
      </c>
      <c r="V128" s="1">
        <v>1</v>
      </c>
      <c r="W128" s="1" t="s">
        <v>1</v>
      </c>
      <c r="X128" s="1" t="s">
        <v>2</v>
      </c>
      <c r="Y128" s="2">
        <v>45954.434837962966</v>
      </c>
      <c r="Z128" s="1">
        <v>470</v>
      </c>
      <c r="AA128" t="str">
        <f>+VLOOKUP(O128,'[1]Ventas_odoo Interface'!$E:$AP,38,0)</f>
        <v>F F001-00024303</v>
      </c>
    </row>
    <row r="129" spans="1:27" ht="15" customHeight="1" x14ac:dyDescent="0.25">
      <c r="A129" s="1">
        <v>702</v>
      </c>
      <c r="B129" s="1">
        <v>20250528</v>
      </c>
      <c r="C129" s="1">
        <v>20250528</v>
      </c>
      <c r="D129" s="1"/>
      <c r="E129" s="1">
        <v>1910</v>
      </c>
      <c r="F129" s="1">
        <v>1</v>
      </c>
      <c r="G129" s="1">
        <v>362</v>
      </c>
      <c r="H129" s="1">
        <v>2</v>
      </c>
      <c r="I129" s="1">
        <v>427.16</v>
      </c>
      <c r="J129" s="1">
        <v>100</v>
      </c>
      <c r="K129" s="1">
        <v>28610</v>
      </c>
      <c r="L129" s="1">
        <v>65.16</v>
      </c>
      <c r="M129" s="1">
        <v>1</v>
      </c>
      <c r="N129" s="1">
        <v>0</v>
      </c>
      <c r="O129" s="1" t="s">
        <v>40</v>
      </c>
      <c r="P129" s="1">
        <v>6743</v>
      </c>
      <c r="Q129" s="1">
        <v>362</v>
      </c>
      <c r="R129" s="1">
        <v>427.16</v>
      </c>
      <c r="S129" s="1">
        <v>0</v>
      </c>
      <c r="T129" s="1">
        <v>18</v>
      </c>
      <c r="U129" s="1">
        <v>1</v>
      </c>
      <c r="V129" s="1">
        <v>1</v>
      </c>
      <c r="W129" s="1" t="s">
        <v>1</v>
      </c>
      <c r="X129" s="1" t="s">
        <v>2</v>
      </c>
      <c r="Y129" s="2">
        <v>45954.434837962966</v>
      </c>
      <c r="Z129" s="1">
        <v>1389</v>
      </c>
      <c r="AA129" t="str">
        <f>+VLOOKUP(O129,'[1]Ventas_odoo Interface'!$E:$AP,38,0)</f>
        <v>F E001-00000055</v>
      </c>
    </row>
    <row r="130" spans="1:27" ht="15" customHeight="1" x14ac:dyDescent="0.25">
      <c r="A130" s="1">
        <v>703</v>
      </c>
      <c r="B130" s="1">
        <v>20250528</v>
      </c>
      <c r="C130" s="1">
        <v>20250528</v>
      </c>
      <c r="D130" s="1"/>
      <c r="E130" s="1">
        <v>1903</v>
      </c>
      <c r="F130" s="1">
        <v>5</v>
      </c>
      <c r="G130" s="1">
        <v>5000</v>
      </c>
      <c r="H130" s="1">
        <v>5</v>
      </c>
      <c r="I130" s="1">
        <v>5900</v>
      </c>
      <c r="J130" s="1">
        <v>100</v>
      </c>
      <c r="K130" s="1">
        <v>28600</v>
      </c>
      <c r="L130" s="1">
        <v>900</v>
      </c>
      <c r="M130" s="1">
        <v>1</v>
      </c>
      <c r="N130" s="1">
        <v>0</v>
      </c>
      <c r="O130" s="1" t="s">
        <v>41</v>
      </c>
      <c r="P130" s="1">
        <v>6743</v>
      </c>
      <c r="Q130" s="1">
        <v>1000</v>
      </c>
      <c r="R130" s="1">
        <v>1180</v>
      </c>
      <c r="S130" s="1">
        <v>0</v>
      </c>
      <c r="T130" s="1">
        <v>18</v>
      </c>
      <c r="U130" s="1">
        <v>1</v>
      </c>
      <c r="V130" s="1">
        <v>1</v>
      </c>
      <c r="W130" s="1" t="s">
        <v>1</v>
      </c>
      <c r="X130" s="1" t="s">
        <v>2</v>
      </c>
      <c r="Y130" s="2">
        <v>45954.434837962966</v>
      </c>
      <c r="Z130" s="1">
        <v>384</v>
      </c>
      <c r="AA130" t="str">
        <f>+VLOOKUP(O130,'[1]Ventas_odoo Interface'!$E:$AP,38,0)</f>
        <v>F E001-00000495</v>
      </c>
    </row>
    <row r="131" spans="1:27" ht="15" customHeight="1" x14ac:dyDescent="0.25">
      <c r="A131" s="1">
        <v>704</v>
      </c>
      <c r="B131" s="1">
        <v>20250528</v>
      </c>
      <c r="C131" s="1">
        <v>20250528</v>
      </c>
      <c r="D131" s="1"/>
      <c r="E131" s="1">
        <v>1904</v>
      </c>
      <c r="F131" s="1">
        <v>12</v>
      </c>
      <c r="G131" s="1">
        <v>3000</v>
      </c>
      <c r="H131" s="1">
        <v>5</v>
      </c>
      <c r="I131" s="1">
        <v>3540</v>
      </c>
      <c r="J131" s="1">
        <v>100</v>
      </c>
      <c r="K131" s="1">
        <v>28601</v>
      </c>
      <c r="L131" s="1">
        <v>540</v>
      </c>
      <c r="M131" s="1">
        <v>1</v>
      </c>
      <c r="N131" s="1">
        <v>0</v>
      </c>
      <c r="O131" s="1" t="s">
        <v>41</v>
      </c>
      <c r="P131" s="1">
        <v>6743</v>
      </c>
      <c r="Q131" s="1">
        <v>250</v>
      </c>
      <c r="R131" s="1">
        <v>295</v>
      </c>
      <c r="S131" s="1">
        <v>0</v>
      </c>
      <c r="T131" s="1">
        <v>18</v>
      </c>
      <c r="U131" s="1">
        <v>1</v>
      </c>
      <c r="V131" s="1">
        <v>1</v>
      </c>
      <c r="W131" s="1" t="s">
        <v>1</v>
      </c>
      <c r="X131" s="1" t="s">
        <v>2</v>
      </c>
      <c r="Y131" s="2">
        <v>45954.434837962966</v>
      </c>
      <c r="Z131" s="1">
        <v>384</v>
      </c>
      <c r="AA131" t="str">
        <f>+VLOOKUP(O131,'[1]Ventas_odoo Interface'!$E:$AP,38,0)</f>
        <v>F E001-00000495</v>
      </c>
    </row>
    <row r="132" spans="1:27" ht="15" customHeight="1" x14ac:dyDescent="0.25">
      <c r="A132" s="1">
        <v>705</v>
      </c>
      <c r="B132" s="1">
        <v>20250528</v>
      </c>
      <c r="C132" s="1">
        <v>20250528</v>
      </c>
      <c r="D132" s="1"/>
      <c r="E132" s="1">
        <v>1907</v>
      </c>
      <c r="F132" s="1">
        <v>10</v>
      </c>
      <c r="G132" s="1">
        <v>2000</v>
      </c>
      <c r="H132" s="1">
        <v>5</v>
      </c>
      <c r="I132" s="1">
        <v>2360</v>
      </c>
      <c r="J132" s="1">
        <v>100</v>
      </c>
      <c r="K132" s="1">
        <v>28602</v>
      </c>
      <c r="L132" s="1">
        <v>360</v>
      </c>
      <c r="M132" s="1">
        <v>1</v>
      </c>
      <c r="N132" s="1">
        <v>0</v>
      </c>
      <c r="O132" s="1" t="s">
        <v>41</v>
      </c>
      <c r="P132" s="1">
        <v>6743</v>
      </c>
      <c r="Q132" s="1">
        <v>200</v>
      </c>
      <c r="R132" s="1">
        <v>236</v>
      </c>
      <c r="S132" s="1">
        <v>0</v>
      </c>
      <c r="T132" s="1">
        <v>18</v>
      </c>
      <c r="U132" s="1">
        <v>1</v>
      </c>
      <c r="V132" s="1">
        <v>1</v>
      </c>
      <c r="W132" s="1" t="s">
        <v>1</v>
      </c>
      <c r="X132" s="1" t="s">
        <v>2</v>
      </c>
      <c r="Y132" s="2">
        <v>45954.434837962966</v>
      </c>
      <c r="Z132" s="1">
        <v>384</v>
      </c>
      <c r="AA132" t="str">
        <f>+VLOOKUP(O132,'[1]Ventas_odoo Interface'!$E:$AP,38,0)</f>
        <v>F E001-00000495</v>
      </c>
    </row>
    <row r="133" spans="1:27" ht="15" customHeight="1" x14ac:dyDescent="0.25">
      <c r="A133" s="1">
        <v>706</v>
      </c>
      <c r="B133" s="1">
        <v>20250528</v>
      </c>
      <c r="C133" s="1">
        <v>20250528</v>
      </c>
      <c r="D133" s="1"/>
      <c r="E133" s="1">
        <v>1908</v>
      </c>
      <c r="F133" s="1">
        <v>10</v>
      </c>
      <c r="G133" s="1">
        <v>500</v>
      </c>
      <c r="H133" s="1">
        <v>5</v>
      </c>
      <c r="I133" s="1">
        <v>590</v>
      </c>
      <c r="J133" s="1">
        <v>100</v>
      </c>
      <c r="K133" s="1">
        <v>28603</v>
      </c>
      <c r="L133" s="1">
        <v>90</v>
      </c>
      <c r="M133" s="1">
        <v>1</v>
      </c>
      <c r="N133" s="1">
        <v>0</v>
      </c>
      <c r="O133" s="1" t="s">
        <v>41</v>
      </c>
      <c r="P133" s="1">
        <v>6743</v>
      </c>
      <c r="Q133" s="1">
        <v>50</v>
      </c>
      <c r="R133" s="1">
        <v>59</v>
      </c>
      <c r="S133" s="1">
        <v>0</v>
      </c>
      <c r="T133" s="1">
        <v>18</v>
      </c>
      <c r="U133" s="1">
        <v>1</v>
      </c>
      <c r="V133" s="1">
        <v>1</v>
      </c>
      <c r="W133" s="1" t="s">
        <v>1</v>
      </c>
      <c r="X133" s="1" t="s">
        <v>2</v>
      </c>
      <c r="Y133" s="2">
        <v>45954.434849537036</v>
      </c>
      <c r="Z133" s="1">
        <v>384</v>
      </c>
      <c r="AA133" t="str">
        <f>+VLOOKUP(O133,'[1]Ventas_odoo Interface'!$E:$AP,38,0)</f>
        <v>F E001-00000495</v>
      </c>
    </row>
    <row r="134" spans="1:27" ht="15" customHeight="1" x14ac:dyDescent="0.25">
      <c r="A134" s="1">
        <v>707</v>
      </c>
      <c r="B134" s="1">
        <v>20250527</v>
      </c>
      <c r="C134" s="1">
        <v>20250527</v>
      </c>
      <c r="D134" s="1"/>
      <c r="E134" s="1">
        <v>1903</v>
      </c>
      <c r="F134" s="1">
        <v>1</v>
      </c>
      <c r="G134" s="1">
        <v>1000</v>
      </c>
      <c r="H134" s="1">
        <v>5</v>
      </c>
      <c r="I134" s="1">
        <v>1180</v>
      </c>
      <c r="J134" s="1">
        <v>100</v>
      </c>
      <c r="K134" s="1">
        <v>28594</v>
      </c>
      <c r="L134" s="1">
        <v>180</v>
      </c>
      <c r="M134" s="1">
        <v>1</v>
      </c>
      <c r="N134" s="1">
        <v>0</v>
      </c>
      <c r="O134" s="1" t="s">
        <v>42</v>
      </c>
      <c r="P134" s="1">
        <v>6743</v>
      </c>
      <c r="Q134" s="1">
        <v>1000</v>
      </c>
      <c r="R134" s="1">
        <v>1180</v>
      </c>
      <c r="S134" s="1">
        <v>0</v>
      </c>
      <c r="T134" s="1">
        <v>18</v>
      </c>
      <c r="U134" s="1">
        <v>1</v>
      </c>
      <c r="V134" s="1">
        <v>1</v>
      </c>
      <c r="W134" s="1" t="s">
        <v>1</v>
      </c>
      <c r="X134" s="1" t="s">
        <v>2</v>
      </c>
      <c r="Y134" s="2">
        <v>45954.434849537036</v>
      </c>
      <c r="Z134" s="1">
        <v>384</v>
      </c>
      <c r="AA134" t="str">
        <f>+VLOOKUP(O134,'[1]Ventas_odoo Interface'!$E:$AP,38,0)</f>
        <v>F E001-00000494</v>
      </c>
    </row>
    <row r="135" spans="1:27" ht="15" customHeight="1" x14ac:dyDescent="0.25">
      <c r="A135" s="1">
        <v>708</v>
      </c>
      <c r="B135" s="1">
        <v>20250527</v>
      </c>
      <c r="C135" s="1">
        <v>20250527</v>
      </c>
      <c r="D135" s="1"/>
      <c r="E135" s="1">
        <v>1904</v>
      </c>
      <c r="F135" s="1">
        <v>3</v>
      </c>
      <c r="G135" s="1">
        <v>750</v>
      </c>
      <c r="H135" s="1">
        <v>5</v>
      </c>
      <c r="I135" s="1">
        <v>885</v>
      </c>
      <c r="J135" s="1">
        <v>100</v>
      </c>
      <c r="K135" s="1">
        <v>28595</v>
      </c>
      <c r="L135" s="1">
        <v>135</v>
      </c>
      <c r="M135" s="1">
        <v>1</v>
      </c>
      <c r="N135" s="1">
        <v>0</v>
      </c>
      <c r="O135" s="1" t="s">
        <v>42</v>
      </c>
      <c r="P135" s="1">
        <v>6743</v>
      </c>
      <c r="Q135" s="1">
        <v>250</v>
      </c>
      <c r="R135" s="1">
        <v>295</v>
      </c>
      <c r="S135" s="1">
        <v>0</v>
      </c>
      <c r="T135" s="1">
        <v>18</v>
      </c>
      <c r="U135" s="1">
        <v>1</v>
      </c>
      <c r="V135" s="1">
        <v>1</v>
      </c>
      <c r="W135" s="1" t="s">
        <v>1</v>
      </c>
      <c r="X135" s="1" t="s">
        <v>2</v>
      </c>
      <c r="Y135" s="2">
        <v>45954.434849537036</v>
      </c>
      <c r="Z135" s="1">
        <v>384</v>
      </c>
      <c r="AA135" t="str">
        <f>+VLOOKUP(O135,'[1]Ventas_odoo Interface'!$E:$AP,38,0)</f>
        <v>F E001-00000494</v>
      </c>
    </row>
    <row r="136" spans="1:27" ht="15" customHeight="1" x14ac:dyDescent="0.25">
      <c r="A136" s="1">
        <v>709</v>
      </c>
      <c r="B136" s="1">
        <v>20250527</v>
      </c>
      <c r="C136" s="1">
        <v>20250527</v>
      </c>
      <c r="D136" s="1"/>
      <c r="E136" s="1">
        <v>1905</v>
      </c>
      <c r="F136" s="1">
        <v>63</v>
      </c>
      <c r="G136" s="1">
        <v>12600</v>
      </c>
      <c r="H136" s="1">
        <v>5</v>
      </c>
      <c r="I136" s="1">
        <v>14868</v>
      </c>
      <c r="J136" s="1">
        <v>100</v>
      </c>
      <c r="K136" s="1">
        <v>28596</v>
      </c>
      <c r="L136" s="1">
        <v>2268</v>
      </c>
      <c r="M136" s="1">
        <v>1</v>
      </c>
      <c r="N136" s="1">
        <v>0</v>
      </c>
      <c r="O136" s="1" t="s">
        <v>42</v>
      </c>
      <c r="P136" s="1">
        <v>6743</v>
      </c>
      <c r="Q136" s="1">
        <v>200</v>
      </c>
      <c r="R136" s="1">
        <v>236</v>
      </c>
      <c r="S136" s="1">
        <v>0</v>
      </c>
      <c r="T136" s="1">
        <v>18</v>
      </c>
      <c r="U136" s="1">
        <v>1</v>
      </c>
      <c r="V136" s="1">
        <v>1</v>
      </c>
      <c r="W136" s="1" t="s">
        <v>1</v>
      </c>
      <c r="X136" s="1" t="s">
        <v>2</v>
      </c>
      <c r="Y136" s="2">
        <v>45954.434849537036</v>
      </c>
      <c r="Z136" s="1">
        <v>384</v>
      </c>
      <c r="AA136" t="str">
        <f>+VLOOKUP(O136,'[1]Ventas_odoo Interface'!$E:$AP,38,0)</f>
        <v>F E001-00000494</v>
      </c>
    </row>
    <row r="137" spans="1:27" ht="15" customHeight="1" x14ac:dyDescent="0.25">
      <c r="A137" s="1">
        <v>710</v>
      </c>
      <c r="B137" s="1">
        <v>20250527</v>
      </c>
      <c r="C137" s="1">
        <v>20250527</v>
      </c>
      <c r="D137" s="1"/>
      <c r="E137" s="1">
        <v>1906</v>
      </c>
      <c r="F137" s="1">
        <v>59</v>
      </c>
      <c r="G137" s="1">
        <v>7080</v>
      </c>
      <c r="H137" s="1">
        <v>5</v>
      </c>
      <c r="I137" s="1">
        <v>8354.4</v>
      </c>
      <c r="J137" s="1">
        <v>100</v>
      </c>
      <c r="K137" s="1">
        <v>28597</v>
      </c>
      <c r="L137" s="1">
        <v>1274.4000000000001</v>
      </c>
      <c r="M137" s="1">
        <v>1</v>
      </c>
      <c r="N137" s="1">
        <v>0</v>
      </c>
      <c r="O137" s="1" t="s">
        <v>42</v>
      </c>
      <c r="P137" s="1">
        <v>6743</v>
      </c>
      <c r="Q137" s="1">
        <v>120</v>
      </c>
      <c r="R137" s="1">
        <v>141.6</v>
      </c>
      <c r="S137" s="1">
        <v>0</v>
      </c>
      <c r="T137" s="1">
        <v>18</v>
      </c>
      <c r="U137" s="1">
        <v>1</v>
      </c>
      <c r="V137" s="1">
        <v>1</v>
      </c>
      <c r="W137" s="1" t="s">
        <v>1</v>
      </c>
      <c r="X137" s="1" t="s">
        <v>2</v>
      </c>
      <c r="Y137" s="2">
        <v>45954.434849537036</v>
      </c>
      <c r="Z137" s="1">
        <v>384</v>
      </c>
      <c r="AA137" t="str">
        <f>+VLOOKUP(O137,'[1]Ventas_odoo Interface'!$E:$AP,38,0)</f>
        <v>F E001-00000494</v>
      </c>
    </row>
    <row r="138" spans="1:27" ht="15" customHeight="1" x14ac:dyDescent="0.25">
      <c r="A138" s="1">
        <v>711</v>
      </c>
      <c r="B138" s="1">
        <v>20250525</v>
      </c>
      <c r="C138" s="1">
        <v>20250525</v>
      </c>
      <c r="D138" s="1"/>
      <c r="E138" s="1">
        <v>1896</v>
      </c>
      <c r="F138" s="1">
        <v>1</v>
      </c>
      <c r="G138" s="1">
        <v>194.07</v>
      </c>
      <c r="H138" s="1">
        <v>5</v>
      </c>
      <c r="I138" s="1">
        <v>229</v>
      </c>
      <c r="J138" s="1">
        <v>100</v>
      </c>
      <c r="K138" s="1">
        <v>28586</v>
      </c>
      <c r="L138" s="1">
        <v>34.93</v>
      </c>
      <c r="M138" s="1">
        <v>1</v>
      </c>
      <c r="N138" s="1">
        <v>0</v>
      </c>
      <c r="O138" s="1" t="s">
        <v>43</v>
      </c>
      <c r="P138" s="1">
        <v>877</v>
      </c>
      <c r="Q138" s="1">
        <v>194.07</v>
      </c>
      <c r="R138" s="1">
        <v>229</v>
      </c>
      <c r="S138" s="1">
        <v>0</v>
      </c>
      <c r="T138" s="1">
        <v>18</v>
      </c>
      <c r="U138" s="1">
        <v>1</v>
      </c>
      <c r="V138" s="1">
        <v>1</v>
      </c>
      <c r="W138" s="1" t="s">
        <v>1</v>
      </c>
      <c r="X138" s="1" t="s">
        <v>2</v>
      </c>
      <c r="Y138" s="2">
        <v>45954.434849537036</v>
      </c>
      <c r="Z138" s="1">
        <v>779</v>
      </c>
      <c r="AA138" t="str">
        <f>+VLOOKUP(O138,'[1]Ventas_odoo Interface'!$E:$AP,38,0)</f>
        <v>F E001-00000037</v>
      </c>
    </row>
    <row r="139" spans="1:27" ht="15" customHeight="1" x14ac:dyDescent="0.25">
      <c r="A139" s="1">
        <v>712</v>
      </c>
      <c r="B139" s="1">
        <v>20250525</v>
      </c>
      <c r="C139" s="1">
        <v>20250525</v>
      </c>
      <c r="D139" s="1"/>
      <c r="E139" s="1">
        <v>1897</v>
      </c>
      <c r="F139" s="1">
        <v>1</v>
      </c>
      <c r="G139" s="1">
        <v>24.58</v>
      </c>
      <c r="H139" s="1">
        <v>5</v>
      </c>
      <c r="I139" s="1">
        <v>29</v>
      </c>
      <c r="J139" s="1">
        <v>100</v>
      </c>
      <c r="K139" s="1">
        <v>28587</v>
      </c>
      <c r="L139" s="1">
        <v>4.42</v>
      </c>
      <c r="M139" s="1">
        <v>1</v>
      </c>
      <c r="N139" s="1">
        <v>0</v>
      </c>
      <c r="O139" s="1" t="s">
        <v>43</v>
      </c>
      <c r="P139" s="1">
        <v>877</v>
      </c>
      <c r="Q139" s="1">
        <v>24.58</v>
      </c>
      <c r="R139" s="1">
        <v>29</v>
      </c>
      <c r="S139" s="1">
        <v>0</v>
      </c>
      <c r="T139" s="1">
        <v>17.98</v>
      </c>
      <c r="U139" s="1">
        <v>1</v>
      </c>
      <c r="V139" s="1">
        <v>1</v>
      </c>
      <c r="W139" s="1" t="s">
        <v>1</v>
      </c>
      <c r="X139" s="1" t="s">
        <v>2</v>
      </c>
      <c r="Y139" s="2">
        <v>45954.434849537036</v>
      </c>
      <c r="Z139" s="1">
        <v>779</v>
      </c>
      <c r="AA139" t="str">
        <f>+VLOOKUP(O139,'[1]Ventas_odoo Interface'!$E:$AP,38,0)</f>
        <v>F E001-00000037</v>
      </c>
    </row>
    <row r="140" spans="1:27" ht="15" customHeight="1" x14ac:dyDescent="0.25">
      <c r="A140" s="1">
        <v>713</v>
      </c>
      <c r="B140" s="1">
        <v>20250525</v>
      </c>
      <c r="C140" s="1">
        <v>20250525</v>
      </c>
      <c r="D140" s="1"/>
      <c r="E140" s="1">
        <v>1898</v>
      </c>
      <c r="F140" s="1">
        <v>1</v>
      </c>
      <c r="G140" s="1">
        <v>33.049999999999997</v>
      </c>
      <c r="H140" s="1">
        <v>5</v>
      </c>
      <c r="I140" s="1">
        <v>39</v>
      </c>
      <c r="J140" s="1">
        <v>100</v>
      </c>
      <c r="K140" s="1">
        <v>28588</v>
      </c>
      <c r="L140" s="1">
        <v>5.95</v>
      </c>
      <c r="M140" s="1">
        <v>1</v>
      </c>
      <c r="N140" s="1">
        <v>0</v>
      </c>
      <c r="O140" s="1" t="s">
        <v>43</v>
      </c>
      <c r="P140" s="1">
        <v>877</v>
      </c>
      <c r="Q140" s="1">
        <v>33.049999999999997</v>
      </c>
      <c r="R140" s="1">
        <v>39</v>
      </c>
      <c r="S140" s="1">
        <v>0</v>
      </c>
      <c r="T140" s="1">
        <v>18</v>
      </c>
      <c r="U140" s="1">
        <v>1</v>
      </c>
      <c r="V140" s="1">
        <v>1</v>
      </c>
      <c r="W140" s="1" t="s">
        <v>1</v>
      </c>
      <c r="X140" s="1" t="s">
        <v>2</v>
      </c>
      <c r="Y140" s="2">
        <v>45954.434849537036</v>
      </c>
      <c r="Z140" s="1">
        <v>779</v>
      </c>
      <c r="AA140" t="str">
        <f>+VLOOKUP(O140,'[1]Ventas_odoo Interface'!$E:$AP,38,0)</f>
        <v>F E001-00000037</v>
      </c>
    </row>
    <row r="141" spans="1:27" ht="15" customHeight="1" x14ac:dyDescent="0.25">
      <c r="A141" s="1">
        <v>714</v>
      </c>
      <c r="B141" s="1">
        <v>20250525</v>
      </c>
      <c r="C141" s="1">
        <v>20250525</v>
      </c>
      <c r="D141" s="1"/>
      <c r="E141" s="1">
        <v>1899</v>
      </c>
      <c r="F141" s="1">
        <v>1</v>
      </c>
      <c r="G141" s="1">
        <v>169.49</v>
      </c>
      <c r="H141" s="1">
        <v>5</v>
      </c>
      <c r="I141" s="1">
        <v>200</v>
      </c>
      <c r="J141" s="1">
        <v>100</v>
      </c>
      <c r="K141" s="1">
        <v>28589</v>
      </c>
      <c r="L141" s="1">
        <v>30.51</v>
      </c>
      <c r="M141" s="1">
        <v>1</v>
      </c>
      <c r="N141" s="1">
        <v>0</v>
      </c>
      <c r="O141" s="1" t="s">
        <v>43</v>
      </c>
      <c r="P141" s="1">
        <v>877</v>
      </c>
      <c r="Q141" s="1">
        <v>169.49</v>
      </c>
      <c r="R141" s="1">
        <v>200</v>
      </c>
      <c r="S141" s="1">
        <v>0</v>
      </c>
      <c r="T141" s="1">
        <v>18</v>
      </c>
      <c r="U141" s="1">
        <v>1</v>
      </c>
      <c r="V141" s="1">
        <v>1</v>
      </c>
      <c r="W141" s="1" t="s">
        <v>1</v>
      </c>
      <c r="X141" s="1" t="s">
        <v>2</v>
      </c>
      <c r="Y141" s="2">
        <v>45954.434849537036</v>
      </c>
      <c r="Z141" s="1">
        <v>779</v>
      </c>
      <c r="AA141" t="str">
        <f>+VLOOKUP(O141,'[1]Ventas_odoo Interface'!$E:$AP,38,0)</f>
        <v>F E001-00000037</v>
      </c>
    </row>
    <row r="142" spans="1:27" ht="15" customHeight="1" x14ac:dyDescent="0.25">
      <c r="A142" s="1">
        <v>715</v>
      </c>
      <c r="B142" s="1">
        <v>20250525</v>
      </c>
      <c r="C142" s="1">
        <v>20250525</v>
      </c>
      <c r="D142" s="1"/>
      <c r="E142" s="1">
        <v>1859</v>
      </c>
      <c r="F142" s="1">
        <v>1</v>
      </c>
      <c r="G142" s="1">
        <v>960</v>
      </c>
      <c r="H142" s="1">
        <v>2</v>
      </c>
      <c r="I142" s="1">
        <v>1132.8</v>
      </c>
      <c r="J142" s="1">
        <v>100</v>
      </c>
      <c r="K142" s="1">
        <v>28573</v>
      </c>
      <c r="L142" s="1">
        <v>172.8</v>
      </c>
      <c r="M142" s="1">
        <v>1</v>
      </c>
      <c r="N142" s="1">
        <v>0</v>
      </c>
      <c r="O142" s="1" t="s">
        <v>44</v>
      </c>
      <c r="P142" s="1">
        <v>6743</v>
      </c>
      <c r="Q142" s="1">
        <v>960</v>
      </c>
      <c r="R142" s="1">
        <v>1132.8</v>
      </c>
      <c r="S142" s="1">
        <v>0</v>
      </c>
      <c r="T142" s="1">
        <v>18</v>
      </c>
      <c r="U142" s="1">
        <v>1</v>
      </c>
      <c r="V142" s="1">
        <v>1</v>
      </c>
      <c r="W142" s="1" t="s">
        <v>1</v>
      </c>
      <c r="X142" s="1" t="s">
        <v>2</v>
      </c>
      <c r="Y142" s="2">
        <v>45954.434849537036</v>
      </c>
      <c r="Z142" s="1">
        <v>1389</v>
      </c>
      <c r="AA142" t="str">
        <f>+VLOOKUP(O142,'[1]Ventas_odoo Interface'!$E:$AP,38,0)</f>
        <v>F E001-00000050</v>
      </c>
    </row>
    <row r="143" spans="1:27" ht="15" customHeight="1" x14ac:dyDescent="0.25">
      <c r="A143" s="1">
        <v>716</v>
      </c>
      <c r="B143" s="1">
        <v>20250525</v>
      </c>
      <c r="C143" s="1">
        <v>20250525</v>
      </c>
      <c r="D143" s="1"/>
      <c r="E143" s="1">
        <v>1859</v>
      </c>
      <c r="F143" s="1">
        <v>1</v>
      </c>
      <c r="G143" s="1">
        <v>3840</v>
      </c>
      <c r="H143" s="1">
        <v>2</v>
      </c>
      <c r="I143" s="1">
        <v>4531.2</v>
      </c>
      <c r="J143" s="1">
        <v>100</v>
      </c>
      <c r="K143" s="1">
        <v>28570</v>
      </c>
      <c r="L143" s="1">
        <v>691.2</v>
      </c>
      <c r="M143" s="1">
        <v>1</v>
      </c>
      <c r="N143" s="1">
        <v>0</v>
      </c>
      <c r="O143" s="1" t="s">
        <v>23</v>
      </c>
      <c r="P143" s="1">
        <v>6743</v>
      </c>
      <c r="Q143" s="1">
        <v>3840</v>
      </c>
      <c r="R143" s="1">
        <v>4531.2</v>
      </c>
      <c r="S143" s="1">
        <v>0</v>
      </c>
      <c r="T143" s="1">
        <v>18</v>
      </c>
      <c r="U143" s="1">
        <v>1</v>
      </c>
      <c r="V143" s="1">
        <v>1</v>
      </c>
      <c r="W143" s="1" t="s">
        <v>1</v>
      </c>
      <c r="X143" s="1" t="s">
        <v>2</v>
      </c>
      <c r="Y143" s="2">
        <v>45954.434861111113</v>
      </c>
      <c r="Z143" s="1">
        <v>1389</v>
      </c>
      <c r="AA143" t="str">
        <f>+VLOOKUP(O143,'[1]Ventas_odoo Interface'!$E:$AP,38,0)</f>
        <v>F E001-00000049</v>
      </c>
    </row>
    <row r="144" spans="1:27" ht="15" customHeight="1" x14ac:dyDescent="0.25">
      <c r="A144" s="1">
        <v>717</v>
      </c>
      <c r="B144" s="1">
        <v>20250525</v>
      </c>
      <c r="C144" s="1">
        <v>20250525</v>
      </c>
      <c r="D144" s="1"/>
      <c r="E144" s="1">
        <v>1895</v>
      </c>
      <c r="F144" s="1">
        <v>1000</v>
      </c>
      <c r="G144" s="1">
        <v>161.02000000000001</v>
      </c>
      <c r="H144" s="1">
        <v>5</v>
      </c>
      <c r="I144" s="1">
        <v>190</v>
      </c>
      <c r="J144" s="1">
        <v>100</v>
      </c>
      <c r="K144" s="1">
        <v>28564</v>
      </c>
      <c r="L144" s="1">
        <v>28.98</v>
      </c>
      <c r="M144" s="1">
        <v>1</v>
      </c>
      <c r="N144" s="1">
        <v>0</v>
      </c>
      <c r="O144" s="1" t="s">
        <v>45</v>
      </c>
      <c r="P144" s="1">
        <v>6962</v>
      </c>
      <c r="Q144" s="1">
        <v>0.16</v>
      </c>
      <c r="R144" s="1">
        <v>0.19</v>
      </c>
      <c r="S144" s="1">
        <v>0</v>
      </c>
      <c r="T144" s="1">
        <v>18</v>
      </c>
      <c r="U144" s="1">
        <v>1</v>
      </c>
      <c r="V144" s="1">
        <v>1</v>
      </c>
      <c r="W144" s="1" t="s">
        <v>1</v>
      </c>
      <c r="X144" s="1" t="s">
        <v>2</v>
      </c>
      <c r="Y144" s="2">
        <v>45954.434861111113</v>
      </c>
      <c r="Z144" s="1">
        <v>1555</v>
      </c>
      <c r="AA144" t="str">
        <f>+VLOOKUP(O144,'[1]Ventas_odoo Interface'!$E:$AP,38,0)</f>
        <v>F F002-00031007</v>
      </c>
    </row>
    <row r="145" spans="1:27" ht="15" customHeight="1" x14ac:dyDescent="0.25">
      <c r="A145" s="1">
        <v>718</v>
      </c>
      <c r="B145" s="1">
        <v>20250525</v>
      </c>
      <c r="C145" s="1">
        <v>20250525</v>
      </c>
      <c r="D145" s="1"/>
      <c r="E145" s="1">
        <v>1895</v>
      </c>
      <c r="F145" s="1">
        <v>1000</v>
      </c>
      <c r="G145" s="1">
        <v>161.02000000000001</v>
      </c>
      <c r="H145" s="1">
        <v>5</v>
      </c>
      <c r="I145" s="1">
        <v>190</v>
      </c>
      <c r="J145" s="1">
        <v>100</v>
      </c>
      <c r="K145" s="1">
        <v>28565</v>
      </c>
      <c r="L145" s="1">
        <v>28.98</v>
      </c>
      <c r="M145" s="1">
        <v>1</v>
      </c>
      <c r="N145" s="1">
        <v>0</v>
      </c>
      <c r="O145" s="1" t="s">
        <v>45</v>
      </c>
      <c r="P145" s="1">
        <v>6962</v>
      </c>
      <c r="Q145" s="1">
        <v>0.16</v>
      </c>
      <c r="R145" s="1">
        <v>0.19</v>
      </c>
      <c r="S145" s="1">
        <v>0</v>
      </c>
      <c r="T145" s="1">
        <v>18</v>
      </c>
      <c r="U145" s="1">
        <v>1</v>
      </c>
      <c r="V145" s="1">
        <v>1</v>
      </c>
      <c r="W145" s="1" t="s">
        <v>1</v>
      </c>
      <c r="X145" s="1" t="s">
        <v>2</v>
      </c>
      <c r="Y145" s="2">
        <v>45954.434861111113</v>
      </c>
      <c r="Z145" s="1">
        <v>1555</v>
      </c>
      <c r="AA145" t="str">
        <f>+VLOOKUP(O145,'[1]Ventas_odoo Interface'!$E:$AP,38,0)</f>
        <v>F F002-00031007</v>
      </c>
    </row>
    <row r="146" spans="1:27" ht="15" customHeight="1" x14ac:dyDescent="0.25">
      <c r="A146" s="1">
        <v>719</v>
      </c>
      <c r="B146" s="1">
        <v>20250525</v>
      </c>
      <c r="C146" s="1">
        <v>20250525</v>
      </c>
      <c r="D146" s="1"/>
      <c r="E146" s="1">
        <v>1895</v>
      </c>
      <c r="F146" s="1">
        <v>1000</v>
      </c>
      <c r="G146" s="1">
        <v>161.02000000000001</v>
      </c>
      <c r="H146" s="1">
        <v>5</v>
      </c>
      <c r="I146" s="1">
        <v>190</v>
      </c>
      <c r="J146" s="1">
        <v>100</v>
      </c>
      <c r="K146" s="1">
        <v>28566</v>
      </c>
      <c r="L146" s="1">
        <v>28.98</v>
      </c>
      <c r="M146" s="1">
        <v>1</v>
      </c>
      <c r="N146" s="1">
        <v>0</v>
      </c>
      <c r="O146" s="1" t="s">
        <v>45</v>
      </c>
      <c r="P146" s="1">
        <v>6962</v>
      </c>
      <c r="Q146" s="1">
        <v>0.16</v>
      </c>
      <c r="R146" s="1">
        <v>0.19</v>
      </c>
      <c r="S146" s="1">
        <v>0</v>
      </c>
      <c r="T146" s="1">
        <v>18</v>
      </c>
      <c r="U146" s="1">
        <v>1</v>
      </c>
      <c r="V146" s="1">
        <v>1</v>
      </c>
      <c r="W146" s="1" t="s">
        <v>1</v>
      </c>
      <c r="X146" s="1" t="s">
        <v>2</v>
      </c>
      <c r="Y146" s="2">
        <v>45954.434861111113</v>
      </c>
      <c r="Z146" s="1">
        <v>1555</v>
      </c>
      <c r="AA146" t="str">
        <f>+VLOOKUP(O146,'[1]Ventas_odoo Interface'!$E:$AP,38,0)</f>
        <v>F F002-00031007</v>
      </c>
    </row>
    <row r="147" spans="1:27" ht="15" customHeight="1" x14ac:dyDescent="0.25">
      <c r="A147" s="1">
        <v>720</v>
      </c>
      <c r="B147" s="1">
        <v>20250525</v>
      </c>
      <c r="C147" s="1">
        <v>20250525</v>
      </c>
      <c r="D147" s="1"/>
      <c r="E147" s="1">
        <v>1895</v>
      </c>
      <c r="F147" s="1">
        <v>1000</v>
      </c>
      <c r="G147" s="1">
        <v>161.02000000000001</v>
      </c>
      <c r="H147" s="1">
        <v>5</v>
      </c>
      <c r="I147" s="1">
        <v>190</v>
      </c>
      <c r="J147" s="1">
        <v>100</v>
      </c>
      <c r="K147" s="1">
        <v>28567</v>
      </c>
      <c r="L147" s="1">
        <v>28.98</v>
      </c>
      <c r="M147" s="1">
        <v>1</v>
      </c>
      <c r="N147" s="1">
        <v>0</v>
      </c>
      <c r="O147" s="1" t="s">
        <v>45</v>
      </c>
      <c r="P147" s="1">
        <v>6962</v>
      </c>
      <c r="Q147" s="1">
        <v>0.16</v>
      </c>
      <c r="R147" s="1">
        <v>0.19</v>
      </c>
      <c r="S147" s="1">
        <v>0</v>
      </c>
      <c r="T147" s="1">
        <v>18</v>
      </c>
      <c r="U147" s="1">
        <v>1</v>
      </c>
      <c r="V147" s="1">
        <v>1</v>
      </c>
      <c r="W147" s="1" t="s">
        <v>1</v>
      </c>
      <c r="X147" s="1" t="s">
        <v>2</v>
      </c>
      <c r="Y147" s="2">
        <v>45954.434861111113</v>
      </c>
      <c r="Z147" s="1">
        <v>1555</v>
      </c>
      <c r="AA147" t="str">
        <f>+VLOOKUP(O147,'[1]Ventas_odoo Interface'!$E:$AP,38,0)</f>
        <v>F F002-00031007</v>
      </c>
    </row>
    <row r="148" spans="1:27" ht="15" customHeight="1" x14ac:dyDescent="0.25">
      <c r="A148" s="1">
        <v>721</v>
      </c>
      <c r="B148" s="1">
        <v>20250523</v>
      </c>
      <c r="C148" s="1">
        <v>20250523</v>
      </c>
      <c r="D148" s="1"/>
      <c r="E148" s="1">
        <v>1855</v>
      </c>
      <c r="F148" s="1">
        <v>1</v>
      </c>
      <c r="G148" s="1">
        <v>500</v>
      </c>
      <c r="H148" s="1">
        <v>5</v>
      </c>
      <c r="I148" s="1">
        <v>500</v>
      </c>
      <c r="J148" s="1">
        <v>100</v>
      </c>
      <c r="K148" s="1">
        <v>28546</v>
      </c>
      <c r="L148" s="1">
        <v>0</v>
      </c>
      <c r="M148" s="1">
        <v>1</v>
      </c>
      <c r="N148" s="1">
        <v>0</v>
      </c>
      <c r="O148" s="1" t="s">
        <v>46</v>
      </c>
      <c r="P148" s="1">
        <v>877</v>
      </c>
      <c r="Q148" s="1">
        <v>500</v>
      </c>
      <c r="R148" s="1">
        <v>500</v>
      </c>
      <c r="S148" s="1">
        <v>0</v>
      </c>
      <c r="T148" s="1">
        <v>0</v>
      </c>
      <c r="U148" s="1">
        <v>1</v>
      </c>
      <c r="V148" s="1">
        <v>1</v>
      </c>
      <c r="W148" s="1" t="s">
        <v>1</v>
      </c>
      <c r="X148" s="1" t="s">
        <v>2</v>
      </c>
      <c r="Y148" s="2">
        <v>45954.434861111113</v>
      </c>
      <c r="Z148" s="1">
        <v>1786</v>
      </c>
      <c r="AA148" t="str">
        <f>+VLOOKUP(O148,'[1]Ventas_odoo Interface'!$E:$AP,38,0)</f>
        <v>R E001 15</v>
      </c>
    </row>
    <row r="149" spans="1:27" ht="15" customHeight="1" x14ac:dyDescent="0.25">
      <c r="A149" s="1">
        <v>722</v>
      </c>
      <c r="B149" s="1">
        <v>20250522</v>
      </c>
      <c r="C149" s="1">
        <v>20250522</v>
      </c>
      <c r="D149" s="1"/>
      <c r="E149" s="1">
        <v>1894</v>
      </c>
      <c r="F149" s="1">
        <v>3000</v>
      </c>
      <c r="G149" s="1">
        <v>498.31</v>
      </c>
      <c r="H149" s="1">
        <v>5</v>
      </c>
      <c r="I149" s="1">
        <v>588</v>
      </c>
      <c r="J149" s="1">
        <v>100</v>
      </c>
      <c r="K149" s="1">
        <v>28550</v>
      </c>
      <c r="L149" s="1">
        <v>89.69</v>
      </c>
      <c r="M149" s="1">
        <v>1</v>
      </c>
      <c r="N149" s="1">
        <v>0</v>
      </c>
      <c r="O149" s="1" t="s">
        <v>47</v>
      </c>
      <c r="P149" s="1">
        <v>6962</v>
      </c>
      <c r="Q149" s="1">
        <v>0.17</v>
      </c>
      <c r="R149" s="1">
        <v>0.2</v>
      </c>
      <c r="S149" s="1">
        <v>0</v>
      </c>
      <c r="T149" s="1">
        <v>18</v>
      </c>
      <c r="U149" s="1">
        <v>1</v>
      </c>
      <c r="V149" s="1">
        <v>1</v>
      </c>
      <c r="W149" s="1" t="s">
        <v>1</v>
      </c>
      <c r="X149" s="1" t="s">
        <v>2</v>
      </c>
      <c r="Y149" s="2">
        <v>45954.434861111113</v>
      </c>
      <c r="Z149" s="1">
        <v>762</v>
      </c>
      <c r="AA149" t="str">
        <f>+VLOOKUP(O149,'[1]Ventas_odoo Interface'!$E:$AP,38,0)</f>
        <v>F F001-00008887</v>
      </c>
    </row>
    <row r="150" spans="1:27" ht="15" customHeight="1" x14ac:dyDescent="0.25">
      <c r="A150" s="1">
        <v>723</v>
      </c>
      <c r="B150" s="1">
        <v>20250522</v>
      </c>
      <c r="C150" s="1">
        <v>20250522</v>
      </c>
      <c r="D150" s="1"/>
      <c r="E150" s="1">
        <v>1894</v>
      </c>
      <c r="F150" s="1">
        <v>2000</v>
      </c>
      <c r="G150" s="1">
        <v>498.31</v>
      </c>
      <c r="H150" s="1">
        <v>5</v>
      </c>
      <c r="I150" s="1">
        <v>588</v>
      </c>
      <c r="J150" s="1">
        <v>100</v>
      </c>
      <c r="K150" s="1">
        <v>28551</v>
      </c>
      <c r="L150" s="1">
        <v>89.69</v>
      </c>
      <c r="M150" s="1">
        <v>1</v>
      </c>
      <c r="N150" s="1">
        <v>0</v>
      </c>
      <c r="O150" s="1" t="s">
        <v>47</v>
      </c>
      <c r="P150" s="1">
        <v>6962</v>
      </c>
      <c r="Q150" s="1">
        <v>0.25</v>
      </c>
      <c r="R150" s="1">
        <v>0.28999999999999998</v>
      </c>
      <c r="S150" s="1">
        <v>0</v>
      </c>
      <c r="T150" s="1">
        <v>18</v>
      </c>
      <c r="U150" s="1">
        <v>1</v>
      </c>
      <c r="V150" s="1">
        <v>1</v>
      </c>
      <c r="W150" s="1" t="s">
        <v>1</v>
      </c>
      <c r="X150" s="1" t="s">
        <v>2</v>
      </c>
      <c r="Y150" s="2">
        <v>45954.434861111113</v>
      </c>
      <c r="Z150" s="1">
        <v>762</v>
      </c>
      <c r="AA150" t="str">
        <f>+VLOOKUP(O150,'[1]Ventas_odoo Interface'!$E:$AP,38,0)</f>
        <v>F F001-00008887</v>
      </c>
    </row>
    <row r="151" spans="1:27" ht="15" customHeight="1" x14ac:dyDescent="0.25">
      <c r="A151" s="1">
        <v>724</v>
      </c>
      <c r="B151" s="1">
        <v>20250522</v>
      </c>
      <c r="C151" s="1">
        <v>20250522</v>
      </c>
      <c r="D151" s="1"/>
      <c r="E151" s="1">
        <v>1894</v>
      </c>
      <c r="F151" s="1">
        <v>1000</v>
      </c>
      <c r="G151" s="1">
        <v>169.49</v>
      </c>
      <c r="H151" s="1">
        <v>5</v>
      </c>
      <c r="I151" s="1">
        <v>200</v>
      </c>
      <c r="J151" s="1">
        <v>100</v>
      </c>
      <c r="K151" s="1">
        <v>28552</v>
      </c>
      <c r="L151" s="1">
        <v>30.51</v>
      </c>
      <c r="M151" s="1">
        <v>1</v>
      </c>
      <c r="N151" s="1">
        <v>0</v>
      </c>
      <c r="O151" s="1" t="s">
        <v>47</v>
      </c>
      <c r="P151" s="1">
        <v>6962</v>
      </c>
      <c r="Q151" s="1">
        <v>0.17</v>
      </c>
      <c r="R151" s="1">
        <v>0.2</v>
      </c>
      <c r="S151" s="1">
        <v>0</v>
      </c>
      <c r="T151" s="1">
        <v>18</v>
      </c>
      <c r="U151" s="1">
        <v>1</v>
      </c>
      <c r="V151" s="1">
        <v>1</v>
      </c>
      <c r="W151" s="1" t="s">
        <v>1</v>
      </c>
      <c r="X151" s="1" t="s">
        <v>2</v>
      </c>
      <c r="Y151" s="2">
        <v>45954.434861111113</v>
      </c>
      <c r="Z151" s="1">
        <v>762</v>
      </c>
      <c r="AA151" t="str">
        <f>+VLOOKUP(O151,'[1]Ventas_odoo Interface'!$E:$AP,38,0)</f>
        <v>F F001-00008887</v>
      </c>
    </row>
    <row r="152" spans="1:27" ht="15" customHeight="1" x14ac:dyDescent="0.25">
      <c r="A152" s="1">
        <v>725</v>
      </c>
      <c r="B152" s="1">
        <v>20250522</v>
      </c>
      <c r="C152" s="1">
        <v>20250522</v>
      </c>
      <c r="D152" s="1"/>
      <c r="E152" s="1">
        <v>1894</v>
      </c>
      <c r="F152" s="1">
        <v>1000</v>
      </c>
      <c r="G152" s="1">
        <v>169.49</v>
      </c>
      <c r="H152" s="1">
        <v>5</v>
      </c>
      <c r="I152" s="1">
        <v>200</v>
      </c>
      <c r="J152" s="1">
        <v>100</v>
      </c>
      <c r="K152" s="1">
        <v>28553</v>
      </c>
      <c r="L152" s="1">
        <v>30.51</v>
      </c>
      <c r="M152" s="1">
        <v>1</v>
      </c>
      <c r="N152" s="1">
        <v>0</v>
      </c>
      <c r="O152" s="1" t="s">
        <v>47</v>
      </c>
      <c r="P152" s="1">
        <v>6962</v>
      </c>
      <c r="Q152" s="1">
        <v>0.17</v>
      </c>
      <c r="R152" s="1">
        <v>0.2</v>
      </c>
      <c r="S152" s="1">
        <v>0</v>
      </c>
      <c r="T152" s="1">
        <v>18</v>
      </c>
      <c r="U152" s="1">
        <v>1</v>
      </c>
      <c r="V152" s="1">
        <v>1</v>
      </c>
      <c r="W152" s="1" t="s">
        <v>1</v>
      </c>
      <c r="X152" s="1" t="s">
        <v>2</v>
      </c>
      <c r="Y152" s="2">
        <v>45954.434861111113</v>
      </c>
      <c r="Z152" s="1">
        <v>762</v>
      </c>
      <c r="AA152" t="str">
        <f>+VLOOKUP(O152,'[1]Ventas_odoo Interface'!$E:$AP,38,0)</f>
        <v>F F001-00008887</v>
      </c>
    </row>
    <row r="153" spans="1:27" ht="15" customHeight="1" x14ac:dyDescent="0.25">
      <c r="A153" s="1">
        <v>726</v>
      </c>
      <c r="B153" s="1">
        <v>20250522</v>
      </c>
      <c r="C153" s="1">
        <v>20250522</v>
      </c>
      <c r="D153" s="1"/>
      <c r="E153" s="1">
        <v>1894</v>
      </c>
      <c r="F153" s="1">
        <v>1000</v>
      </c>
      <c r="G153" s="1">
        <v>169.49</v>
      </c>
      <c r="H153" s="1">
        <v>5</v>
      </c>
      <c r="I153" s="1">
        <v>200</v>
      </c>
      <c r="J153" s="1">
        <v>100</v>
      </c>
      <c r="K153" s="1">
        <v>28554</v>
      </c>
      <c r="L153" s="1">
        <v>30.51</v>
      </c>
      <c r="M153" s="1">
        <v>1</v>
      </c>
      <c r="N153" s="1">
        <v>0</v>
      </c>
      <c r="O153" s="1" t="s">
        <v>47</v>
      </c>
      <c r="P153" s="1">
        <v>6962</v>
      </c>
      <c r="Q153" s="1">
        <v>0.17</v>
      </c>
      <c r="R153" s="1">
        <v>0.2</v>
      </c>
      <c r="S153" s="1">
        <v>0</v>
      </c>
      <c r="T153" s="1">
        <v>18</v>
      </c>
      <c r="U153" s="1">
        <v>1</v>
      </c>
      <c r="V153" s="1">
        <v>1</v>
      </c>
      <c r="W153" s="1" t="s">
        <v>1</v>
      </c>
      <c r="X153" s="1" t="s">
        <v>2</v>
      </c>
      <c r="Y153" s="2">
        <v>45954.434861111113</v>
      </c>
      <c r="Z153" s="1">
        <v>762</v>
      </c>
      <c r="AA153" t="str">
        <f>+VLOOKUP(O153,'[1]Ventas_odoo Interface'!$E:$AP,38,0)</f>
        <v>F F001-00008887</v>
      </c>
    </row>
    <row r="154" spans="1:27" ht="15" customHeight="1" x14ac:dyDescent="0.25">
      <c r="A154" s="1">
        <v>727</v>
      </c>
      <c r="B154" s="1">
        <v>20250522</v>
      </c>
      <c r="C154" s="1">
        <v>20250522</v>
      </c>
      <c r="D154" s="1"/>
      <c r="E154" s="1">
        <v>1894</v>
      </c>
      <c r="F154" s="1">
        <v>500</v>
      </c>
      <c r="G154" s="1">
        <v>92.37</v>
      </c>
      <c r="H154" s="1">
        <v>5</v>
      </c>
      <c r="I154" s="1">
        <v>109</v>
      </c>
      <c r="J154" s="1">
        <v>100</v>
      </c>
      <c r="K154" s="1">
        <v>28555</v>
      </c>
      <c r="L154" s="1">
        <v>16.63</v>
      </c>
      <c r="M154" s="1">
        <v>1</v>
      </c>
      <c r="N154" s="1">
        <v>0</v>
      </c>
      <c r="O154" s="1" t="s">
        <v>47</v>
      </c>
      <c r="P154" s="1">
        <v>6962</v>
      </c>
      <c r="Q154" s="1">
        <v>0.18</v>
      </c>
      <c r="R154" s="1">
        <v>0.22</v>
      </c>
      <c r="S154" s="1">
        <v>0</v>
      </c>
      <c r="T154" s="1">
        <v>18</v>
      </c>
      <c r="U154" s="1">
        <v>1</v>
      </c>
      <c r="V154" s="1">
        <v>1</v>
      </c>
      <c r="W154" s="1" t="s">
        <v>1</v>
      </c>
      <c r="X154" s="1" t="s">
        <v>2</v>
      </c>
      <c r="Y154" s="2">
        <v>45954.434872685182</v>
      </c>
      <c r="Z154" s="1">
        <v>762</v>
      </c>
      <c r="AA154" t="str">
        <f>+VLOOKUP(O154,'[1]Ventas_odoo Interface'!$E:$AP,38,0)</f>
        <v>F F001-00008887</v>
      </c>
    </row>
    <row r="155" spans="1:27" ht="15" customHeight="1" x14ac:dyDescent="0.25">
      <c r="A155" s="1">
        <v>728</v>
      </c>
      <c r="B155" s="1">
        <v>20250522</v>
      </c>
      <c r="C155" s="1">
        <v>20250522</v>
      </c>
      <c r="D155" s="1"/>
      <c r="E155" s="1">
        <v>1894</v>
      </c>
      <c r="F155" s="1">
        <v>500</v>
      </c>
      <c r="G155" s="1">
        <v>93.22</v>
      </c>
      <c r="H155" s="1">
        <v>5</v>
      </c>
      <c r="I155" s="1">
        <v>110</v>
      </c>
      <c r="J155" s="1">
        <v>100</v>
      </c>
      <c r="K155" s="1">
        <v>28556</v>
      </c>
      <c r="L155" s="1">
        <v>16.78</v>
      </c>
      <c r="M155" s="1">
        <v>1</v>
      </c>
      <c r="N155" s="1">
        <v>0</v>
      </c>
      <c r="O155" s="1" t="s">
        <v>47</v>
      </c>
      <c r="P155" s="1">
        <v>6962</v>
      </c>
      <c r="Q155" s="1">
        <v>0.19</v>
      </c>
      <c r="R155" s="1">
        <v>0.22</v>
      </c>
      <c r="S155" s="1">
        <v>0</v>
      </c>
      <c r="T155" s="1">
        <v>18</v>
      </c>
      <c r="U155" s="1">
        <v>1</v>
      </c>
      <c r="V155" s="1">
        <v>1</v>
      </c>
      <c r="W155" s="1" t="s">
        <v>1</v>
      </c>
      <c r="X155" s="1" t="s">
        <v>2</v>
      </c>
      <c r="Y155" s="2">
        <v>45954.434872685182</v>
      </c>
      <c r="Z155" s="1">
        <v>762</v>
      </c>
      <c r="AA155" t="str">
        <f>+VLOOKUP(O155,'[1]Ventas_odoo Interface'!$E:$AP,38,0)</f>
        <v>F F001-00008887</v>
      </c>
    </row>
    <row r="156" spans="1:27" ht="15" customHeight="1" x14ac:dyDescent="0.25">
      <c r="A156" s="1">
        <v>729</v>
      </c>
      <c r="B156" s="1">
        <v>20250522</v>
      </c>
      <c r="C156" s="1">
        <v>20250522</v>
      </c>
      <c r="D156" s="1"/>
      <c r="E156" s="1">
        <v>1894</v>
      </c>
      <c r="F156" s="1">
        <v>1000</v>
      </c>
      <c r="G156" s="1">
        <v>131.36000000000001</v>
      </c>
      <c r="H156" s="1">
        <v>5</v>
      </c>
      <c r="I156" s="1">
        <v>155</v>
      </c>
      <c r="J156" s="1">
        <v>100</v>
      </c>
      <c r="K156" s="1">
        <v>28557</v>
      </c>
      <c r="L156" s="1">
        <v>23.64</v>
      </c>
      <c r="M156" s="1">
        <v>1</v>
      </c>
      <c r="N156" s="1">
        <v>0</v>
      </c>
      <c r="O156" s="1" t="s">
        <v>47</v>
      </c>
      <c r="P156" s="1">
        <v>6962</v>
      </c>
      <c r="Q156" s="1">
        <v>0.13</v>
      </c>
      <c r="R156" s="1">
        <v>0.16</v>
      </c>
      <c r="S156" s="1">
        <v>0</v>
      </c>
      <c r="T156" s="1">
        <v>18</v>
      </c>
      <c r="U156" s="1">
        <v>1</v>
      </c>
      <c r="V156" s="1">
        <v>1</v>
      </c>
      <c r="W156" s="1" t="s">
        <v>1</v>
      </c>
      <c r="X156" s="1" t="s">
        <v>2</v>
      </c>
      <c r="Y156" s="2">
        <v>45954.434872685182</v>
      </c>
      <c r="Z156" s="1">
        <v>762</v>
      </c>
      <c r="AA156" t="str">
        <f>+VLOOKUP(O156,'[1]Ventas_odoo Interface'!$E:$AP,38,0)</f>
        <v>F F001-00008887</v>
      </c>
    </row>
    <row r="157" spans="1:27" ht="15" customHeight="1" x14ac:dyDescent="0.25">
      <c r="A157" s="1">
        <v>730</v>
      </c>
      <c r="B157" s="1">
        <v>20250522</v>
      </c>
      <c r="C157" s="1">
        <v>20250522</v>
      </c>
      <c r="D157" s="1"/>
      <c r="E157" s="1">
        <v>1894</v>
      </c>
      <c r="F157" s="1">
        <v>1000</v>
      </c>
      <c r="G157" s="1">
        <v>131.36000000000001</v>
      </c>
      <c r="H157" s="1">
        <v>5</v>
      </c>
      <c r="I157" s="1">
        <v>155</v>
      </c>
      <c r="J157" s="1">
        <v>100</v>
      </c>
      <c r="K157" s="1">
        <v>28558</v>
      </c>
      <c r="L157" s="1">
        <v>23.64</v>
      </c>
      <c r="M157" s="1">
        <v>1</v>
      </c>
      <c r="N157" s="1">
        <v>0</v>
      </c>
      <c r="O157" s="1" t="s">
        <v>47</v>
      </c>
      <c r="P157" s="1">
        <v>6962</v>
      </c>
      <c r="Q157" s="1">
        <v>0.13</v>
      </c>
      <c r="R157" s="1">
        <v>0.16</v>
      </c>
      <c r="S157" s="1">
        <v>0</v>
      </c>
      <c r="T157" s="1">
        <v>18</v>
      </c>
      <c r="U157" s="1">
        <v>1</v>
      </c>
      <c r="V157" s="1">
        <v>1</v>
      </c>
      <c r="W157" s="1" t="s">
        <v>1</v>
      </c>
      <c r="X157" s="1" t="s">
        <v>2</v>
      </c>
      <c r="Y157" s="2">
        <v>45954.434872685182</v>
      </c>
      <c r="Z157" s="1">
        <v>762</v>
      </c>
      <c r="AA157" t="str">
        <f>+VLOOKUP(O157,'[1]Ventas_odoo Interface'!$E:$AP,38,0)</f>
        <v>F F001-00008887</v>
      </c>
    </row>
    <row r="158" spans="1:27" ht="15" customHeight="1" x14ac:dyDescent="0.25">
      <c r="A158" s="1">
        <v>731</v>
      </c>
      <c r="B158" s="1">
        <v>20250522</v>
      </c>
      <c r="C158" s="1">
        <v>20250522</v>
      </c>
      <c r="D158" s="1"/>
      <c r="E158" s="1">
        <v>1894</v>
      </c>
      <c r="F158" s="1">
        <v>500</v>
      </c>
      <c r="G158" s="1">
        <v>131.36000000000001</v>
      </c>
      <c r="H158" s="1">
        <v>5</v>
      </c>
      <c r="I158" s="1">
        <v>155</v>
      </c>
      <c r="J158" s="1">
        <v>100</v>
      </c>
      <c r="K158" s="1">
        <v>28559</v>
      </c>
      <c r="L158" s="1">
        <v>23.64</v>
      </c>
      <c r="M158" s="1">
        <v>1</v>
      </c>
      <c r="N158" s="1">
        <v>0</v>
      </c>
      <c r="O158" s="1" t="s">
        <v>47</v>
      </c>
      <c r="P158" s="1">
        <v>6962</v>
      </c>
      <c r="Q158" s="1">
        <v>0.26</v>
      </c>
      <c r="R158" s="1">
        <v>0.31</v>
      </c>
      <c r="S158" s="1">
        <v>0</v>
      </c>
      <c r="T158" s="1">
        <v>18</v>
      </c>
      <c r="U158" s="1">
        <v>1</v>
      </c>
      <c r="V158" s="1">
        <v>1</v>
      </c>
      <c r="W158" s="1" t="s">
        <v>1</v>
      </c>
      <c r="X158" s="1" t="s">
        <v>2</v>
      </c>
      <c r="Y158" s="2">
        <v>45954.434872685182</v>
      </c>
      <c r="Z158" s="1">
        <v>762</v>
      </c>
      <c r="AA158" t="str">
        <f>+VLOOKUP(O158,'[1]Ventas_odoo Interface'!$E:$AP,38,0)</f>
        <v>F F001-00008887</v>
      </c>
    </row>
    <row r="159" spans="1:27" ht="15" customHeight="1" x14ac:dyDescent="0.25">
      <c r="A159" s="1">
        <v>732</v>
      </c>
      <c r="B159" s="1">
        <v>20250522</v>
      </c>
      <c r="C159" s="1">
        <v>20250522</v>
      </c>
      <c r="D159" s="1"/>
      <c r="E159" s="1">
        <v>1894</v>
      </c>
      <c r="F159" s="1">
        <v>500</v>
      </c>
      <c r="G159" s="1">
        <v>131.36000000000001</v>
      </c>
      <c r="H159" s="1">
        <v>5</v>
      </c>
      <c r="I159" s="1">
        <v>155</v>
      </c>
      <c r="J159" s="1">
        <v>100</v>
      </c>
      <c r="K159" s="1">
        <v>28560</v>
      </c>
      <c r="L159" s="1">
        <v>23.64</v>
      </c>
      <c r="M159" s="1">
        <v>1</v>
      </c>
      <c r="N159" s="1">
        <v>0</v>
      </c>
      <c r="O159" s="1" t="s">
        <v>47</v>
      </c>
      <c r="P159" s="1">
        <v>6962</v>
      </c>
      <c r="Q159" s="1">
        <v>0.26</v>
      </c>
      <c r="R159" s="1">
        <v>0.31</v>
      </c>
      <c r="S159" s="1">
        <v>0</v>
      </c>
      <c r="T159" s="1">
        <v>18</v>
      </c>
      <c r="U159" s="1">
        <v>1</v>
      </c>
      <c r="V159" s="1">
        <v>1</v>
      </c>
      <c r="W159" s="1" t="s">
        <v>1</v>
      </c>
      <c r="X159" s="1" t="s">
        <v>2</v>
      </c>
      <c r="Y159" s="2">
        <v>45954.434872685182</v>
      </c>
      <c r="Z159" s="1">
        <v>762</v>
      </c>
      <c r="AA159" t="str">
        <f>+VLOOKUP(O159,'[1]Ventas_odoo Interface'!$E:$AP,38,0)</f>
        <v>F F001-00008887</v>
      </c>
    </row>
    <row r="160" spans="1:27" ht="15" customHeight="1" x14ac:dyDescent="0.25">
      <c r="A160" s="1">
        <v>733</v>
      </c>
      <c r="B160" s="1">
        <v>20250522</v>
      </c>
      <c r="C160" s="1">
        <v>20250522</v>
      </c>
      <c r="D160" s="1"/>
      <c r="E160" s="1">
        <v>1894</v>
      </c>
      <c r="F160" s="1">
        <v>3000</v>
      </c>
      <c r="G160" s="1">
        <v>508.47</v>
      </c>
      <c r="H160" s="1">
        <v>5</v>
      </c>
      <c r="I160" s="1">
        <v>600</v>
      </c>
      <c r="J160" s="1">
        <v>100</v>
      </c>
      <c r="K160" s="1">
        <v>28561</v>
      </c>
      <c r="L160" s="1">
        <v>91.53</v>
      </c>
      <c r="M160" s="1">
        <v>1</v>
      </c>
      <c r="N160" s="1">
        <v>0</v>
      </c>
      <c r="O160" s="1" t="s">
        <v>47</v>
      </c>
      <c r="P160" s="1">
        <v>6962</v>
      </c>
      <c r="Q160" s="1">
        <v>0.17</v>
      </c>
      <c r="R160" s="1">
        <v>0.2</v>
      </c>
      <c r="S160" s="1">
        <v>0</v>
      </c>
      <c r="T160" s="1">
        <v>18</v>
      </c>
      <c r="U160" s="1">
        <v>1</v>
      </c>
      <c r="V160" s="1">
        <v>1</v>
      </c>
      <c r="W160" s="1" t="s">
        <v>1</v>
      </c>
      <c r="X160" s="1" t="s">
        <v>2</v>
      </c>
      <c r="Y160" s="2">
        <v>45954.434872685182</v>
      </c>
      <c r="Z160" s="1">
        <v>762</v>
      </c>
      <c r="AA160" t="str">
        <f>+VLOOKUP(O160,'[1]Ventas_odoo Interface'!$E:$AP,38,0)</f>
        <v>F F001-00008887</v>
      </c>
    </row>
    <row r="161" spans="1:27" ht="15" customHeight="1" x14ac:dyDescent="0.25">
      <c r="A161" s="1">
        <v>734</v>
      </c>
      <c r="B161" s="1">
        <v>20250520</v>
      </c>
      <c r="C161" s="1">
        <v>20250520</v>
      </c>
      <c r="D161" s="1"/>
      <c r="E161" s="1">
        <v>1893</v>
      </c>
      <c r="F161" s="1">
        <v>1</v>
      </c>
      <c r="G161" s="1">
        <v>169.49</v>
      </c>
      <c r="H161" s="1">
        <v>5</v>
      </c>
      <c r="I161" s="1">
        <v>200</v>
      </c>
      <c r="J161" s="1">
        <v>100</v>
      </c>
      <c r="K161" s="1">
        <v>28539</v>
      </c>
      <c r="L161" s="1">
        <v>30.51</v>
      </c>
      <c r="M161" s="1">
        <v>1</v>
      </c>
      <c r="N161" s="1">
        <v>0</v>
      </c>
      <c r="O161" s="1" t="s">
        <v>48</v>
      </c>
      <c r="P161" s="1">
        <v>6328</v>
      </c>
      <c r="Q161" s="1">
        <v>169.49</v>
      </c>
      <c r="R161" s="1">
        <v>200</v>
      </c>
      <c r="S161" s="1">
        <v>0</v>
      </c>
      <c r="T161" s="1">
        <v>18</v>
      </c>
      <c r="U161" s="1">
        <v>1</v>
      </c>
      <c r="V161" s="1">
        <v>1</v>
      </c>
      <c r="W161" s="1" t="s">
        <v>1</v>
      </c>
      <c r="X161" s="1" t="s">
        <v>2</v>
      </c>
      <c r="Y161" s="2">
        <v>45954.434872685182</v>
      </c>
      <c r="Z161" s="1">
        <v>1806</v>
      </c>
      <c r="AA161" t="str">
        <f>+VLOOKUP(O161,'[1]Ventas_odoo Interface'!$E:$AP,38,0)</f>
        <v>R 10412704113</v>
      </c>
    </row>
    <row r="162" spans="1:27" ht="15" customHeight="1" x14ac:dyDescent="0.25">
      <c r="A162" s="1">
        <v>735</v>
      </c>
      <c r="B162" s="1">
        <v>20250520</v>
      </c>
      <c r="C162" s="1">
        <v>20250520</v>
      </c>
      <c r="D162" s="1"/>
      <c r="E162" s="1">
        <v>1808</v>
      </c>
      <c r="F162" s="1">
        <v>1</v>
      </c>
      <c r="G162" s="1">
        <v>240</v>
      </c>
      <c r="H162" s="1">
        <v>2</v>
      </c>
      <c r="I162" s="1">
        <v>240</v>
      </c>
      <c r="J162" s="1">
        <v>100</v>
      </c>
      <c r="K162" s="1">
        <v>28537</v>
      </c>
      <c r="L162" s="1">
        <v>0</v>
      </c>
      <c r="M162" s="1">
        <v>1</v>
      </c>
      <c r="N162" s="1">
        <v>0</v>
      </c>
      <c r="O162" s="1" t="s">
        <v>49</v>
      </c>
      <c r="P162" s="1">
        <v>877</v>
      </c>
      <c r="Q162" s="1">
        <v>240</v>
      </c>
      <c r="R162" s="1">
        <v>240</v>
      </c>
      <c r="S162" s="1">
        <v>0</v>
      </c>
      <c r="T162" s="1">
        <v>0</v>
      </c>
      <c r="U162" s="1">
        <v>1</v>
      </c>
      <c r="V162" s="1">
        <v>1</v>
      </c>
      <c r="W162" s="1" t="s">
        <v>1</v>
      </c>
      <c r="X162" s="1" t="s">
        <v>2</v>
      </c>
      <c r="Y162" s="2">
        <v>45954.434872685182</v>
      </c>
      <c r="Z162" s="1">
        <v>1642</v>
      </c>
      <c r="AA162" t="str">
        <f>+VLOOKUP(O162,'[1]Ventas_odoo Interface'!$E:$AP,38,0)</f>
        <v>R E001-22</v>
      </c>
    </row>
    <row r="163" spans="1:27" ht="15" customHeight="1" x14ac:dyDescent="0.25">
      <c r="A163" s="1">
        <v>736</v>
      </c>
      <c r="B163" s="1">
        <v>20250518</v>
      </c>
      <c r="C163" s="1">
        <v>20250518</v>
      </c>
      <c r="D163" s="1"/>
      <c r="E163" s="1">
        <v>1881</v>
      </c>
      <c r="F163" s="1">
        <v>12</v>
      </c>
      <c r="G163" s="1">
        <v>336</v>
      </c>
      <c r="H163" s="1">
        <v>5</v>
      </c>
      <c r="I163" s="1">
        <v>396.48</v>
      </c>
      <c r="J163" s="1">
        <v>100</v>
      </c>
      <c r="K163" s="1">
        <v>28516</v>
      </c>
      <c r="L163" s="1">
        <v>60.48</v>
      </c>
      <c r="M163" s="1">
        <v>1</v>
      </c>
      <c r="N163" s="1">
        <v>0</v>
      </c>
      <c r="O163" s="1" t="s">
        <v>50</v>
      </c>
      <c r="P163" s="1">
        <v>6743</v>
      </c>
      <c r="Q163" s="1">
        <v>28</v>
      </c>
      <c r="R163" s="1">
        <v>33.04</v>
      </c>
      <c r="S163" s="1">
        <v>0</v>
      </c>
      <c r="T163" s="1">
        <v>18</v>
      </c>
      <c r="U163" s="1">
        <v>1</v>
      </c>
      <c r="V163" s="1">
        <v>1</v>
      </c>
      <c r="W163" s="1" t="s">
        <v>1</v>
      </c>
      <c r="X163" s="1" t="s">
        <v>2</v>
      </c>
      <c r="Y163" s="2">
        <v>45954.434872685182</v>
      </c>
      <c r="Z163" s="1">
        <v>1801</v>
      </c>
      <c r="AA163" t="str">
        <f>+VLOOKUP(O163,'[1]Ventas_odoo Interface'!$E:$AP,38,0)</f>
        <v>F E001-00000027</v>
      </c>
    </row>
    <row r="164" spans="1:27" ht="15" customHeight="1" x14ac:dyDescent="0.25">
      <c r="A164" s="1">
        <v>737</v>
      </c>
      <c r="B164" s="1">
        <v>20250518</v>
      </c>
      <c r="C164" s="1">
        <v>20250518</v>
      </c>
      <c r="D164" s="1"/>
      <c r="E164" s="1">
        <v>1882</v>
      </c>
      <c r="F164" s="1">
        <v>24</v>
      </c>
      <c r="G164" s="1">
        <v>576</v>
      </c>
      <c r="H164" s="1">
        <v>4</v>
      </c>
      <c r="I164" s="1">
        <v>679.68</v>
      </c>
      <c r="J164" s="1">
        <v>100</v>
      </c>
      <c r="K164" s="1">
        <v>28517</v>
      </c>
      <c r="L164" s="1">
        <v>103.68</v>
      </c>
      <c r="M164" s="1">
        <v>1</v>
      </c>
      <c r="N164" s="1">
        <v>0</v>
      </c>
      <c r="O164" s="1" t="s">
        <v>50</v>
      </c>
      <c r="P164" s="1">
        <v>6743</v>
      </c>
      <c r="Q164" s="1">
        <v>24</v>
      </c>
      <c r="R164" s="1">
        <v>28.32</v>
      </c>
      <c r="S164" s="1">
        <v>0</v>
      </c>
      <c r="T164" s="1">
        <v>18</v>
      </c>
      <c r="U164" s="1">
        <v>1</v>
      </c>
      <c r="V164" s="1">
        <v>1</v>
      </c>
      <c r="W164" s="1" t="s">
        <v>1</v>
      </c>
      <c r="X164" s="1" t="s">
        <v>2</v>
      </c>
      <c r="Y164" s="2">
        <v>45954.434872685182</v>
      </c>
      <c r="Z164" s="1">
        <v>1801</v>
      </c>
      <c r="AA164" t="str">
        <f>+VLOOKUP(O164,'[1]Ventas_odoo Interface'!$E:$AP,38,0)</f>
        <v>F E001-00000027</v>
      </c>
    </row>
    <row r="165" spans="1:27" ht="15" customHeight="1" x14ac:dyDescent="0.25">
      <c r="A165" s="1">
        <v>738</v>
      </c>
      <c r="B165" s="1">
        <v>20250518</v>
      </c>
      <c r="C165" s="1">
        <v>20250518</v>
      </c>
      <c r="D165" s="1"/>
      <c r="E165" s="1">
        <v>1822</v>
      </c>
      <c r="F165" s="1">
        <v>1</v>
      </c>
      <c r="G165" s="1">
        <v>288</v>
      </c>
      <c r="H165" s="1">
        <v>5</v>
      </c>
      <c r="I165" s="1">
        <v>339.84</v>
      </c>
      <c r="J165" s="1">
        <v>100</v>
      </c>
      <c r="K165" s="1">
        <v>28506</v>
      </c>
      <c r="L165" s="1">
        <v>51.84</v>
      </c>
      <c r="M165" s="1">
        <v>1</v>
      </c>
      <c r="N165" s="1">
        <v>0</v>
      </c>
      <c r="O165" s="1" t="s">
        <v>51</v>
      </c>
      <c r="P165" s="1">
        <v>6317</v>
      </c>
      <c r="Q165" s="1">
        <v>288</v>
      </c>
      <c r="R165" s="1">
        <v>339.84</v>
      </c>
      <c r="S165" s="1">
        <v>0</v>
      </c>
      <c r="T165" s="1">
        <v>18</v>
      </c>
      <c r="U165" s="1">
        <v>1</v>
      </c>
      <c r="V165" s="1">
        <v>1</v>
      </c>
      <c r="W165" s="1" t="s">
        <v>1</v>
      </c>
      <c r="X165" s="1" t="s">
        <v>2</v>
      </c>
      <c r="Y165" s="2">
        <v>45954.434884259259</v>
      </c>
      <c r="Z165" s="1">
        <v>1731</v>
      </c>
      <c r="AA165" t="str">
        <f>+VLOOKUP(O165,'[1]Ventas_odoo Interface'!$E:$AP,38,0)</f>
        <v>F E001-00000354</v>
      </c>
    </row>
    <row r="166" spans="1:27" ht="15" customHeight="1" x14ac:dyDescent="0.25">
      <c r="A166" s="1">
        <v>739</v>
      </c>
      <c r="B166" s="1">
        <v>20250518</v>
      </c>
      <c r="C166" s="1">
        <v>20250518</v>
      </c>
      <c r="D166" s="1"/>
      <c r="E166" s="1">
        <v>1823</v>
      </c>
      <c r="F166" s="1">
        <v>1</v>
      </c>
      <c r="G166" s="1">
        <v>133.9</v>
      </c>
      <c r="H166" s="1">
        <v>5</v>
      </c>
      <c r="I166" s="1">
        <v>158</v>
      </c>
      <c r="J166" s="1">
        <v>100</v>
      </c>
      <c r="K166" s="1">
        <v>28507</v>
      </c>
      <c r="L166" s="1">
        <v>24.1</v>
      </c>
      <c r="M166" s="1">
        <v>1</v>
      </c>
      <c r="N166" s="1">
        <v>0</v>
      </c>
      <c r="O166" s="1" t="s">
        <v>51</v>
      </c>
      <c r="P166" s="1">
        <v>6317</v>
      </c>
      <c r="Q166" s="1">
        <v>133.9</v>
      </c>
      <c r="R166" s="1">
        <v>158</v>
      </c>
      <c r="S166" s="1">
        <v>0</v>
      </c>
      <c r="T166" s="1">
        <v>18</v>
      </c>
      <c r="U166" s="1">
        <v>1</v>
      </c>
      <c r="V166" s="1">
        <v>1</v>
      </c>
      <c r="W166" s="1" t="s">
        <v>1</v>
      </c>
      <c r="X166" s="1" t="s">
        <v>2</v>
      </c>
      <c r="Y166" s="2">
        <v>45954.434884259259</v>
      </c>
      <c r="Z166" s="1">
        <v>1731</v>
      </c>
      <c r="AA166" t="str">
        <f>+VLOOKUP(O166,'[1]Ventas_odoo Interface'!$E:$AP,38,0)</f>
        <v>F E001-00000354</v>
      </c>
    </row>
    <row r="167" spans="1:27" ht="15" customHeight="1" x14ac:dyDescent="0.25">
      <c r="A167" s="1">
        <v>740</v>
      </c>
      <c r="B167" s="1">
        <v>20250518</v>
      </c>
      <c r="C167" s="1">
        <v>20250518</v>
      </c>
      <c r="D167" s="1"/>
      <c r="E167" s="1">
        <v>1807</v>
      </c>
      <c r="F167" s="1">
        <v>100</v>
      </c>
      <c r="G167" s="1">
        <v>220</v>
      </c>
      <c r="H167" s="1">
        <v>5</v>
      </c>
      <c r="I167" s="1">
        <v>259.60000000000002</v>
      </c>
      <c r="J167" s="1">
        <v>100</v>
      </c>
      <c r="K167" s="1">
        <v>28501</v>
      </c>
      <c r="L167" s="1">
        <v>39.6</v>
      </c>
      <c r="M167" s="1">
        <v>1</v>
      </c>
      <c r="N167" s="1">
        <v>0</v>
      </c>
      <c r="O167" s="1" t="s">
        <v>52</v>
      </c>
      <c r="P167" s="1">
        <v>6328</v>
      </c>
      <c r="Q167" s="1">
        <v>2.2000000000000002</v>
      </c>
      <c r="R167" s="1">
        <v>2.6</v>
      </c>
      <c r="S167" s="1">
        <v>0</v>
      </c>
      <c r="T167" s="1">
        <v>18</v>
      </c>
      <c r="U167" s="1">
        <v>1</v>
      </c>
      <c r="V167" s="1">
        <v>1</v>
      </c>
      <c r="W167" s="1" t="s">
        <v>1</v>
      </c>
      <c r="X167" s="1" t="s">
        <v>2</v>
      </c>
      <c r="Y167" s="2">
        <v>45954.434884259259</v>
      </c>
      <c r="Z167" s="1">
        <v>1570</v>
      </c>
      <c r="AA167" t="str">
        <f>+VLOOKUP(O167,'[1]Ventas_odoo Interface'!$E:$AP,38,0)</f>
        <v>F E001-00000141</v>
      </c>
    </row>
    <row r="168" spans="1:27" ht="15" customHeight="1" x14ac:dyDescent="0.25">
      <c r="A168" s="1">
        <v>741</v>
      </c>
      <c r="B168" s="1">
        <v>20250515</v>
      </c>
      <c r="C168" s="1">
        <v>20250515</v>
      </c>
      <c r="D168" s="1"/>
      <c r="E168" s="1">
        <v>1859</v>
      </c>
      <c r="F168" s="1">
        <v>1</v>
      </c>
      <c r="G168" s="1">
        <v>360</v>
      </c>
      <c r="H168" s="1">
        <v>2</v>
      </c>
      <c r="I168" s="1">
        <v>424.8</v>
      </c>
      <c r="J168" s="1">
        <v>100</v>
      </c>
      <c r="K168" s="1">
        <v>28498</v>
      </c>
      <c r="L168" s="1">
        <v>64.8</v>
      </c>
      <c r="M168" s="1">
        <v>1</v>
      </c>
      <c r="N168" s="1">
        <v>0</v>
      </c>
      <c r="O168" s="1" t="s">
        <v>43</v>
      </c>
      <c r="P168" s="1">
        <v>6743</v>
      </c>
      <c r="Q168" s="1">
        <v>360</v>
      </c>
      <c r="R168" s="1">
        <v>424.8</v>
      </c>
      <c r="S168" s="1">
        <v>0</v>
      </c>
      <c r="T168" s="1">
        <v>18</v>
      </c>
      <c r="U168" s="1">
        <v>1</v>
      </c>
      <c r="V168" s="1">
        <v>1</v>
      </c>
      <c r="W168" s="1" t="s">
        <v>1</v>
      </c>
      <c r="X168" s="1" t="s">
        <v>2</v>
      </c>
      <c r="Y168" s="2">
        <v>45954.434884259259</v>
      </c>
      <c r="Z168" s="1">
        <v>1389</v>
      </c>
      <c r="AA168" t="str">
        <f>+VLOOKUP(O168,'[1]Ventas_odoo Interface'!$E:$AP,38,0)</f>
        <v>F E001-00000037</v>
      </c>
    </row>
    <row r="169" spans="1:27" ht="15" customHeight="1" x14ac:dyDescent="0.25">
      <c r="A169" s="1">
        <v>742</v>
      </c>
      <c r="B169" s="1">
        <v>20250515</v>
      </c>
      <c r="C169" s="1">
        <v>20250515</v>
      </c>
      <c r="D169" s="1"/>
      <c r="E169" s="1">
        <v>1883</v>
      </c>
      <c r="F169" s="1">
        <v>1</v>
      </c>
      <c r="G169" s="1">
        <v>94.92</v>
      </c>
      <c r="H169" s="1">
        <v>5</v>
      </c>
      <c r="I169" s="1">
        <v>112</v>
      </c>
      <c r="J169" s="1">
        <v>100</v>
      </c>
      <c r="K169" s="1">
        <v>28463</v>
      </c>
      <c r="L169" s="1">
        <v>17.079999999999998</v>
      </c>
      <c r="M169" s="1">
        <v>1</v>
      </c>
      <c r="N169" s="1">
        <v>0</v>
      </c>
      <c r="O169" s="1" t="s">
        <v>53</v>
      </c>
      <c r="P169" s="1">
        <v>6746</v>
      </c>
      <c r="Q169" s="1">
        <v>94.92</v>
      </c>
      <c r="R169" s="1">
        <v>112</v>
      </c>
      <c r="S169" s="1">
        <v>0</v>
      </c>
      <c r="T169" s="1">
        <v>17.989999999999998</v>
      </c>
      <c r="U169" s="1">
        <v>1</v>
      </c>
      <c r="V169" s="1">
        <v>1</v>
      </c>
      <c r="W169" s="1" t="s">
        <v>1</v>
      </c>
      <c r="X169" s="1" t="s">
        <v>2</v>
      </c>
      <c r="Y169" s="2">
        <v>45954.434884259259</v>
      </c>
      <c r="Z169" s="1">
        <v>779</v>
      </c>
      <c r="AA169" t="str">
        <f>+VLOOKUP(O169,'[1]Ventas_odoo Interface'!$E:$AP,38,0)</f>
        <v>F E001-00000036</v>
      </c>
    </row>
    <row r="170" spans="1:27" ht="15" customHeight="1" x14ac:dyDescent="0.25">
      <c r="A170" s="1">
        <v>743</v>
      </c>
      <c r="B170" s="1">
        <v>20250515</v>
      </c>
      <c r="C170" s="1">
        <v>20250515</v>
      </c>
      <c r="D170" s="1"/>
      <c r="E170" s="1">
        <v>1860</v>
      </c>
      <c r="F170" s="1">
        <v>1</v>
      </c>
      <c r="G170" s="1">
        <v>754.24</v>
      </c>
      <c r="H170" s="1">
        <v>5</v>
      </c>
      <c r="I170" s="1">
        <v>890</v>
      </c>
      <c r="J170" s="1">
        <v>100</v>
      </c>
      <c r="K170" s="1">
        <v>28454</v>
      </c>
      <c r="L170" s="1">
        <v>135.76</v>
      </c>
      <c r="M170" s="1">
        <v>1</v>
      </c>
      <c r="N170" s="1">
        <v>0</v>
      </c>
      <c r="O170" s="1" t="s">
        <v>54</v>
      </c>
      <c r="P170" s="1">
        <v>6328</v>
      </c>
      <c r="Q170" s="1">
        <v>754.24</v>
      </c>
      <c r="R170" s="1">
        <v>890</v>
      </c>
      <c r="S170" s="1">
        <v>0</v>
      </c>
      <c r="T170" s="1">
        <v>18</v>
      </c>
      <c r="U170" s="1">
        <v>1</v>
      </c>
      <c r="V170" s="1">
        <v>1</v>
      </c>
      <c r="W170" s="1" t="s">
        <v>1</v>
      </c>
      <c r="X170" s="1" t="s">
        <v>2</v>
      </c>
      <c r="Y170" s="2">
        <v>45954.434884259259</v>
      </c>
      <c r="Z170" s="1">
        <v>1794</v>
      </c>
      <c r="AA170" t="str">
        <f>+VLOOKUP(O170,'[1]Ventas_odoo Interface'!$E:$AP,38,0)</f>
        <v>F E001-00000492</v>
      </c>
    </row>
    <row r="171" spans="1:27" ht="15" customHeight="1" x14ac:dyDescent="0.25">
      <c r="A171" s="1">
        <v>744</v>
      </c>
      <c r="B171" s="1">
        <v>20250515</v>
      </c>
      <c r="C171" s="1">
        <v>20250515</v>
      </c>
      <c r="D171" s="1"/>
      <c r="E171" s="1">
        <v>1861</v>
      </c>
      <c r="F171" s="1">
        <v>1</v>
      </c>
      <c r="G171" s="1">
        <v>122.88</v>
      </c>
      <c r="H171" s="1">
        <v>5</v>
      </c>
      <c r="I171" s="1">
        <v>145</v>
      </c>
      <c r="J171" s="1">
        <v>100</v>
      </c>
      <c r="K171" s="1">
        <v>28455</v>
      </c>
      <c r="L171" s="1">
        <v>22.12</v>
      </c>
      <c r="M171" s="1">
        <v>1</v>
      </c>
      <c r="N171" s="1">
        <v>0</v>
      </c>
      <c r="O171" s="1" t="s">
        <v>54</v>
      </c>
      <c r="P171" s="1">
        <v>6328</v>
      </c>
      <c r="Q171" s="1">
        <v>122.88</v>
      </c>
      <c r="R171" s="1">
        <v>145</v>
      </c>
      <c r="S171" s="1">
        <v>0</v>
      </c>
      <c r="T171" s="1">
        <v>18</v>
      </c>
      <c r="U171" s="1">
        <v>1</v>
      </c>
      <c r="V171" s="1">
        <v>1</v>
      </c>
      <c r="W171" s="1" t="s">
        <v>1</v>
      </c>
      <c r="X171" s="1" t="s">
        <v>2</v>
      </c>
      <c r="Y171" s="2">
        <v>45954.434884259259</v>
      </c>
      <c r="Z171" s="1">
        <v>1794</v>
      </c>
      <c r="AA171" t="str">
        <f>+VLOOKUP(O171,'[1]Ventas_odoo Interface'!$E:$AP,38,0)</f>
        <v>F E001-00000492</v>
      </c>
    </row>
    <row r="172" spans="1:27" ht="15" customHeight="1" x14ac:dyDescent="0.25">
      <c r="A172" s="1">
        <v>745</v>
      </c>
      <c r="B172" s="1">
        <v>20250515</v>
      </c>
      <c r="C172" s="1">
        <v>20250515</v>
      </c>
      <c r="D172" s="1"/>
      <c r="E172" s="1">
        <v>1862</v>
      </c>
      <c r="F172" s="1">
        <v>1</v>
      </c>
      <c r="G172" s="1">
        <v>42.37</v>
      </c>
      <c r="H172" s="1">
        <v>5</v>
      </c>
      <c r="I172" s="1">
        <v>50</v>
      </c>
      <c r="J172" s="1">
        <v>100</v>
      </c>
      <c r="K172" s="1">
        <v>28456</v>
      </c>
      <c r="L172" s="1">
        <v>7.63</v>
      </c>
      <c r="M172" s="1">
        <v>1</v>
      </c>
      <c r="N172" s="1">
        <v>0</v>
      </c>
      <c r="O172" s="1" t="s">
        <v>54</v>
      </c>
      <c r="P172" s="1">
        <v>6328</v>
      </c>
      <c r="Q172" s="1">
        <v>42.37</v>
      </c>
      <c r="R172" s="1">
        <v>50</v>
      </c>
      <c r="S172" s="1">
        <v>0</v>
      </c>
      <c r="T172" s="1">
        <v>18.010000000000002</v>
      </c>
      <c r="U172" s="1">
        <v>1</v>
      </c>
      <c r="V172" s="1">
        <v>1</v>
      </c>
      <c r="W172" s="1" t="s">
        <v>1</v>
      </c>
      <c r="X172" s="1" t="s">
        <v>2</v>
      </c>
      <c r="Y172" s="2">
        <v>45954.434884259259</v>
      </c>
      <c r="Z172" s="1">
        <v>1794</v>
      </c>
      <c r="AA172" t="str">
        <f>+VLOOKUP(O172,'[1]Ventas_odoo Interface'!$E:$AP,38,0)</f>
        <v>F E001-00000492</v>
      </c>
    </row>
    <row r="173" spans="1:27" ht="15" customHeight="1" x14ac:dyDescent="0.25">
      <c r="A173" s="1">
        <v>746</v>
      </c>
      <c r="B173" s="1">
        <v>20250515</v>
      </c>
      <c r="C173" s="1">
        <v>20250515</v>
      </c>
      <c r="D173" s="1"/>
      <c r="E173" s="1">
        <v>1863</v>
      </c>
      <c r="F173" s="1">
        <v>20</v>
      </c>
      <c r="G173" s="1">
        <v>27.12</v>
      </c>
      <c r="H173" s="1">
        <v>5</v>
      </c>
      <c r="I173" s="1">
        <v>32</v>
      </c>
      <c r="J173" s="1">
        <v>100</v>
      </c>
      <c r="K173" s="1">
        <v>28457</v>
      </c>
      <c r="L173" s="1">
        <v>4.88</v>
      </c>
      <c r="M173" s="1">
        <v>1</v>
      </c>
      <c r="N173" s="1">
        <v>0</v>
      </c>
      <c r="O173" s="1" t="s">
        <v>54</v>
      </c>
      <c r="P173" s="1">
        <v>6328</v>
      </c>
      <c r="Q173" s="1">
        <v>1.36</v>
      </c>
      <c r="R173" s="1">
        <v>1.6</v>
      </c>
      <c r="S173" s="1">
        <v>0</v>
      </c>
      <c r="T173" s="1">
        <v>17.989999999999998</v>
      </c>
      <c r="U173" s="1">
        <v>1</v>
      </c>
      <c r="V173" s="1">
        <v>1</v>
      </c>
      <c r="W173" s="1" t="s">
        <v>1</v>
      </c>
      <c r="X173" s="1" t="s">
        <v>2</v>
      </c>
      <c r="Y173" s="2">
        <v>45954.434884259259</v>
      </c>
      <c r="Z173" s="1">
        <v>1794</v>
      </c>
      <c r="AA173" t="str">
        <f>+VLOOKUP(O173,'[1]Ventas_odoo Interface'!$E:$AP,38,0)</f>
        <v>F E001-00000492</v>
      </c>
    </row>
    <row r="174" spans="1:27" ht="15" customHeight="1" x14ac:dyDescent="0.25">
      <c r="A174" s="1">
        <v>747</v>
      </c>
      <c r="B174" s="1">
        <v>20250515</v>
      </c>
      <c r="C174" s="1">
        <v>20250515</v>
      </c>
      <c r="D174" s="1"/>
      <c r="E174" s="1">
        <v>1864</v>
      </c>
      <c r="F174" s="1">
        <v>1</v>
      </c>
      <c r="G174" s="1">
        <v>220.34</v>
      </c>
      <c r="H174" s="1">
        <v>2</v>
      </c>
      <c r="I174" s="1">
        <v>260</v>
      </c>
      <c r="J174" s="1">
        <v>100</v>
      </c>
      <c r="K174" s="1">
        <v>28458</v>
      </c>
      <c r="L174" s="1">
        <v>39.659999999999997</v>
      </c>
      <c r="M174" s="1">
        <v>1</v>
      </c>
      <c r="N174" s="1">
        <v>0</v>
      </c>
      <c r="O174" s="1" t="s">
        <v>54</v>
      </c>
      <c r="P174" s="1">
        <v>6328</v>
      </c>
      <c r="Q174" s="1">
        <v>220.34</v>
      </c>
      <c r="R174" s="1">
        <v>260</v>
      </c>
      <c r="S174" s="1">
        <v>0</v>
      </c>
      <c r="T174" s="1">
        <v>18</v>
      </c>
      <c r="U174" s="1">
        <v>1</v>
      </c>
      <c r="V174" s="1">
        <v>1</v>
      </c>
      <c r="W174" s="1" t="s">
        <v>1</v>
      </c>
      <c r="X174" s="1" t="s">
        <v>2</v>
      </c>
      <c r="Y174" s="2">
        <v>45954.434884259259</v>
      </c>
      <c r="Z174" s="1">
        <v>1794</v>
      </c>
      <c r="AA174" t="str">
        <f>+VLOOKUP(O174,'[1]Ventas_odoo Interface'!$E:$AP,38,0)</f>
        <v>F E001-00000492</v>
      </c>
    </row>
    <row r="175" spans="1:27" ht="15" customHeight="1" x14ac:dyDescent="0.25">
      <c r="A175" s="1">
        <v>748</v>
      </c>
      <c r="B175" s="1">
        <v>20250515</v>
      </c>
      <c r="C175" s="1">
        <v>20250515</v>
      </c>
      <c r="D175" s="1"/>
      <c r="E175" s="1">
        <v>1865</v>
      </c>
      <c r="F175" s="1">
        <v>1</v>
      </c>
      <c r="G175" s="1">
        <v>101.69</v>
      </c>
      <c r="H175" s="1">
        <v>5</v>
      </c>
      <c r="I175" s="1">
        <v>120</v>
      </c>
      <c r="J175" s="1">
        <v>100</v>
      </c>
      <c r="K175" s="1">
        <v>28459</v>
      </c>
      <c r="L175" s="1">
        <v>18.309999999999999</v>
      </c>
      <c r="M175" s="1">
        <v>1</v>
      </c>
      <c r="N175" s="1">
        <v>0</v>
      </c>
      <c r="O175" s="1" t="s">
        <v>54</v>
      </c>
      <c r="P175" s="1">
        <v>6328</v>
      </c>
      <c r="Q175" s="1">
        <v>101.69</v>
      </c>
      <c r="R175" s="1">
        <v>120</v>
      </c>
      <c r="S175" s="1">
        <v>0</v>
      </c>
      <c r="T175" s="1">
        <v>18.010000000000002</v>
      </c>
      <c r="U175" s="1">
        <v>1</v>
      </c>
      <c r="V175" s="1">
        <v>1</v>
      </c>
      <c r="W175" s="1" t="s">
        <v>1</v>
      </c>
      <c r="X175" s="1" t="s">
        <v>2</v>
      </c>
      <c r="Y175" s="2">
        <v>45954.434884259259</v>
      </c>
      <c r="Z175" s="1">
        <v>1794</v>
      </c>
      <c r="AA175" t="str">
        <f>+VLOOKUP(O175,'[1]Ventas_odoo Interface'!$E:$AP,38,0)</f>
        <v>F E001-00000492</v>
      </c>
    </row>
    <row r="176" spans="1:27" ht="15" customHeight="1" x14ac:dyDescent="0.25">
      <c r="A176" s="1">
        <v>749</v>
      </c>
      <c r="B176" s="1">
        <v>20250515</v>
      </c>
      <c r="C176" s="1">
        <v>20250515</v>
      </c>
      <c r="D176" s="1"/>
      <c r="E176" s="1">
        <v>1886</v>
      </c>
      <c r="F176" s="1">
        <v>1</v>
      </c>
      <c r="G176" s="1">
        <v>59.32</v>
      </c>
      <c r="H176" s="1">
        <v>5</v>
      </c>
      <c r="I176" s="1">
        <v>70</v>
      </c>
      <c r="J176" s="1">
        <v>100</v>
      </c>
      <c r="K176" s="1">
        <v>28460</v>
      </c>
      <c r="L176" s="1">
        <v>10.68</v>
      </c>
      <c r="M176" s="1">
        <v>1</v>
      </c>
      <c r="N176" s="1">
        <v>0</v>
      </c>
      <c r="O176" s="1" t="s">
        <v>54</v>
      </c>
      <c r="P176" s="1">
        <v>6328</v>
      </c>
      <c r="Q176" s="1">
        <v>59.32</v>
      </c>
      <c r="R176" s="1">
        <v>70</v>
      </c>
      <c r="S176" s="1">
        <v>0</v>
      </c>
      <c r="T176" s="1">
        <v>18</v>
      </c>
      <c r="U176" s="1">
        <v>1</v>
      </c>
      <c r="V176" s="1">
        <v>1</v>
      </c>
      <c r="W176" s="1" t="s">
        <v>1</v>
      </c>
      <c r="X176" s="1" t="s">
        <v>2</v>
      </c>
      <c r="Y176" s="2">
        <v>45954.434895833336</v>
      </c>
      <c r="Z176" s="1">
        <v>1794</v>
      </c>
      <c r="AA176" t="str">
        <f>+VLOOKUP(O176,'[1]Ventas_odoo Interface'!$E:$AP,38,0)</f>
        <v>F E001-00000492</v>
      </c>
    </row>
    <row r="177" spans="1:27" ht="15" customHeight="1" x14ac:dyDescent="0.25">
      <c r="A177" s="1">
        <v>752</v>
      </c>
      <c r="B177" s="1">
        <v>20250515</v>
      </c>
      <c r="C177" s="1">
        <v>20250515</v>
      </c>
      <c r="D177" s="1"/>
      <c r="E177" s="1">
        <v>1871</v>
      </c>
      <c r="F177" s="1">
        <v>1</v>
      </c>
      <c r="G177" s="1">
        <v>262.70999999999998</v>
      </c>
      <c r="H177" s="1">
        <v>5</v>
      </c>
      <c r="I177" s="1">
        <v>310</v>
      </c>
      <c r="J177" s="1">
        <v>100</v>
      </c>
      <c r="K177" s="1">
        <v>28440</v>
      </c>
      <c r="L177" s="1">
        <v>47.29</v>
      </c>
      <c r="M177" s="1">
        <v>1</v>
      </c>
      <c r="N177" s="1">
        <v>0</v>
      </c>
      <c r="O177" s="1" t="s">
        <v>55</v>
      </c>
      <c r="P177" s="1">
        <v>6746</v>
      </c>
      <c r="Q177" s="1">
        <v>262.70999999999998</v>
      </c>
      <c r="R177" s="1">
        <v>310</v>
      </c>
      <c r="S177" s="1">
        <v>0</v>
      </c>
      <c r="T177" s="1">
        <v>18</v>
      </c>
      <c r="U177" s="1">
        <v>1</v>
      </c>
      <c r="V177" s="1">
        <v>1</v>
      </c>
      <c r="W177" s="1" t="s">
        <v>1</v>
      </c>
      <c r="X177" s="1" t="s">
        <v>2</v>
      </c>
      <c r="Y177" s="2">
        <v>45954.434895833336</v>
      </c>
      <c r="Z177" s="1">
        <v>779</v>
      </c>
      <c r="AA177" t="str">
        <f>+VLOOKUP(O177,'[1]Ventas_odoo Interface'!$E:$AP,38,0)</f>
        <v>F E001-00000035</v>
      </c>
    </row>
    <row r="178" spans="1:27" ht="15" customHeight="1" x14ac:dyDescent="0.25">
      <c r="A178" s="1">
        <v>753</v>
      </c>
      <c r="B178" s="1">
        <v>20250515</v>
      </c>
      <c r="C178" s="1">
        <v>20250515</v>
      </c>
      <c r="D178" s="1"/>
      <c r="E178" s="1">
        <v>1877</v>
      </c>
      <c r="F178" s="1">
        <v>1</v>
      </c>
      <c r="G178" s="1">
        <v>76.27</v>
      </c>
      <c r="H178" s="1">
        <v>5</v>
      </c>
      <c r="I178" s="1">
        <v>90</v>
      </c>
      <c r="J178" s="1">
        <v>100</v>
      </c>
      <c r="K178" s="1">
        <v>28441</v>
      </c>
      <c r="L178" s="1">
        <v>13.73</v>
      </c>
      <c r="M178" s="1">
        <v>1</v>
      </c>
      <c r="N178" s="1">
        <v>0</v>
      </c>
      <c r="O178" s="1" t="s">
        <v>55</v>
      </c>
      <c r="P178" s="1">
        <v>6746</v>
      </c>
      <c r="Q178" s="1">
        <v>76.27</v>
      </c>
      <c r="R178" s="1">
        <v>90</v>
      </c>
      <c r="S178" s="1">
        <v>0</v>
      </c>
      <c r="T178" s="1">
        <v>18</v>
      </c>
      <c r="U178" s="1">
        <v>1</v>
      </c>
      <c r="V178" s="1">
        <v>1</v>
      </c>
      <c r="W178" s="1" t="s">
        <v>1</v>
      </c>
      <c r="X178" s="1" t="s">
        <v>2</v>
      </c>
      <c r="Y178" s="2">
        <v>45954.434895833336</v>
      </c>
      <c r="Z178" s="1">
        <v>779</v>
      </c>
      <c r="AA178" t="str">
        <f>+VLOOKUP(O178,'[1]Ventas_odoo Interface'!$E:$AP,38,0)</f>
        <v>F E001-00000035</v>
      </c>
    </row>
    <row r="179" spans="1:27" ht="15" customHeight="1" x14ac:dyDescent="0.25">
      <c r="A179" s="1">
        <v>754</v>
      </c>
      <c r="B179" s="1">
        <v>20250514</v>
      </c>
      <c r="C179" s="1">
        <v>20250514</v>
      </c>
      <c r="D179" s="1"/>
      <c r="E179" s="1">
        <v>1880</v>
      </c>
      <c r="F179" s="1">
        <v>1</v>
      </c>
      <c r="G179" s="1">
        <v>609.32000000000005</v>
      </c>
      <c r="H179" s="1">
        <v>5</v>
      </c>
      <c r="I179" s="1">
        <v>719</v>
      </c>
      <c r="J179" s="1">
        <v>100</v>
      </c>
      <c r="K179" s="1">
        <v>28432</v>
      </c>
      <c r="L179" s="1">
        <v>109.68</v>
      </c>
      <c r="M179" s="1">
        <v>1</v>
      </c>
      <c r="N179" s="1">
        <v>0</v>
      </c>
      <c r="O179" s="1" t="s">
        <v>56</v>
      </c>
      <c r="P179" s="1">
        <v>6328</v>
      </c>
      <c r="Q179" s="1">
        <v>609.32000000000005</v>
      </c>
      <c r="R179" s="1">
        <v>719</v>
      </c>
      <c r="S179" s="1">
        <v>0</v>
      </c>
      <c r="T179" s="1">
        <v>18</v>
      </c>
      <c r="U179" s="1">
        <v>1</v>
      </c>
      <c r="V179" s="1">
        <v>1</v>
      </c>
      <c r="W179" s="1" t="s">
        <v>1</v>
      </c>
      <c r="X179" s="1" t="s">
        <v>2</v>
      </c>
      <c r="Y179" s="2">
        <v>45954.434895833336</v>
      </c>
      <c r="Z179" s="1">
        <v>1800</v>
      </c>
      <c r="AA179" t="str">
        <f>+VLOOKUP(O179,'[1]Ventas_odoo Interface'!$E:$AP,38,0)</f>
        <v>F F001 - 00007417</v>
      </c>
    </row>
    <row r="180" spans="1:27" ht="15" customHeight="1" x14ac:dyDescent="0.25">
      <c r="A180" s="1">
        <v>755</v>
      </c>
      <c r="B180" s="1">
        <v>20250514</v>
      </c>
      <c r="C180" s="1">
        <v>20250514</v>
      </c>
      <c r="D180" s="1"/>
      <c r="E180" s="1">
        <v>1876</v>
      </c>
      <c r="F180" s="1">
        <v>1</v>
      </c>
      <c r="G180" s="1">
        <v>16.95</v>
      </c>
      <c r="H180" s="1">
        <v>5</v>
      </c>
      <c r="I180" s="1">
        <v>20</v>
      </c>
      <c r="J180" s="1">
        <v>100</v>
      </c>
      <c r="K180" s="1">
        <v>28433</v>
      </c>
      <c r="L180" s="1">
        <v>3.05</v>
      </c>
      <c r="M180" s="1">
        <v>1</v>
      </c>
      <c r="N180" s="1">
        <v>0</v>
      </c>
      <c r="O180" s="1" t="s">
        <v>56</v>
      </c>
      <c r="P180" s="1">
        <v>6328</v>
      </c>
      <c r="Q180" s="1">
        <v>16.95</v>
      </c>
      <c r="R180" s="1">
        <v>20</v>
      </c>
      <c r="S180" s="1">
        <v>0</v>
      </c>
      <c r="T180" s="1">
        <v>17.989999999999998</v>
      </c>
      <c r="U180" s="1">
        <v>1</v>
      </c>
      <c r="V180" s="1">
        <v>1</v>
      </c>
      <c r="W180" s="1" t="s">
        <v>1</v>
      </c>
      <c r="X180" s="1" t="s">
        <v>2</v>
      </c>
      <c r="Y180" s="2">
        <v>45954.434895833336</v>
      </c>
      <c r="Z180" s="1">
        <v>1800</v>
      </c>
      <c r="AA180" t="str">
        <f>+VLOOKUP(O180,'[1]Ventas_odoo Interface'!$E:$AP,38,0)</f>
        <v>F F001 - 00007417</v>
      </c>
    </row>
    <row r="181" spans="1:27" ht="15" customHeight="1" x14ac:dyDescent="0.25">
      <c r="A181" s="1">
        <v>756</v>
      </c>
      <c r="B181" s="1">
        <v>20250514</v>
      </c>
      <c r="C181" s="1">
        <v>20250514</v>
      </c>
      <c r="D181" s="1"/>
      <c r="E181" s="1">
        <v>1844</v>
      </c>
      <c r="F181" s="1">
        <v>1</v>
      </c>
      <c r="G181" s="1">
        <v>466.1</v>
      </c>
      <c r="H181" s="1">
        <v>5</v>
      </c>
      <c r="I181" s="1">
        <v>550</v>
      </c>
      <c r="J181" s="1">
        <v>100</v>
      </c>
      <c r="K181" s="1">
        <v>28428</v>
      </c>
      <c r="L181" s="1">
        <v>83.9</v>
      </c>
      <c r="M181" s="1">
        <v>1</v>
      </c>
      <c r="N181" s="1">
        <v>0</v>
      </c>
      <c r="O181" s="1" t="s">
        <v>57</v>
      </c>
      <c r="P181" s="1">
        <v>6676</v>
      </c>
      <c r="Q181" s="1">
        <v>466.1</v>
      </c>
      <c r="R181" s="1">
        <v>550</v>
      </c>
      <c r="S181" s="1">
        <v>0</v>
      </c>
      <c r="T181" s="1">
        <v>18</v>
      </c>
      <c r="U181" s="1">
        <v>1</v>
      </c>
      <c r="V181" s="1">
        <v>1</v>
      </c>
      <c r="W181" s="1" t="s">
        <v>1</v>
      </c>
      <c r="X181" s="1" t="s">
        <v>2</v>
      </c>
      <c r="Y181" s="2">
        <v>45954.434895833336</v>
      </c>
      <c r="Z181" s="1">
        <v>1454</v>
      </c>
      <c r="AA181" t="str">
        <f>+VLOOKUP(O181,'[1]Ventas_odoo Interface'!$E:$AP,38,0)</f>
        <v>F E001-00001288</v>
      </c>
    </row>
    <row r="182" spans="1:27" ht="15" customHeight="1" x14ac:dyDescent="0.25">
      <c r="A182" s="1">
        <v>757</v>
      </c>
      <c r="B182" s="1">
        <v>20250514</v>
      </c>
      <c r="C182" s="1">
        <v>20250514</v>
      </c>
      <c r="D182" s="1"/>
      <c r="E182" s="1">
        <v>1885</v>
      </c>
      <c r="F182" s="1">
        <v>1</v>
      </c>
      <c r="G182" s="1">
        <v>50.85</v>
      </c>
      <c r="H182" s="1">
        <v>5</v>
      </c>
      <c r="I182" s="1">
        <v>60</v>
      </c>
      <c r="J182" s="1">
        <v>100</v>
      </c>
      <c r="K182" s="1">
        <v>28429</v>
      </c>
      <c r="L182" s="1">
        <v>9.15</v>
      </c>
      <c r="M182" s="1">
        <v>1</v>
      </c>
      <c r="N182" s="1">
        <v>0</v>
      </c>
      <c r="O182" s="1" t="s">
        <v>57</v>
      </c>
      <c r="P182" s="1">
        <v>6676</v>
      </c>
      <c r="Q182" s="1">
        <v>50.85</v>
      </c>
      <c r="R182" s="1">
        <v>60</v>
      </c>
      <c r="S182" s="1">
        <v>0</v>
      </c>
      <c r="T182" s="1">
        <v>17.989999999999998</v>
      </c>
      <c r="U182" s="1">
        <v>1</v>
      </c>
      <c r="V182" s="1">
        <v>1</v>
      </c>
      <c r="W182" s="1" t="s">
        <v>1</v>
      </c>
      <c r="X182" s="1" t="s">
        <v>2</v>
      </c>
      <c r="Y182" s="2">
        <v>45954.434895833336</v>
      </c>
      <c r="Z182" s="1">
        <v>1454</v>
      </c>
      <c r="AA182" t="str">
        <f>+VLOOKUP(O182,'[1]Ventas_odoo Interface'!$E:$AP,38,0)</f>
        <v>F E001-00001288</v>
      </c>
    </row>
    <row r="183" spans="1:27" ht="15" customHeight="1" x14ac:dyDescent="0.25">
      <c r="A183" s="1">
        <v>758</v>
      </c>
      <c r="B183" s="1">
        <v>20250514</v>
      </c>
      <c r="C183" s="1">
        <v>20250514</v>
      </c>
      <c r="D183" s="1"/>
      <c r="E183" s="1">
        <v>1884</v>
      </c>
      <c r="F183" s="1">
        <v>1</v>
      </c>
      <c r="G183" s="1">
        <v>350</v>
      </c>
      <c r="H183" s="1">
        <v>2</v>
      </c>
      <c r="I183" s="1">
        <v>350</v>
      </c>
      <c r="J183" s="1">
        <v>100</v>
      </c>
      <c r="K183" s="1">
        <v>28426</v>
      </c>
      <c r="L183" s="1">
        <v>0</v>
      </c>
      <c r="M183" s="1">
        <v>1</v>
      </c>
      <c r="N183" s="1">
        <v>0</v>
      </c>
      <c r="O183" s="1" t="s">
        <v>58</v>
      </c>
      <c r="P183" s="1">
        <v>6743</v>
      </c>
      <c r="Q183" s="1">
        <v>350</v>
      </c>
      <c r="R183" s="1">
        <v>350</v>
      </c>
      <c r="S183" s="1">
        <v>0</v>
      </c>
      <c r="T183" s="1">
        <v>0</v>
      </c>
      <c r="U183" s="1">
        <v>1</v>
      </c>
      <c r="V183" s="1">
        <v>1</v>
      </c>
      <c r="W183" s="1" t="s">
        <v>1</v>
      </c>
      <c r="X183" s="1" t="s">
        <v>2</v>
      </c>
      <c r="Y183" s="2">
        <v>45954.434895833336</v>
      </c>
      <c r="Z183" s="1">
        <v>1479</v>
      </c>
      <c r="AA183" t="str">
        <f>+VLOOKUP(O183,'[1]Ventas_odoo Interface'!$E:$AP,38,0)</f>
        <v>R E001 - 115</v>
      </c>
    </row>
    <row r="184" spans="1:27" ht="15" customHeight="1" x14ac:dyDescent="0.25">
      <c r="A184" s="1">
        <v>759</v>
      </c>
      <c r="B184" s="1">
        <v>20250513</v>
      </c>
      <c r="C184" s="1">
        <v>20250513</v>
      </c>
      <c r="D184" s="1"/>
      <c r="E184" s="1">
        <v>1873</v>
      </c>
      <c r="F184" s="1">
        <v>1</v>
      </c>
      <c r="G184" s="1">
        <v>42.29</v>
      </c>
      <c r="H184" s="1">
        <v>5</v>
      </c>
      <c r="I184" s="1">
        <v>49.9</v>
      </c>
      <c r="J184" s="1">
        <v>100</v>
      </c>
      <c r="K184" s="1">
        <v>28481</v>
      </c>
      <c r="L184" s="1">
        <v>7.61</v>
      </c>
      <c r="M184" s="1">
        <v>1</v>
      </c>
      <c r="N184" s="1">
        <v>0</v>
      </c>
      <c r="O184" s="1" t="s">
        <v>59</v>
      </c>
      <c r="P184" s="1">
        <v>6676</v>
      </c>
      <c r="Q184" s="1">
        <v>42.29</v>
      </c>
      <c r="R184" s="1">
        <v>49.9</v>
      </c>
      <c r="S184" s="1">
        <v>0</v>
      </c>
      <c r="T184" s="1">
        <v>17.989999999999998</v>
      </c>
      <c r="U184" s="1">
        <v>1</v>
      </c>
      <c r="V184" s="1">
        <v>1</v>
      </c>
      <c r="W184" s="1" t="s">
        <v>1</v>
      </c>
      <c r="X184" s="1" t="s">
        <v>2</v>
      </c>
      <c r="Y184" s="2">
        <v>45954.434895833336</v>
      </c>
      <c r="Z184" s="1">
        <v>1533</v>
      </c>
      <c r="AA184" t="str">
        <f>+VLOOKUP(O184,'[1]Ventas_odoo Interface'!$E:$AP,38,0)</f>
        <v>F FX02-00343038</v>
      </c>
    </row>
    <row r="185" spans="1:27" ht="15" customHeight="1" x14ac:dyDescent="0.25">
      <c r="A185" s="1">
        <v>760</v>
      </c>
      <c r="B185" s="1">
        <v>20250513</v>
      </c>
      <c r="C185" s="1">
        <v>20250513</v>
      </c>
      <c r="D185" s="1"/>
      <c r="E185" s="1">
        <v>1874</v>
      </c>
      <c r="F185" s="1">
        <v>1</v>
      </c>
      <c r="G185" s="1">
        <v>406.02</v>
      </c>
      <c r="H185" s="1">
        <v>5</v>
      </c>
      <c r="I185" s="1">
        <v>479.1</v>
      </c>
      <c r="J185" s="1">
        <v>100</v>
      </c>
      <c r="K185" s="1">
        <v>28482</v>
      </c>
      <c r="L185" s="1">
        <v>73.08</v>
      </c>
      <c r="M185" s="1">
        <v>1</v>
      </c>
      <c r="N185" s="1">
        <v>0</v>
      </c>
      <c r="O185" s="1" t="s">
        <v>59</v>
      </c>
      <c r="P185" s="1">
        <v>6676</v>
      </c>
      <c r="Q185" s="1">
        <v>406.02</v>
      </c>
      <c r="R185" s="1">
        <v>479.1</v>
      </c>
      <c r="S185" s="1">
        <v>0</v>
      </c>
      <c r="T185" s="1">
        <v>18</v>
      </c>
      <c r="U185" s="1">
        <v>1</v>
      </c>
      <c r="V185" s="1">
        <v>1</v>
      </c>
      <c r="W185" s="1" t="s">
        <v>1</v>
      </c>
      <c r="X185" s="1" t="s">
        <v>2</v>
      </c>
      <c r="Y185" s="2">
        <v>45954.434907407405</v>
      </c>
      <c r="Z185" s="1">
        <v>1533</v>
      </c>
      <c r="AA185" t="str">
        <f>+VLOOKUP(O185,'[1]Ventas_odoo Interface'!$E:$AP,38,0)</f>
        <v>F FX02-00343038</v>
      </c>
    </row>
    <row r="186" spans="1:27" ht="15" customHeight="1" x14ac:dyDescent="0.25">
      <c r="A186" s="1">
        <v>761</v>
      </c>
      <c r="B186" s="1">
        <v>20250513</v>
      </c>
      <c r="C186" s="1">
        <v>20250513</v>
      </c>
      <c r="D186" s="1"/>
      <c r="E186" s="1">
        <v>1875</v>
      </c>
      <c r="F186" s="1">
        <v>1</v>
      </c>
      <c r="G186" s="1">
        <v>16.100000000000001</v>
      </c>
      <c r="H186" s="1">
        <v>5</v>
      </c>
      <c r="I186" s="1">
        <v>19</v>
      </c>
      <c r="J186" s="1">
        <v>100</v>
      </c>
      <c r="K186" s="1">
        <v>28483</v>
      </c>
      <c r="L186" s="1">
        <v>2.9</v>
      </c>
      <c r="M186" s="1">
        <v>1</v>
      </c>
      <c r="N186" s="1">
        <v>0</v>
      </c>
      <c r="O186" s="1" t="s">
        <v>59</v>
      </c>
      <c r="P186" s="1">
        <v>6676</v>
      </c>
      <c r="Q186" s="1">
        <v>16.100000000000001</v>
      </c>
      <c r="R186" s="1">
        <v>19</v>
      </c>
      <c r="S186" s="1">
        <v>0</v>
      </c>
      <c r="T186" s="1">
        <v>18.010000000000002</v>
      </c>
      <c r="U186" s="1">
        <v>1</v>
      </c>
      <c r="V186" s="1">
        <v>1</v>
      </c>
      <c r="W186" s="1" t="s">
        <v>1</v>
      </c>
      <c r="X186" s="1" t="s">
        <v>2</v>
      </c>
      <c r="Y186" s="2">
        <v>45954.434907407405</v>
      </c>
      <c r="Z186" s="1">
        <v>1533</v>
      </c>
      <c r="AA186" t="str">
        <f>+VLOOKUP(O186,'[1]Ventas_odoo Interface'!$E:$AP,38,0)</f>
        <v>F FX02-00343038</v>
      </c>
    </row>
    <row r="187" spans="1:27" ht="15" customHeight="1" x14ac:dyDescent="0.25">
      <c r="A187" s="1">
        <v>762</v>
      </c>
      <c r="B187" s="1">
        <v>20250513</v>
      </c>
      <c r="C187" s="1">
        <v>20250513</v>
      </c>
      <c r="D187" s="1"/>
      <c r="E187" s="1">
        <v>1876</v>
      </c>
      <c r="F187" s="1">
        <v>1</v>
      </c>
      <c r="G187" s="1">
        <v>27.97</v>
      </c>
      <c r="H187" s="1">
        <v>5</v>
      </c>
      <c r="I187" s="1">
        <v>33</v>
      </c>
      <c r="J187" s="1">
        <v>100</v>
      </c>
      <c r="K187" s="1">
        <v>28484</v>
      </c>
      <c r="L187" s="1">
        <v>5.03</v>
      </c>
      <c r="M187" s="1">
        <v>1</v>
      </c>
      <c r="N187" s="1">
        <v>0</v>
      </c>
      <c r="O187" s="1" t="s">
        <v>59</v>
      </c>
      <c r="P187" s="1">
        <v>6676</v>
      </c>
      <c r="Q187" s="1">
        <v>27.97</v>
      </c>
      <c r="R187" s="1">
        <v>33</v>
      </c>
      <c r="S187" s="1">
        <v>0</v>
      </c>
      <c r="T187" s="1">
        <v>17.98</v>
      </c>
      <c r="U187" s="1">
        <v>1</v>
      </c>
      <c r="V187" s="1">
        <v>1</v>
      </c>
      <c r="W187" s="1" t="s">
        <v>1</v>
      </c>
      <c r="X187" s="1" t="s">
        <v>2</v>
      </c>
      <c r="Y187" s="2">
        <v>45954.434907407405</v>
      </c>
      <c r="Z187" s="1">
        <v>1533</v>
      </c>
      <c r="AA187" t="str">
        <f>+VLOOKUP(O187,'[1]Ventas_odoo Interface'!$E:$AP,38,0)</f>
        <v>F FX02-00343038</v>
      </c>
    </row>
    <row r="188" spans="1:27" ht="15" customHeight="1" x14ac:dyDescent="0.25">
      <c r="A188" s="1">
        <v>763</v>
      </c>
      <c r="B188" s="1">
        <v>20250513</v>
      </c>
      <c r="C188" s="1">
        <v>20250513</v>
      </c>
      <c r="D188" s="1"/>
      <c r="E188" s="1">
        <v>1807</v>
      </c>
      <c r="F188" s="1">
        <v>1000</v>
      </c>
      <c r="G188" s="1">
        <v>1250</v>
      </c>
      <c r="H188" s="1">
        <v>5</v>
      </c>
      <c r="I188" s="1">
        <v>1475</v>
      </c>
      <c r="J188" s="1">
        <v>100</v>
      </c>
      <c r="K188" s="1">
        <v>28417</v>
      </c>
      <c r="L188" s="1">
        <v>225</v>
      </c>
      <c r="M188" s="1">
        <v>1</v>
      </c>
      <c r="N188" s="1">
        <v>0</v>
      </c>
      <c r="O188" s="1" t="s">
        <v>60</v>
      </c>
      <c r="P188" s="1">
        <v>6962</v>
      </c>
      <c r="Q188" s="1">
        <v>1.25</v>
      </c>
      <c r="R188" s="1">
        <v>1.48</v>
      </c>
      <c r="S188" s="1">
        <v>0</v>
      </c>
      <c r="T188" s="1">
        <v>18</v>
      </c>
      <c r="U188" s="1">
        <v>1</v>
      </c>
      <c r="V188" s="1">
        <v>1</v>
      </c>
      <c r="W188" s="1" t="s">
        <v>1</v>
      </c>
      <c r="X188" s="1" t="s">
        <v>2</v>
      </c>
      <c r="Y188" s="2">
        <v>45954.434907407405</v>
      </c>
      <c r="Z188" s="1">
        <v>482</v>
      </c>
      <c r="AA188" t="str">
        <f>+VLOOKUP(O188,'[1]Ventas_odoo Interface'!$E:$AP,38,0)</f>
        <v>F E001-00000250</v>
      </c>
    </row>
    <row r="189" spans="1:27" ht="15" customHeight="1" x14ac:dyDescent="0.25">
      <c r="A189" s="1">
        <v>764</v>
      </c>
      <c r="B189" s="1">
        <v>20250513</v>
      </c>
      <c r="C189" s="1">
        <v>20250513</v>
      </c>
      <c r="D189" s="1"/>
      <c r="E189" s="1">
        <v>1854</v>
      </c>
      <c r="F189" s="1">
        <v>1</v>
      </c>
      <c r="G189" s="1">
        <v>4521.1899999999996</v>
      </c>
      <c r="H189" s="1">
        <v>5</v>
      </c>
      <c r="I189" s="1">
        <v>5335</v>
      </c>
      <c r="J189" s="1">
        <v>100</v>
      </c>
      <c r="K189" s="1">
        <v>28412</v>
      </c>
      <c r="L189" s="1">
        <v>813.81</v>
      </c>
      <c r="M189" s="1">
        <v>1</v>
      </c>
      <c r="N189" s="1">
        <v>0</v>
      </c>
      <c r="O189" s="1" t="s">
        <v>61</v>
      </c>
      <c r="P189" s="1">
        <v>6962</v>
      </c>
      <c r="Q189" s="1">
        <v>4521.1899999999996</v>
      </c>
      <c r="R189" s="1">
        <v>5335</v>
      </c>
      <c r="S189" s="1">
        <v>0</v>
      </c>
      <c r="T189" s="1">
        <v>18</v>
      </c>
      <c r="U189" s="1">
        <v>1</v>
      </c>
      <c r="V189" s="1">
        <v>1</v>
      </c>
      <c r="W189" s="1" t="s">
        <v>1</v>
      </c>
      <c r="X189" s="1" t="s">
        <v>2</v>
      </c>
      <c r="Y189" s="2">
        <v>45954.434907407405</v>
      </c>
      <c r="Z189" s="1">
        <v>482</v>
      </c>
      <c r="AA189" t="str">
        <f>+VLOOKUP(O189,'[1]Ventas_odoo Interface'!$E:$AP,38,0)</f>
        <v>F E001-00000249</v>
      </c>
    </row>
    <row r="190" spans="1:27" ht="15" customHeight="1" x14ac:dyDescent="0.25">
      <c r="A190" s="1">
        <v>765</v>
      </c>
      <c r="B190" s="1">
        <v>20250513</v>
      </c>
      <c r="C190" s="1">
        <v>20250513</v>
      </c>
      <c r="D190" s="1"/>
      <c r="E190" s="1">
        <v>1872</v>
      </c>
      <c r="F190" s="1">
        <v>1</v>
      </c>
      <c r="G190" s="1">
        <v>135</v>
      </c>
      <c r="H190" s="1">
        <v>2</v>
      </c>
      <c r="I190" s="1">
        <v>159.30000000000001</v>
      </c>
      <c r="J190" s="1">
        <v>100</v>
      </c>
      <c r="K190" s="1">
        <v>28407</v>
      </c>
      <c r="L190" s="1">
        <v>24.3</v>
      </c>
      <c r="M190" s="1">
        <v>1</v>
      </c>
      <c r="N190" s="1">
        <v>0</v>
      </c>
      <c r="O190" s="1" t="s">
        <v>62</v>
      </c>
      <c r="P190" s="1">
        <v>6743</v>
      </c>
      <c r="Q190" s="1">
        <v>135</v>
      </c>
      <c r="R190" s="1">
        <v>159.30000000000001</v>
      </c>
      <c r="S190" s="1">
        <v>0</v>
      </c>
      <c r="T190" s="1">
        <v>18</v>
      </c>
      <c r="U190" s="1">
        <v>1</v>
      </c>
      <c r="V190" s="1">
        <v>1</v>
      </c>
      <c r="W190" s="1" t="s">
        <v>1</v>
      </c>
      <c r="X190" s="1" t="s">
        <v>2</v>
      </c>
      <c r="Y190" s="2">
        <v>45954.434907407405</v>
      </c>
      <c r="Z190" s="1">
        <v>1797</v>
      </c>
      <c r="AA190" t="str">
        <f>+VLOOKUP(O190,'[1]Ventas_odoo Interface'!$E:$AP,38,0)</f>
        <v>F F001 - 000 1167</v>
      </c>
    </row>
    <row r="191" spans="1:27" ht="15" customHeight="1" x14ac:dyDescent="0.25">
      <c r="A191" s="1">
        <v>766</v>
      </c>
      <c r="B191" s="1">
        <v>20250512</v>
      </c>
      <c r="C191" s="1">
        <v>20250512</v>
      </c>
      <c r="D191" s="1"/>
      <c r="E191" s="1">
        <v>1892</v>
      </c>
      <c r="F191" s="1">
        <v>1</v>
      </c>
      <c r="G191" s="1">
        <v>749.07</v>
      </c>
      <c r="H191" s="1">
        <v>5</v>
      </c>
      <c r="I191" s="1">
        <v>883.9</v>
      </c>
      <c r="J191" s="1">
        <v>100</v>
      </c>
      <c r="K191" s="1">
        <v>28532</v>
      </c>
      <c r="L191" s="1">
        <v>134.83000000000001</v>
      </c>
      <c r="M191" s="1">
        <v>1</v>
      </c>
      <c r="N191" s="1">
        <v>0</v>
      </c>
      <c r="O191" s="1" t="s">
        <v>63</v>
      </c>
      <c r="P191" s="1">
        <v>6695</v>
      </c>
      <c r="Q191" s="1">
        <v>749.07</v>
      </c>
      <c r="R191" s="1">
        <v>883.9</v>
      </c>
      <c r="S191" s="1">
        <v>0</v>
      </c>
      <c r="T191" s="1">
        <v>18</v>
      </c>
      <c r="U191" s="1">
        <v>1</v>
      </c>
      <c r="V191" s="1">
        <v>1</v>
      </c>
      <c r="W191" s="1" t="s">
        <v>1</v>
      </c>
      <c r="X191" s="1" t="s">
        <v>2</v>
      </c>
      <c r="Y191" s="2">
        <v>45954.434907407405</v>
      </c>
      <c r="Z191" s="1">
        <v>1450</v>
      </c>
      <c r="AA191" t="str">
        <f>+VLOOKUP(O191,'[1]Ventas_odoo Interface'!$E:$AP,38,0)</f>
        <v>R S108-84224 N-BV-04145</v>
      </c>
    </row>
    <row r="192" spans="1:27" ht="15" customHeight="1" x14ac:dyDescent="0.25">
      <c r="A192" s="1">
        <v>767</v>
      </c>
      <c r="B192" s="1">
        <v>20250512</v>
      </c>
      <c r="C192" s="1">
        <v>20250512</v>
      </c>
      <c r="D192" s="1"/>
      <c r="E192" s="1">
        <v>1824</v>
      </c>
      <c r="F192" s="1">
        <v>40</v>
      </c>
      <c r="G192" s="1">
        <v>696</v>
      </c>
      <c r="H192" s="1">
        <v>5</v>
      </c>
      <c r="I192" s="1">
        <v>821.28</v>
      </c>
      <c r="J192" s="1">
        <v>100</v>
      </c>
      <c r="K192" s="1">
        <v>28399</v>
      </c>
      <c r="L192" s="1">
        <v>125.28</v>
      </c>
      <c r="M192" s="1">
        <v>1</v>
      </c>
      <c r="N192" s="1">
        <v>0</v>
      </c>
      <c r="O192" s="1" t="s">
        <v>64</v>
      </c>
      <c r="P192" s="1">
        <v>877</v>
      </c>
      <c r="Q192" s="1">
        <v>17.399999999999999</v>
      </c>
      <c r="R192" s="1">
        <v>20.53</v>
      </c>
      <c r="S192" s="1">
        <v>0</v>
      </c>
      <c r="T192" s="1">
        <v>18</v>
      </c>
      <c r="U192" s="1">
        <v>1</v>
      </c>
      <c r="V192" s="1">
        <v>1</v>
      </c>
      <c r="W192" s="1" t="s">
        <v>1</v>
      </c>
      <c r="X192" s="1" t="s">
        <v>2</v>
      </c>
      <c r="Y192" s="2">
        <v>45954.434907407405</v>
      </c>
      <c r="Z192" s="1">
        <v>470</v>
      </c>
      <c r="AA192" t="str">
        <f>+VLOOKUP(O192,'[1]Ventas_odoo Interface'!$E:$AP,38,0)</f>
        <v>F F001-00024068</v>
      </c>
    </row>
    <row r="193" spans="1:27" ht="15" customHeight="1" x14ac:dyDescent="0.25">
      <c r="A193" s="1">
        <v>768</v>
      </c>
      <c r="B193" s="1">
        <v>20250512</v>
      </c>
      <c r="C193" s="1">
        <v>20250512</v>
      </c>
      <c r="D193" s="1"/>
      <c r="E193" s="1">
        <v>1825</v>
      </c>
      <c r="F193" s="1">
        <v>2</v>
      </c>
      <c r="G193" s="1">
        <v>128</v>
      </c>
      <c r="H193" s="1">
        <v>5</v>
      </c>
      <c r="I193" s="1">
        <v>151.04</v>
      </c>
      <c r="J193" s="1">
        <v>100</v>
      </c>
      <c r="K193" s="1">
        <v>28400</v>
      </c>
      <c r="L193" s="1">
        <v>23.04</v>
      </c>
      <c r="M193" s="1">
        <v>1</v>
      </c>
      <c r="N193" s="1">
        <v>0</v>
      </c>
      <c r="O193" s="1" t="s">
        <v>64</v>
      </c>
      <c r="P193" s="1">
        <v>877</v>
      </c>
      <c r="Q193" s="1">
        <v>64</v>
      </c>
      <c r="R193" s="1">
        <v>75.52</v>
      </c>
      <c r="S193" s="1">
        <v>0</v>
      </c>
      <c r="T193" s="1">
        <v>18</v>
      </c>
      <c r="U193" s="1">
        <v>1</v>
      </c>
      <c r="V193" s="1">
        <v>1</v>
      </c>
      <c r="W193" s="1" t="s">
        <v>1</v>
      </c>
      <c r="X193" s="1" t="s">
        <v>2</v>
      </c>
      <c r="Y193" s="2">
        <v>45954.434907407405</v>
      </c>
      <c r="Z193" s="1">
        <v>470</v>
      </c>
      <c r="AA193" t="str">
        <f>+VLOOKUP(O193,'[1]Ventas_odoo Interface'!$E:$AP,38,0)</f>
        <v>F F001-00024068</v>
      </c>
    </row>
    <row r="194" spans="1:27" ht="15" customHeight="1" x14ac:dyDescent="0.25">
      <c r="A194" s="1">
        <v>769</v>
      </c>
      <c r="B194" s="1">
        <v>20250511</v>
      </c>
      <c r="C194" s="1">
        <v>20250511</v>
      </c>
      <c r="D194" s="1"/>
      <c r="E194" s="1">
        <v>1857</v>
      </c>
      <c r="F194" s="1">
        <v>1</v>
      </c>
      <c r="G194" s="1">
        <v>100</v>
      </c>
      <c r="H194" s="1">
        <v>5</v>
      </c>
      <c r="I194" s="1">
        <v>118</v>
      </c>
      <c r="J194" s="1">
        <v>100</v>
      </c>
      <c r="K194" s="1">
        <v>28487</v>
      </c>
      <c r="L194" s="1">
        <v>18</v>
      </c>
      <c r="M194" s="1">
        <v>1</v>
      </c>
      <c r="N194" s="1">
        <v>0</v>
      </c>
      <c r="O194" s="1" t="s">
        <v>65</v>
      </c>
      <c r="P194" s="1">
        <v>6797</v>
      </c>
      <c r="Q194" s="1">
        <v>100</v>
      </c>
      <c r="R194" s="1">
        <v>118</v>
      </c>
      <c r="S194" s="1">
        <v>0</v>
      </c>
      <c r="T194" s="1">
        <v>18</v>
      </c>
      <c r="U194" s="1">
        <v>1</v>
      </c>
      <c r="V194" s="1">
        <v>1</v>
      </c>
      <c r="W194" s="1" t="s">
        <v>1</v>
      </c>
      <c r="X194" s="1" t="s">
        <v>2</v>
      </c>
      <c r="Y194" s="2">
        <v>45954.434907407405</v>
      </c>
      <c r="Z194" s="1">
        <v>1661</v>
      </c>
      <c r="AA194" t="str">
        <f>+VLOOKUP(O194,'[1]Ventas_odoo Interface'!$E:$AP,38,0)</f>
        <v>F F052-01536673</v>
      </c>
    </row>
    <row r="195" spans="1:27" ht="15" customHeight="1" x14ac:dyDescent="0.25">
      <c r="A195" s="1">
        <v>770</v>
      </c>
      <c r="B195" s="1">
        <v>20250511</v>
      </c>
      <c r="C195" s="1">
        <v>20250511</v>
      </c>
      <c r="D195" s="1"/>
      <c r="E195" s="1">
        <v>1859</v>
      </c>
      <c r="F195" s="1">
        <v>1</v>
      </c>
      <c r="G195" s="1">
        <v>2400</v>
      </c>
      <c r="H195" s="1">
        <v>2</v>
      </c>
      <c r="I195" s="1">
        <v>2832</v>
      </c>
      <c r="J195" s="1">
        <v>100</v>
      </c>
      <c r="K195" s="1">
        <v>28383</v>
      </c>
      <c r="L195" s="1">
        <v>432</v>
      </c>
      <c r="M195" s="1">
        <v>1</v>
      </c>
      <c r="N195" s="1">
        <v>0</v>
      </c>
      <c r="O195" s="1" t="s">
        <v>66</v>
      </c>
      <c r="P195" s="1">
        <v>6743</v>
      </c>
      <c r="Q195" s="1">
        <v>2400</v>
      </c>
      <c r="R195" s="1">
        <v>2832</v>
      </c>
      <c r="S195" s="1">
        <v>0</v>
      </c>
      <c r="T195" s="1">
        <v>18</v>
      </c>
      <c r="U195" s="1">
        <v>1</v>
      </c>
      <c r="V195" s="1">
        <v>1</v>
      </c>
      <c r="W195" s="1" t="s">
        <v>1</v>
      </c>
      <c r="X195" s="1" t="s">
        <v>2</v>
      </c>
      <c r="Y195" s="2">
        <v>45954.434907407405</v>
      </c>
      <c r="Z195" s="1">
        <v>1389</v>
      </c>
      <c r="AA195" t="str">
        <f>+VLOOKUP(O195,'[1]Ventas_odoo Interface'!$E:$AP,38,0)</f>
        <v>F E001-00000029</v>
      </c>
    </row>
    <row r="196" spans="1:27" ht="15" customHeight="1" x14ac:dyDescent="0.25">
      <c r="A196" s="1">
        <v>771</v>
      </c>
      <c r="B196" s="1">
        <v>20250509</v>
      </c>
      <c r="C196" s="1">
        <v>20250509</v>
      </c>
      <c r="D196" s="1"/>
      <c r="E196" s="1">
        <v>219</v>
      </c>
      <c r="F196" s="1">
        <v>2000</v>
      </c>
      <c r="G196" s="1">
        <v>338.98</v>
      </c>
      <c r="H196" s="1">
        <v>5</v>
      </c>
      <c r="I196" s="1">
        <v>400</v>
      </c>
      <c r="J196" s="1">
        <v>100</v>
      </c>
      <c r="K196" s="1">
        <v>28388</v>
      </c>
      <c r="L196" s="1">
        <v>61.02</v>
      </c>
      <c r="M196" s="1">
        <v>1</v>
      </c>
      <c r="N196" s="1">
        <v>0</v>
      </c>
      <c r="O196" s="1" t="s">
        <v>67</v>
      </c>
      <c r="P196" s="1">
        <v>6962</v>
      </c>
      <c r="Q196" s="1">
        <v>0.17</v>
      </c>
      <c r="R196" s="1">
        <v>0.2</v>
      </c>
      <c r="S196" s="1">
        <v>0</v>
      </c>
      <c r="T196" s="1">
        <v>18</v>
      </c>
      <c r="U196" s="1">
        <v>1</v>
      </c>
      <c r="V196" s="1">
        <v>1</v>
      </c>
      <c r="W196" s="1" t="s">
        <v>1</v>
      </c>
      <c r="X196" s="1" t="s">
        <v>2</v>
      </c>
      <c r="Y196" s="2">
        <v>45954.434918981482</v>
      </c>
      <c r="Z196" s="1">
        <v>1400</v>
      </c>
      <c r="AA196" t="str">
        <f>+VLOOKUP(O196,'[1]Ventas_odoo Interface'!$E:$AP,38,0)</f>
        <v>F F001-00008823</v>
      </c>
    </row>
    <row r="197" spans="1:27" ht="15" customHeight="1" x14ac:dyDescent="0.25">
      <c r="A197" s="1">
        <v>772</v>
      </c>
      <c r="B197" s="1">
        <v>20250509</v>
      </c>
      <c r="C197" s="1">
        <v>20250509</v>
      </c>
      <c r="D197" s="1"/>
      <c r="E197" s="1">
        <v>219</v>
      </c>
      <c r="F197" s="1">
        <v>5000</v>
      </c>
      <c r="G197" s="1">
        <v>847.46</v>
      </c>
      <c r="H197" s="1">
        <v>5</v>
      </c>
      <c r="I197" s="1">
        <v>1000</v>
      </c>
      <c r="J197" s="1">
        <v>100</v>
      </c>
      <c r="K197" s="1">
        <v>28389</v>
      </c>
      <c r="L197" s="1">
        <v>152.54</v>
      </c>
      <c r="M197" s="1">
        <v>1</v>
      </c>
      <c r="N197" s="1">
        <v>0</v>
      </c>
      <c r="O197" s="1" t="s">
        <v>67</v>
      </c>
      <c r="P197" s="1">
        <v>6962</v>
      </c>
      <c r="Q197" s="1">
        <v>0.17</v>
      </c>
      <c r="R197" s="1">
        <v>0.2</v>
      </c>
      <c r="S197" s="1">
        <v>0</v>
      </c>
      <c r="T197" s="1">
        <v>18</v>
      </c>
      <c r="U197" s="1">
        <v>1</v>
      </c>
      <c r="V197" s="1">
        <v>1</v>
      </c>
      <c r="W197" s="1" t="s">
        <v>1</v>
      </c>
      <c r="X197" s="1" t="s">
        <v>2</v>
      </c>
      <c r="Y197" s="2">
        <v>45954.434918981482</v>
      </c>
      <c r="Z197" s="1">
        <v>1400</v>
      </c>
      <c r="AA197" t="str">
        <f>+VLOOKUP(O197,'[1]Ventas_odoo Interface'!$E:$AP,38,0)</f>
        <v>F F001-00008823</v>
      </c>
    </row>
    <row r="198" spans="1:27" ht="15" customHeight="1" x14ac:dyDescent="0.25">
      <c r="A198" s="1">
        <v>773</v>
      </c>
      <c r="B198" s="1">
        <v>20250509</v>
      </c>
      <c r="C198" s="1">
        <v>20250509</v>
      </c>
      <c r="D198" s="1"/>
      <c r="E198" s="1">
        <v>219</v>
      </c>
      <c r="F198" s="1">
        <v>5000</v>
      </c>
      <c r="G198" s="1">
        <v>847.46</v>
      </c>
      <c r="H198" s="1">
        <v>5</v>
      </c>
      <c r="I198" s="1">
        <v>1000</v>
      </c>
      <c r="J198" s="1">
        <v>100</v>
      </c>
      <c r="K198" s="1">
        <v>28390</v>
      </c>
      <c r="L198" s="1">
        <v>152.54</v>
      </c>
      <c r="M198" s="1">
        <v>1</v>
      </c>
      <c r="N198" s="1">
        <v>0</v>
      </c>
      <c r="O198" s="1" t="s">
        <v>67</v>
      </c>
      <c r="P198" s="1">
        <v>6962</v>
      </c>
      <c r="Q198" s="1">
        <v>0.17</v>
      </c>
      <c r="R198" s="1">
        <v>0.2</v>
      </c>
      <c r="S198" s="1">
        <v>0</v>
      </c>
      <c r="T198" s="1">
        <v>18</v>
      </c>
      <c r="U198" s="1">
        <v>1</v>
      </c>
      <c r="V198" s="1">
        <v>1</v>
      </c>
      <c r="W198" s="1" t="s">
        <v>1</v>
      </c>
      <c r="X198" s="1" t="s">
        <v>2</v>
      </c>
      <c r="Y198" s="2">
        <v>45954.434918981482</v>
      </c>
      <c r="Z198" s="1">
        <v>1400</v>
      </c>
      <c r="AA198" t="str">
        <f>+VLOOKUP(O198,'[1]Ventas_odoo Interface'!$E:$AP,38,0)</f>
        <v>F F001-00008823</v>
      </c>
    </row>
    <row r="199" spans="1:27" ht="15" customHeight="1" x14ac:dyDescent="0.25">
      <c r="A199" s="1">
        <v>774</v>
      </c>
      <c r="B199" s="1">
        <v>20250509</v>
      </c>
      <c r="C199" s="1">
        <v>20250509</v>
      </c>
      <c r="D199" s="1"/>
      <c r="E199" s="1">
        <v>219</v>
      </c>
      <c r="F199" s="1">
        <v>5000</v>
      </c>
      <c r="G199" s="1">
        <v>847.46</v>
      </c>
      <c r="H199" s="1">
        <v>5</v>
      </c>
      <c r="I199" s="1">
        <v>1000</v>
      </c>
      <c r="J199" s="1">
        <v>100</v>
      </c>
      <c r="K199" s="1">
        <v>28391</v>
      </c>
      <c r="L199" s="1">
        <v>152.54</v>
      </c>
      <c r="M199" s="1">
        <v>1</v>
      </c>
      <c r="N199" s="1">
        <v>0</v>
      </c>
      <c r="O199" s="1" t="s">
        <v>67</v>
      </c>
      <c r="P199" s="1">
        <v>6962</v>
      </c>
      <c r="Q199" s="1">
        <v>0.17</v>
      </c>
      <c r="R199" s="1">
        <v>0.2</v>
      </c>
      <c r="S199" s="1">
        <v>0</v>
      </c>
      <c r="T199" s="1">
        <v>18</v>
      </c>
      <c r="U199" s="1">
        <v>1</v>
      </c>
      <c r="V199" s="1">
        <v>1</v>
      </c>
      <c r="W199" s="1" t="s">
        <v>1</v>
      </c>
      <c r="X199" s="1" t="s">
        <v>2</v>
      </c>
      <c r="Y199" s="2">
        <v>45954.434918981482</v>
      </c>
      <c r="Z199" s="1">
        <v>1400</v>
      </c>
      <c r="AA199" t="str">
        <f>+VLOOKUP(O199,'[1]Ventas_odoo Interface'!$E:$AP,38,0)</f>
        <v>F F001-00008823</v>
      </c>
    </row>
    <row r="200" spans="1:27" ht="15" customHeight="1" x14ac:dyDescent="0.25">
      <c r="A200" s="1">
        <v>775</v>
      </c>
      <c r="B200" s="1">
        <v>20250509</v>
      </c>
      <c r="C200" s="1">
        <v>20250509</v>
      </c>
      <c r="D200" s="1"/>
      <c r="E200" s="1">
        <v>219</v>
      </c>
      <c r="F200" s="1">
        <v>5000</v>
      </c>
      <c r="G200" s="1">
        <v>847.46</v>
      </c>
      <c r="H200" s="1">
        <v>5</v>
      </c>
      <c r="I200" s="1">
        <v>1000</v>
      </c>
      <c r="J200" s="1">
        <v>100</v>
      </c>
      <c r="K200" s="1">
        <v>28392</v>
      </c>
      <c r="L200" s="1">
        <v>152.54</v>
      </c>
      <c r="M200" s="1">
        <v>1</v>
      </c>
      <c r="N200" s="1">
        <v>0</v>
      </c>
      <c r="O200" s="1" t="s">
        <v>67</v>
      </c>
      <c r="P200" s="1">
        <v>6962</v>
      </c>
      <c r="Q200" s="1">
        <v>0.17</v>
      </c>
      <c r="R200" s="1">
        <v>0.2</v>
      </c>
      <c r="S200" s="1">
        <v>0</v>
      </c>
      <c r="T200" s="1">
        <v>18</v>
      </c>
      <c r="U200" s="1">
        <v>1</v>
      </c>
      <c r="V200" s="1">
        <v>1</v>
      </c>
      <c r="W200" s="1" t="s">
        <v>1</v>
      </c>
      <c r="X200" s="1" t="s">
        <v>2</v>
      </c>
      <c r="Y200" s="2">
        <v>45954.434918981482</v>
      </c>
      <c r="Z200" s="1">
        <v>1400</v>
      </c>
      <c r="AA200" t="str">
        <f>+VLOOKUP(O200,'[1]Ventas_odoo Interface'!$E:$AP,38,0)</f>
        <v>F F001-00008823</v>
      </c>
    </row>
    <row r="201" spans="1:27" ht="15" customHeight="1" x14ac:dyDescent="0.25">
      <c r="A201" s="1">
        <v>776</v>
      </c>
      <c r="B201" s="1">
        <v>20250509</v>
      </c>
      <c r="C201" s="1">
        <v>20250509</v>
      </c>
      <c r="D201" s="1"/>
      <c r="E201" s="1">
        <v>219</v>
      </c>
      <c r="F201" s="1">
        <v>5000</v>
      </c>
      <c r="G201" s="1">
        <v>847.46</v>
      </c>
      <c r="H201" s="1">
        <v>5</v>
      </c>
      <c r="I201" s="1">
        <v>1000</v>
      </c>
      <c r="J201" s="1">
        <v>100</v>
      </c>
      <c r="K201" s="1">
        <v>28393</v>
      </c>
      <c r="L201" s="1">
        <v>152.54</v>
      </c>
      <c r="M201" s="1">
        <v>1</v>
      </c>
      <c r="N201" s="1">
        <v>0</v>
      </c>
      <c r="O201" s="1" t="s">
        <v>67</v>
      </c>
      <c r="P201" s="1">
        <v>6962</v>
      </c>
      <c r="Q201" s="1">
        <v>0.17</v>
      </c>
      <c r="R201" s="1">
        <v>0.2</v>
      </c>
      <c r="S201" s="1">
        <v>0</v>
      </c>
      <c r="T201" s="1">
        <v>18</v>
      </c>
      <c r="U201" s="1">
        <v>1</v>
      </c>
      <c r="V201" s="1">
        <v>1</v>
      </c>
      <c r="W201" s="1" t="s">
        <v>1</v>
      </c>
      <c r="X201" s="1" t="s">
        <v>2</v>
      </c>
      <c r="Y201" s="2">
        <v>45954.434918981482</v>
      </c>
      <c r="Z201" s="1">
        <v>1400</v>
      </c>
      <c r="AA201" t="str">
        <f>+VLOOKUP(O201,'[1]Ventas_odoo Interface'!$E:$AP,38,0)</f>
        <v>F F001-00008823</v>
      </c>
    </row>
    <row r="202" spans="1:27" ht="15" customHeight="1" x14ac:dyDescent="0.25">
      <c r="A202" s="1">
        <v>777</v>
      </c>
      <c r="B202" s="1">
        <v>20250509</v>
      </c>
      <c r="C202" s="1">
        <v>20250509</v>
      </c>
      <c r="D202" s="1"/>
      <c r="E202" s="1">
        <v>219</v>
      </c>
      <c r="F202" s="1">
        <v>5000</v>
      </c>
      <c r="G202" s="1">
        <v>847.46</v>
      </c>
      <c r="H202" s="1">
        <v>5</v>
      </c>
      <c r="I202" s="1">
        <v>1000</v>
      </c>
      <c r="J202" s="1">
        <v>100</v>
      </c>
      <c r="K202" s="1">
        <v>28394</v>
      </c>
      <c r="L202" s="1">
        <v>152.54</v>
      </c>
      <c r="M202" s="1">
        <v>1</v>
      </c>
      <c r="N202" s="1">
        <v>0</v>
      </c>
      <c r="O202" s="1" t="s">
        <v>67</v>
      </c>
      <c r="P202" s="1">
        <v>6962</v>
      </c>
      <c r="Q202" s="1">
        <v>0.17</v>
      </c>
      <c r="R202" s="1">
        <v>0.2</v>
      </c>
      <c r="S202" s="1">
        <v>0</v>
      </c>
      <c r="T202" s="1">
        <v>18</v>
      </c>
      <c r="U202" s="1">
        <v>1</v>
      </c>
      <c r="V202" s="1">
        <v>1</v>
      </c>
      <c r="W202" s="1" t="s">
        <v>1</v>
      </c>
      <c r="X202" s="1" t="s">
        <v>2</v>
      </c>
      <c r="Y202" s="2">
        <v>45954.434918981482</v>
      </c>
      <c r="Z202" s="1">
        <v>1400</v>
      </c>
      <c r="AA202" t="str">
        <f>+VLOOKUP(O202,'[1]Ventas_odoo Interface'!$E:$AP,38,0)</f>
        <v>F F001-00008823</v>
      </c>
    </row>
    <row r="203" spans="1:27" ht="15" customHeight="1" x14ac:dyDescent="0.25">
      <c r="A203" s="1">
        <v>778</v>
      </c>
      <c r="B203" s="1">
        <v>20250509</v>
      </c>
      <c r="C203" s="1">
        <v>20250509</v>
      </c>
      <c r="D203" s="1"/>
      <c r="E203" s="1">
        <v>223</v>
      </c>
      <c r="F203" s="1">
        <v>1000</v>
      </c>
      <c r="G203" s="1">
        <v>271.19</v>
      </c>
      <c r="H203" s="1">
        <v>5</v>
      </c>
      <c r="I203" s="1">
        <v>320</v>
      </c>
      <c r="J203" s="1">
        <v>100</v>
      </c>
      <c r="K203" s="1">
        <v>28395</v>
      </c>
      <c r="L203" s="1">
        <v>48.81</v>
      </c>
      <c r="M203" s="1">
        <v>1</v>
      </c>
      <c r="N203" s="1">
        <v>0</v>
      </c>
      <c r="O203" s="1" t="s">
        <v>67</v>
      </c>
      <c r="P203" s="1">
        <v>6962</v>
      </c>
      <c r="Q203" s="1">
        <v>0.27</v>
      </c>
      <c r="R203" s="1">
        <v>0.32</v>
      </c>
      <c r="S203" s="1">
        <v>0</v>
      </c>
      <c r="T203" s="1">
        <v>18</v>
      </c>
      <c r="U203" s="1">
        <v>1</v>
      </c>
      <c r="V203" s="1">
        <v>1</v>
      </c>
      <c r="W203" s="1" t="s">
        <v>1</v>
      </c>
      <c r="X203" s="1" t="s">
        <v>2</v>
      </c>
      <c r="Y203" s="2">
        <v>45954.434918981482</v>
      </c>
      <c r="Z203" s="1">
        <v>1400</v>
      </c>
      <c r="AA203" t="str">
        <f>+VLOOKUP(O203,'[1]Ventas_odoo Interface'!$E:$AP,38,0)</f>
        <v>F F001-00008823</v>
      </c>
    </row>
    <row r="204" spans="1:27" ht="15" customHeight="1" x14ac:dyDescent="0.25">
      <c r="A204" s="1">
        <v>779</v>
      </c>
      <c r="B204" s="1">
        <v>20250509</v>
      </c>
      <c r="C204" s="1">
        <v>20250509</v>
      </c>
      <c r="D204" s="1"/>
      <c r="E204" s="1">
        <v>223</v>
      </c>
      <c r="F204" s="1">
        <v>500</v>
      </c>
      <c r="G204" s="1">
        <v>228.81</v>
      </c>
      <c r="H204" s="1">
        <v>5</v>
      </c>
      <c r="I204" s="1">
        <v>270</v>
      </c>
      <c r="J204" s="1">
        <v>100</v>
      </c>
      <c r="K204" s="1">
        <v>28396</v>
      </c>
      <c r="L204" s="1">
        <v>41.19</v>
      </c>
      <c r="M204" s="1">
        <v>1</v>
      </c>
      <c r="N204" s="1">
        <v>0</v>
      </c>
      <c r="O204" s="1" t="s">
        <v>67</v>
      </c>
      <c r="P204" s="1">
        <v>6962</v>
      </c>
      <c r="Q204" s="1">
        <v>0.46</v>
      </c>
      <c r="R204" s="1">
        <v>0.54</v>
      </c>
      <c r="S204" s="1">
        <v>0</v>
      </c>
      <c r="T204" s="1">
        <v>18</v>
      </c>
      <c r="U204" s="1">
        <v>1</v>
      </c>
      <c r="V204" s="1">
        <v>1</v>
      </c>
      <c r="W204" s="1" t="s">
        <v>1</v>
      </c>
      <c r="X204" s="1" t="s">
        <v>2</v>
      </c>
      <c r="Y204" s="2">
        <v>45954.434918981482</v>
      </c>
      <c r="Z204" s="1">
        <v>1400</v>
      </c>
      <c r="AA204" t="str">
        <f>+VLOOKUP(O204,'[1]Ventas_odoo Interface'!$E:$AP,38,0)</f>
        <v>F F001-00008823</v>
      </c>
    </row>
    <row r="205" spans="1:27" ht="15" customHeight="1" x14ac:dyDescent="0.25">
      <c r="A205" s="1">
        <v>780</v>
      </c>
      <c r="B205" s="1">
        <v>20250507</v>
      </c>
      <c r="C205" s="1">
        <v>20250507</v>
      </c>
      <c r="D205" s="1"/>
      <c r="E205" s="1">
        <v>1856</v>
      </c>
      <c r="F205" s="1">
        <v>1</v>
      </c>
      <c r="G205" s="1">
        <v>63.56</v>
      </c>
      <c r="H205" s="1">
        <v>5</v>
      </c>
      <c r="I205" s="1">
        <v>75</v>
      </c>
      <c r="J205" s="1">
        <v>100</v>
      </c>
      <c r="K205" s="1">
        <v>28370</v>
      </c>
      <c r="L205" s="1">
        <v>11.44</v>
      </c>
      <c r="M205" s="1">
        <v>1</v>
      </c>
      <c r="N205" s="1">
        <v>0</v>
      </c>
      <c r="O205" s="1" t="s">
        <v>68</v>
      </c>
      <c r="P205" s="1">
        <v>6746</v>
      </c>
      <c r="Q205" s="1">
        <v>63.56</v>
      </c>
      <c r="R205" s="1">
        <v>75</v>
      </c>
      <c r="S205" s="1">
        <v>0</v>
      </c>
      <c r="T205" s="1">
        <v>18</v>
      </c>
      <c r="U205" s="1">
        <v>1</v>
      </c>
      <c r="V205" s="1">
        <v>1</v>
      </c>
      <c r="W205" s="1" t="s">
        <v>1</v>
      </c>
      <c r="X205" s="1" t="s">
        <v>2</v>
      </c>
      <c r="Y205" s="2">
        <v>45954.434918981482</v>
      </c>
      <c r="Z205" s="1">
        <v>779</v>
      </c>
      <c r="AA205" t="str">
        <f>+VLOOKUP(O205,'[1]Ventas_odoo Interface'!$E:$AP,38,0)</f>
        <v>F E001-00000033</v>
      </c>
    </row>
    <row r="206" spans="1:27" ht="15" customHeight="1" x14ac:dyDescent="0.25">
      <c r="A206" s="1">
        <v>781</v>
      </c>
      <c r="B206" s="1">
        <v>20250506</v>
      </c>
      <c r="C206" s="1">
        <v>20250506</v>
      </c>
      <c r="D206" s="1"/>
      <c r="E206" s="1">
        <v>1843</v>
      </c>
      <c r="F206" s="1">
        <v>2</v>
      </c>
      <c r="G206" s="1">
        <v>20</v>
      </c>
      <c r="H206" s="1">
        <v>5</v>
      </c>
      <c r="I206" s="1">
        <v>23.6</v>
      </c>
      <c r="J206" s="1">
        <v>100</v>
      </c>
      <c r="K206" s="1">
        <v>28373</v>
      </c>
      <c r="L206" s="1">
        <v>3.6</v>
      </c>
      <c r="M206" s="1">
        <v>1</v>
      </c>
      <c r="N206" s="1">
        <v>0</v>
      </c>
      <c r="O206" s="1" t="s">
        <v>69</v>
      </c>
      <c r="P206" s="1">
        <v>6676</v>
      </c>
      <c r="Q206" s="1">
        <v>10</v>
      </c>
      <c r="R206" s="1">
        <v>11.8</v>
      </c>
      <c r="S206" s="1">
        <v>0</v>
      </c>
      <c r="T206" s="1">
        <v>18</v>
      </c>
      <c r="U206" s="1">
        <v>1</v>
      </c>
      <c r="V206" s="1">
        <v>1</v>
      </c>
      <c r="W206" s="1" t="s">
        <v>1</v>
      </c>
      <c r="X206" s="1" t="s">
        <v>2</v>
      </c>
      <c r="Y206" s="2">
        <v>45954.434918981482</v>
      </c>
      <c r="Z206" s="1">
        <v>1454</v>
      </c>
      <c r="AA206" t="str">
        <f>+VLOOKUP(O206,'[1]Ventas_odoo Interface'!$E:$AP,38,0)</f>
        <v>F E001-00001285</v>
      </c>
    </row>
    <row r="207" spans="1:27" ht="15" customHeight="1" x14ac:dyDescent="0.25">
      <c r="A207" s="1">
        <v>782</v>
      </c>
      <c r="B207" s="1">
        <v>20250506</v>
      </c>
      <c r="C207" s="1">
        <v>20250506</v>
      </c>
      <c r="D207" s="1"/>
      <c r="E207" s="1">
        <v>1855</v>
      </c>
      <c r="F207" s="1">
        <v>1</v>
      </c>
      <c r="G207" s="1">
        <v>1500</v>
      </c>
      <c r="H207" s="1">
        <v>5</v>
      </c>
      <c r="I207" s="1">
        <v>1500</v>
      </c>
      <c r="J207" s="1">
        <v>100</v>
      </c>
      <c r="K207" s="1">
        <v>28364</v>
      </c>
      <c r="L207" s="1">
        <v>0</v>
      </c>
      <c r="M207" s="1">
        <v>1</v>
      </c>
      <c r="N207" s="1">
        <v>0</v>
      </c>
      <c r="O207" s="1" t="s">
        <v>70</v>
      </c>
      <c r="P207" s="1">
        <v>6743</v>
      </c>
      <c r="Q207" s="1">
        <v>1500</v>
      </c>
      <c r="R207" s="1">
        <v>1500</v>
      </c>
      <c r="S207" s="1">
        <v>0</v>
      </c>
      <c r="T207" s="1">
        <v>0</v>
      </c>
      <c r="U207" s="1">
        <v>1</v>
      </c>
      <c r="V207" s="1">
        <v>1</v>
      </c>
      <c r="W207" s="1" t="s">
        <v>1</v>
      </c>
      <c r="X207" s="1" t="s">
        <v>2</v>
      </c>
      <c r="Y207" s="2">
        <v>45954.434930555559</v>
      </c>
      <c r="Z207" s="1">
        <v>1786</v>
      </c>
      <c r="AA207" t="str">
        <f>+VLOOKUP(O207,'[1]Ventas_odoo Interface'!$E:$AP,38,0)</f>
        <v>R E001-13</v>
      </c>
    </row>
    <row r="208" spans="1:27" ht="15" customHeight="1" x14ac:dyDescent="0.25">
      <c r="A208" s="1">
        <v>783</v>
      </c>
      <c r="B208" s="1">
        <v>20250505</v>
      </c>
      <c r="C208" s="1">
        <v>20250505</v>
      </c>
      <c r="D208" s="1"/>
      <c r="E208" s="1">
        <v>1852</v>
      </c>
      <c r="F208" s="1">
        <v>1</v>
      </c>
      <c r="G208" s="1">
        <v>329.66</v>
      </c>
      <c r="H208" s="1">
        <v>5</v>
      </c>
      <c r="I208" s="1">
        <v>389</v>
      </c>
      <c r="J208" s="1">
        <v>100</v>
      </c>
      <c r="K208" s="1">
        <v>28355</v>
      </c>
      <c r="L208" s="1">
        <v>59.34</v>
      </c>
      <c r="M208" s="1">
        <v>1</v>
      </c>
      <c r="N208" s="1">
        <v>0</v>
      </c>
      <c r="O208" s="1" t="s">
        <v>71</v>
      </c>
      <c r="P208" s="1">
        <v>6746</v>
      </c>
      <c r="Q208" s="1">
        <v>329.66</v>
      </c>
      <c r="R208" s="1">
        <v>389</v>
      </c>
      <c r="S208" s="1">
        <v>0</v>
      </c>
      <c r="T208" s="1">
        <v>18</v>
      </c>
      <c r="U208" s="1">
        <v>1</v>
      </c>
      <c r="V208" s="1">
        <v>1</v>
      </c>
      <c r="W208" s="1" t="s">
        <v>1</v>
      </c>
      <c r="X208" s="1" t="s">
        <v>2</v>
      </c>
      <c r="Y208" s="2">
        <v>45954.434930555559</v>
      </c>
      <c r="Z208" s="1">
        <v>779</v>
      </c>
      <c r="AA208" t="str">
        <f>+VLOOKUP(O208,'[1]Ventas_odoo Interface'!$E:$AP,38,0)</f>
        <v>F E001-00000032</v>
      </c>
    </row>
    <row r="209" spans="1:27" ht="15" customHeight="1" x14ac:dyDescent="0.25">
      <c r="A209" s="1">
        <v>784</v>
      </c>
      <c r="B209" s="1">
        <v>20250505</v>
      </c>
      <c r="C209" s="1">
        <v>20250505</v>
      </c>
      <c r="D209" s="1"/>
      <c r="E209" s="1">
        <v>1853</v>
      </c>
      <c r="F209" s="1">
        <v>1</v>
      </c>
      <c r="G209" s="1">
        <v>244.92</v>
      </c>
      <c r="H209" s="1">
        <v>5</v>
      </c>
      <c r="I209" s="1">
        <v>289.01</v>
      </c>
      <c r="J209" s="1">
        <v>100</v>
      </c>
      <c r="K209" s="1">
        <v>28356</v>
      </c>
      <c r="L209" s="1">
        <v>44.09</v>
      </c>
      <c r="M209" s="1">
        <v>1</v>
      </c>
      <c r="N209" s="1">
        <v>0</v>
      </c>
      <c r="O209" s="1" t="s">
        <v>71</v>
      </c>
      <c r="P209" s="1">
        <v>6746</v>
      </c>
      <c r="Q209" s="1">
        <v>244.92</v>
      </c>
      <c r="R209" s="1">
        <v>289.01</v>
      </c>
      <c r="S209" s="1">
        <v>0</v>
      </c>
      <c r="T209" s="1">
        <v>18</v>
      </c>
      <c r="U209" s="1">
        <v>1</v>
      </c>
      <c r="V209" s="1">
        <v>1</v>
      </c>
      <c r="W209" s="1" t="s">
        <v>1</v>
      </c>
      <c r="X209" s="1" t="s">
        <v>2</v>
      </c>
      <c r="Y209" s="2">
        <v>45954.434930555559</v>
      </c>
      <c r="Z209" s="1">
        <v>779</v>
      </c>
      <c r="AA209" t="str">
        <f>+VLOOKUP(O209,'[1]Ventas_odoo Interface'!$E:$AP,38,0)</f>
        <v>F E001-00000032</v>
      </c>
    </row>
    <row r="210" spans="1:27" ht="15" customHeight="1" x14ac:dyDescent="0.25">
      <c r="A210" s="1">
        <v>785</v>
      </c>
      <c r="B210" s="1">
        <v>20250505</v>
      </c>
      <c r="C210" s="1">
        <v>20250505</v>
      </c>
      <c r="D210" s="1"/>
      <c r="E210" s="1">
        <v>239</v>
      </c>
      <c r="F210" s="1">
        <v>1</v>
      </c>
      <c r="G210" s="1">
        <v>321.19</v>
      </c>
      <c r="H210" s="1">
        <v>5</v>
      </c>
      <c r="I210" s="1">
        <v>379</v>
      </c>
      <c r="J210" s="1">
        <v>100</v>
      </c>
      <c r="K210" s="1">
        <v>28357</v>
      </c>
      <c r="L210" s="1">
        <v>57.81</v>
      </c>
      <c r="M210" s="1">
        <v>1</v>
      </c>
      <c r="N210" s="1">
        <v>0</v>
      </c>
      <c r="O210" s="1" t="s">
        <v>71</v>
      </c>
      <c r="P210" s="1">
        <v>6746</v>
      </c>
      <c r="Q210" s="1">
        <v>321.19</v>
      </c>
      <c r="R210" s="1">
        <v>379</v>
      </c>
      <c r="S210" s="1">
        <v>0</v>
      </c>
      <c r="T210" s="1">
        <v>18</v>
      </c>
      <c r="U210" s="1">
        <v>1</v>
      </c>
      <c r="V210" s="1">
        <v>1</v>
      </c>
      <c r="W210" s="1" t="s">
        <v>1</v>
      </c>
      <c r="X210" s="1" t="s">
        <v>2</v>
      </c>
      <c r="Y210" s="2">
        <v>45954.434930555559</v>
      </c>
      <c r="Z210" s="1">
        <v>779</v>
      </c>
      <c r="AA210" t="str">
        <f>+VLOOKUP(O210,'[1]Ventas_odoo Interface'!$E:$AP,38,0)</f>
        <v>F E001-00000032</v>
      </c>
    </row>
    <row r="211" spans="1:27" ht="15" customHeight="1" x14ac:dyDescent="0.25">
      <c r="A211" s="1">
        <v>786</v>
      </c>
      <c r="B211" s="1">
        <v>20250505</v>
      </c>
      <c r="C211" s="1">
        <v>20250505</v>
      </c>
      <c r="D211" s="1"/>
      <c r="E211" s="1">
        <v>1851</v>
      </c>
      <c r="F211" s="1">
        <v>1</v>
      </c>
      <c r="G211" s="1">
        <v>182.5</v>
      </c>
      <c r="H211" s="1">
        <v>2</v>
      </c>
      <c r="I211" s="1">
        <v>182.5</v>
      </c>
      <c r="J211" s="1">
        <v>100</v>
      </c>
      <c r="K211" s="1">
        <v>28348</v>
      </c>
      <c r="L211" s="1">
        <v>0</v>
      </c>
      <c r="M211" s="1">
        <v>1</v>
      </c>
      <c r="N211" s="1">
        <v>0</v>
      </c>
      <c r="O211" s="1" t="s">
        <v>72</v>
      </c>
      <c r="P211" s="1">
        <v>6743</v>
      </c>
      <c r="Q211" s="1">
        <v>182.5</v>
      </c>
      <c r="R211" s="1">
        <v>182.5</v>
      </c>
      <c r="S211" s="1">
        <v>0</v>
      </c>
      <c r="T211" s="1">
        <v>0</v>
      </c>
      <c r="U211" s="1">
        <v>1</v>
      </c>
      <c r="V211" s="1">
        <v>1</v>
      </c>
      <c r="W211" s="1" t="s">
        <v>1</v>
      </c>
      <c r="X211" s="1" t="s">
        <v>2</v>
      </c>
      <c r="Y211" s="2">
        <v>45954.434930555559</v>
      </c>
      <c r="Z211" s="1">
        <v>1784</v>
      </c>
      <c r="AA211" t="str">
        <f>+VLOOKUP(O211,'[1]Ventas_odoo Interface'!$E:$AP,38,0)</f>
        <v>R E001-18</v>
      </c>
    </row>
    <row r="212" spans="1:27" ht="15" customHeight="1" x14ac:dyDescent="0.25">
      <c r="A212" s="1">
        <v>787</v>
      </c>
      <c r="B212" s="1">
        <v>20250505</v>
      </c>
      <c r="C212" s="1">
        <v>20250505</v>
      </c>
      <c r="D212" s="1"/>
      <c r="E212" s="1">
        <v>1848</v>
      </c>
      <c r="F212" s="1">
        <v>1</v>
      </c>
      <c r="G212" s="1">
        <v>329.66</v>
      </c>
      <c r="H212" s="1">
        <v>5</v>
      </c>
      <c r="I212" s="1">
        <v>389</v>
      </c>
      <c r="J212" s="1">
        <v>100</v>
      </c>
      <c r="K212" s="1">
        <v>28343</v>
      </c>
      <c r="L212" s="1">
        <v>59.34</v>
      </c>
      <c r="M212" s="1">
        <v>3</v>
      </c>
      <c r="N212" s="1">
        <v>0</v>
      </c>
      <c r="O212" s="1" t="s">
        <v>73</v>
      </c>
      <c r="P212" s="1">
        <v>6746</v>
      </c>
      <c r="Q212" s="1">
        <v>329.66</v>
      </c>
      <c r="R212" s="1">
        <v>389</v>
      </c>
      <c r="S212" s="1">
        <v>0</v>
      </c>
      <c r="T212" s="1">
        <v>18</v>
      </c>
      <c r="U212" s="1">
        <v>1</v>
      </c>
      <c r="V212" s="1">
        <v>1</v>
      </c>
      <c r="W212" s="1" t="s">
        <v>1</v>
      </c>
      <c r="X212" s="1" t="s">
        <v>2</v>
      </c>
      <c r="Y212" s="2">
        <v>45954.434930555559</v>
      </c>
      <c r="Z212" s="1">
        <v>779</v>
      </c>
      <c r="AA212" t="str">
        <f>+VLOOKUP(O212,'[1]Ventas_odoo Interface'!$E:$AP,38,0)</f>
        <v>F E001-00000031</v>
      </c>
    </row>
    <row r="213" spans="1:27" ht="15" customHeight="1" x14ac:dyDescent="0.25">
      <c r="A213" s="1">
        <v>788</v>
      </c>
      <c r="B213" s="1">
        <v>20250505</v>
      </c>
      <c r="C213" s="1">
        <v>20250505</v>
      </c>
      <c r="D213" s="1"/>
      <c r="E213" s="1">
        <v>1849</v>
      </c>
      <c r="F213" s="1">
        <v>1</v>
      </c>
      <c r="G213" s="1">
        <v>244.92</v>
      </c>
      <c r="H213" s="1">
        <v>5</v>
      </c>
      <c r="I213" s="1">
        <v>289</v>
      </c>
      <c r="J213" s="1">
        <v>100</v>
      </c>
      <c r="K213" s="1">
        <v>28344</v>
      </c>
      <c r="L213" s="1">
        <v>44.08</v>
      </c>
      <c r="M213" s="1">
        <v>3</v>
      </c>
      <c r="N213" s="1">
        <v>0</v>
      </c>
      <c r="O213" s="1" t="s">
        <v>73</v>
      </c>
      <c r="P213" s="1">
        <v>6746</v>
      </c>
      <c r="Q213" s="1">
        <v>244.92</v>
      </c>
      <c r="R213" s="1">
        <v>289</v>
      </c>
      <c r="S213" s="1">
        <v>0</v>
      </c>
      <c r="T213" s="1">
        <v>18</v>
      </c>
      <c r="U213" s="1">
        <v>1</v>
      </c>
      <c r="V213" s="1">
        <v>1</v>
      </c>
      <c r="W213" s="1" t="s">
        <v>1</v>
      </c>
      <c r="X213" s="1" t="s">
        <v>2</v>
      </c>
      <c r="Y213" s="2">
        <v>45954.434930555559</v>
      </c>
      <c r="Z213" s="1">
        <v>779</v>
      </c>
      <c r="AA213" t="str">
        <f>+VLOOKUP(O213,'[1]Ventas_odoo Interface'!$E:$AP,38,0)</f>
        <v>F E001-00000031</v>
      </c>
    </row>
    <row r="214" spans="1:27" ht="15" customHeight="1" x14ac:dyDescent="0.25">
      <c r="A214" s="1">
        <v>789</v>
      </c>
      <c r="B214" s="1">
        <v>20250505</v>
      </c>
      <c r="C214" s="1">
        <v>20250505</v>
      </c>
      <c r="D214" s="1"/>
      <c r="E214" s="1">
        <v>239</v>
      </c>
      <c r="F214" s="1">
        <v>1</v>
      </c>
      <c r="G214" s="1">
        <v>130.51</v>
      </c>
      <c r="H214" s="1">
        <v>5</v>
      </c>
      <c r="I214" s="1">
        <v>154</v>
      </c>
      <c r="J214" s="1">
        <v>100</v>
      </c>
      <c r="K214" s="1">
        <v>28345</v>
      </c>
      <c r="L214" s="1">
        <v>23.49</v>
      </c>
      <c r="M214" s="1">
        <v>3</v>
      </c>
      <c r="N214" s="1">
        <v>0</v>
      </c>
      <c r="O214" s="1" t="s">
        <v>73</v>
      </c>
      <c r="P214" s="1">
        <v>6746</v>
      </c>
      <c r="Q214" s="1">
        <v>130.51</v>
      </c>
      <c r="R214" s="1">
        <v>154</v>
      </c>
      <c r="S214" s="1">
        <v>0</v>
      </c>
      <c r="T214" s="1">
        <v>18</v>
      </c>
      <c r="U214" s="1">
        <v>1</v>
      </c>
      <c r="V214" s="1">
        <v>1</v>
      </c>
      <c r="W214" s="1" t="s">
        <v>1</v>
      </c>
      <c r="X214" s="1" t="s">
        <v>2</v>
      </c>
      <c r="Y214" s="2">
        <v>45954.434930555559</v>
      </c>
      <c r="Z214" s="1">
        <v>779</v>
      </c>
      <c r="AA214" t="str">
        <f>+VLOOKUP(O214,'[1]Ventas_odoo Interface'!$E:$AP,38,0)</f>
        <v>F E001-00000031</v>
      </c>
    </row>
    <row r="215" spans="1:27" ht="15" customHeight="1" x14ac:dyDescent="0.25">
      <c r="A215" s="1">
        <v>790</v>
      </c>
      <c r="B215" s="1">
        <v>20250504</v>
      </c>
      <c r="C215" s="1">
        <v>20250504</v>
      </c>
      <c r="D215" s="1"/>
      <c r="E215" s="1">
        <v>1847</v>
      </c>
      <c r="F215" s="1">
        <v>2</v>
      </c>
      <c r="G215" s="1">
        <v>48</v>
      </c>
      <c r="H215" s="1">
        <v>5</v>
      </c>
      <c r="I215" s="1">
        <v>56.64</v>
      </c>
      <c r="J215" s="1">
        <v>100</v>
      </c>
      <c r="K215" s="1">
        <v>28332</v>
      </c>
      <c r="L215" s="1">
        <v>8.64</v>
      </c>
      <c r="M215" s="1">
        <v>1</v>
      </c>
      <c r="N215" s="1">
        <v>0</v>
      </c>
      <c r="O215" s="1" t="s">
        <v>74</v>
      </c>
      <c r="P215" s="1">
        <v>877</v>
      </c>
      <c r="Q215" s="1">
        <v>24</v>
      </c>
      <c r="R215" s="1">
        <v>28.32</v>
      </c>
      <c r="S215" s="1">
        <v>0</v>
      </c>
      <c r="T215" s="1">
        <v>18</v>
      </c>
      <c r="U215" s="1">
        <v>1</v>
      </c>
      <c r="V215" s="1">
        <v>1</v>
      </c>
      <c r="W215" s="1" t="s">
        <v>1</v>
      </c>
      <c r="X215" s="1" t="s">
        <v>2</v>
      </c>
      <c r="Y215" s="2">
        <v>45954.434930555559</v>
      </c>
      <c r="Z215" s="1">
        <v>482</v>
      </c>
      <c r="AA215" t="str">
        <f>+VLOOKUP(O215,'[1]Ventas_odoo Interface'!$E:$AP,38,0)</f>
        <v>F E001-00000242</v>
      </c>
    </row>
    <row r="216" spans="1:27" ht="15" customHeight="1" x14ac:dyDescent="0.25">
      <c r="A216" s="1">
        <v>840</v>
      </c>
      <c r="B216" s="1">
        <v>20250408</v>
      </c>
      <c r="C216" s="1">
        <v>20250408</v>
      </c>
      <c r="D216" s="1"/>
      <c r="E216" s="1">
        <v>1814</v>
      </c>
      <c r="F216" s="1">
        <v>1</v>
      </c>
      <c r="G216" s="1">
        <v>502.54</v>
      </c>
      <c r="H216" s="1">
        <v>5</v>
      </c>
      <c r="I216" s="1">
        <v>593</v>
      </c>
      <c r="J216" s="1">
        <v>100</v>
      </c>
      <c r="K216" s="1">
        <v>28162</v>
      </c>
      <c r="L216" s="1">
        <v>90.46</v>
      </c>
      <c r="M216" s="1">
        <v>3</v>
      </c>
      <c r="N216" s="1">
        <v>0</v>
      </c>
      <c r="O216" s="1" t="s">
        <v>75</v>
      </c>
      <c r="P216" s="1">
        <v>877</v>
      </c>
      <c r="Q216" s="1">
        <v>502.54</v>
      </c>
      <c r="R216" s="1">
        <v>593</v>
      </c>
      <c r="S216" s="1">
        <v>0</v>
      </c>
      <c r="T216" s="1">
        <v>18</v>
      </c>
      <c r="U216" s="1">
        <v>1</v>
      </c>
      <c r="V216" s="1">
        <v>1</v>
      </c>
      <c r="W216" s="1" t="s">
        <v>1</v>
      </c>
      <c r="X216" s="1" t="s">
        <v>2</v>
      </c>
      <c r="Y216" s="2">
        <v>45954.434988425928</v>
      </c>
      <c r="Z216" s="1">
        <v>1660</v>
      </c>
      <c r="AA216" t="str">
        <f>+VLOOKUP(O216,'[1]Ventas_odoo Interface'!$E:$AP,38,0)</f>
        <v>F E001-00000247</v>
      </c>
    </row>
    <row r="217" spans="1:27" ht="15" customHeight="1" x14ac:dyDescent="0.25">
      <c r="A217" s="1">
        <v>841</v>
      </c>
      <c r="B217" s="1">
        <v>20250408</v>
      </c>
      <c r="C217" s="1">
        <v>20250408</v>
      </c>
      <c r="D217" s="1"/>
      <c r="E217" s="1">
        <v>1813</v>
      </c>
      <c r="F217" s="1">
        <v>1</v>
      </c>
      <c r="G217" s="1">
        <v>9657.44</v>
      </c>
      <c r="H217" s="1">
        <v>5</v>
      </c>
      <c r="I217" s="1">
        <v>11395.78</v>
      </c>
      <c r="J217" s="1">
        <v>100</v>
      </c>
      <c r="K217" s="1">
        <v>28152</v>
      </c>
      <c r="L217" s="1">
        <v>1738.34</v>
      </c>
      <c r="M217" s="1">
        <v>1</v>
      </c>
      <c r="N217" s="1">
        <v>0</v>
      </c>
      <c r="O217" s="1" t="s">
        <v>76</v>
      </c>
      <c r="P217" s="1">
        <v>6743</v>
      </c>
      <c r="Q217" s="1">
        <v>9657.44</v>
      </c>
      <c r="R217" s="1">
        <v>11395.78</v>
      </c>
      <c r="S217" s="1">
        <v>0</v>
      </c>
      <c r="T217" s="1">
        <v>18</v>
      </c>
      <c r="U217" s="1">
        <v>1</v>
      </c>
      <c r="V217" s="1">
        <v>1</v>
      </c>
      <c r="W217" s="1" t="s">
        <v>1</v>
      </c>
      <c r="X217" s="1" t="s">
        <v>2</v>
      </c>
      <c r="Y217" s="2">
        <v>45954.434988425928</v>
      </c>
      <c r="Z217" s="1">
        <v>1659</v>
      </c>
      <c r="AA217" t="str">
        <f>+VLOOKUP(O217,'[1]Ventas_odoo Interface'!$E:$AP,38,0)</f>
        <v>F E001-00000051</v>
      </c>
    </row>
    <row r="218" spans="1:27" ht="1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Regularizar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u201823368 (Zuñiga Cordova, Johan Poul Hugo)</dc:creator>
  <cp:lastModifiedBy>u201823368 (Zuñiga Cordova, Johan Poul Hugo)</cp:lastModifiedBy>
  <dcterms:created xsi:type="dcterms:W3CDTF">2025-10-24T21:12:32Z</dcterms:created>
  <dcterms:modified xsi:type="dcterms:W3CDTF">2025-10-24T21:32:03Z</dcterms:modified>
</cp:coreProperties>
</file>