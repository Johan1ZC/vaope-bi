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Desktop\vaope-bi\4_Validaciones\PaginaWeb - Backend\"/>
    </mc:Choice>
  </mc:AlternateContent>
  <xr:revisionPtr revIDLastSave="0" documentId="13_ncr:1_{5345BBC8-EA27-437B-87BA-E53C82811F0A}" xr6:coauthVersionLast="47" xr6:coauthVersionMax="47" xr10:uidLastSave="{00000000-0000-0000-0000-000000000000}"/>
  <bookViews>
    <workbookView xWindow="-108" yWindow="-108" windowWidth="23256" windowHeight="13896" activeTab="1" xr2:uid="{E59884CE-5FE9-41EE-8FDE-E03D8A7FDA1A}"/>
  </bookViews>
  <sheets>
    <sheet name="Hoja1" sheetId="1" r:id="rId1"/>
    <sheet name="Hoja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8" i="2" l="1"/>
  <c r="K27" i="2"/>
  <c r="K26" i="2"/>
  <c r="K25" i="2"/>
  <c r="K24" i="2"/>
  <c r="K23" i="2"/>
  <c r="K17" i="2"/>
  <c r="K16" i="2"/>
  <c r="K15" i="2"/>
  <c r="K10" i="2"/>
  <c r="K9" i="2"/>
  <c r="K8" i="2"/>
  <c r="K7" i="2"/>
  <c r="K6" i="2"/>
  <c r="K5" i="2"/>
</calcChain>
</file>

<file path=xl/sharedStrings.xml><?xml version="1.0" encoding="utf-8"?>
<sst xmlns="http://schemas.openxmlformats.org/spreadsheetml/2006/main" count="40" uniqueCount="20">
  <si>
    <t>Conclusiones:</t>
  </si>
  <si>
    <t>1. LOCAL JOHAN - BKP SAMUEL 23-ENERO</t>
  </si>
  <si>
    <t>2. colaborativa_etl_vaope.factventasweb -&gt; Subido a produccion desde LOCAL JOHAN</t>
  </si>
  <si>
    <t>3. etl_prd.factventasweb -&gt; Nuevo servidor de producción</t>
  </si>
  <si>
    <t xml:space="preserve"> - Entre el 2 y 3 no cuadran cantidad y precios para el periodo 2025 (No se subió 2026 a ese servidor prod)</t>
  </si>
  <si>
    <t xml:space="preserve"> - Entre el 1 y 2 2024 y 2025 cuadran los datos de cantidad y precios de la tabla factventasweb</t>
  </si>
  <si>
    <t xml:space="preserve"> - Entre el 1 y 3 periodo 2026 cuadra cantidad pero no precios</t>
  </si>
  <si>
    <t>etl_prd.factventasweb - Solo Enero 2026</t>
  </si>
  <si>
    <t>- Si comparamos solo Enero-2026 si cuadra del 01 al 21 cantidad y precios</t>
  </si>
  <si>
    <t>LOCALHOST-JOHAN</t>
  </si>
  <si>
    <t>ano</t>
  </si>
  <si>
    <t>q</t>
  </si>
  <si>
    <t>total_price</t>
  </si>
  <si>
    <t>payment_commission</t>
  </si>
  <si>
    <t>vaope_commission</t>
  </si>
  <si>
    <t>sale_commission</t>
  </si>
  <si>
    <t>total_deposit_new</t>
  </si>
  <si>
    <t>total_price_val</t>
  </si>
  <si>
    <t>ETL_PROD</t>
  </si>
  <si>
    <t>total_deposit_new_fix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</si>
</sst>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0" fillId="0" borderId="1" xfId="0" applyBorder="1"/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60960</xdr:rowOff>
    </xdr:from>
    <xdr:to>
      <xdr:col>3</xdr:col>
      <xdr:colOff>411653</xdr:colOff>
      <xdr:row>6</xdr:row>
      <xdr:rowOff>152471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22AD21E-2D6B-E219-6B49-114B5D38D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92480" y="426720"/>
          <a:ext cx="1996613" cy="823031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9</xdr:row>
      <xdr:rowOff>106680</xdr:rowOff>
    </xdr:from>
    <xdr:to>
      <xdr:col>3</xdr:col>
      <xdr:colOff>404032</xdr:colOff>
      <xdr:row>12</xdr:row>
      <xdr:rowOff>175313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296755-62D8-9A69-D95F-337964D28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0100" y="1752600"/>
          <a:ext cx="1981372" cy="6172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114300</xdr:rowOff>
    </xdr:from>
    <xdr:to>
      <xdr:col>3</xdr:col>
      <xdr:colOff>365929</xdr:colOff>
      <xdr:row>19</xdr:row>
      <xdr:rowOff>144846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4AEAE6-B977-F42F-2526-766C49A54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" y="2857500"/>
          <a:ext cx="1950889" cy="762066"/>
        </a:xfrm>
        <a:prstGeom prst="rect">
          <a:avLst/>
        </a:prstGeom>
      </xdr:spPr>
    </xdr:pic>
    <xdr:clientData/>
  </xdr:twoCellAnchor>
  <xdr:twoCellAnchor editAs="oneCell">
    <xdr:from>
      <xdr:col>14</xdr:col>
      <xdr:colOff>22860</xdr:colOff>
      <xdr:row>2</xdr:row>
      <xdr:rowOff>30481</xdr:rowOff>
    </xdr:from>
    <xdr:to>
      <xdr:col>17</xdr:col>
      <xdr:colOff>388858</xdr:colOff>
      <xdr:row>22</xdr:row>
      <xdr:rowOff>167641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FE7E637-6F84-14CE-C3D3-311D5EA1B4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2553"/>
        <a:stretch>
          <a:fillRect/>
        </a:stretch>
      </xdr:blipFill>
      <xdr:spPr>
        <a:xfrm>
          <a:off x="10934700" y="396241"/>
          <a:ext cx="2743438" cy="3794760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</xdr:colOff>
      <xdr:row>2</xdr:row>
      <xdr:rowOff>7620</xdr:rowOff>
    </xdr:from>
    <xdr:to>
      <xdr:col>13</xdr:col>
      <xdr:colOff>297409</xdr:colOff>
      <xdr:row>22</xdr:row>
      <xdr:rowOff>99385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49D4B07-D1F5-0FD3-7AC3-3CC573013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955280" y="373380"/>
          <a:ext cx="2644369" cy="37493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7F26-5E59-42F4-8B41-466F01745C9B}">
  <dimension ref="B2:O25"/>
  <sheetViews>
    <sheetView workbookViewId="0">
      <selection activeCell="I18" sqref="I18"/>
    </sheetView>
  </sheetViews>
  <sheetFormatPr baseColWidth="10" defaultRowHeight="14.4" x14ac:dyDescent="0.3"/>
  <cols>
    <col min="14" max="14" width="8.88671875" customWidth="1"/>
  </cols>
  <sheetData>
    <row r="2" spans="2:15" x14ac:dyDescent="0.3">
      <c r="B2" s="1" t="s">
        <v>1</v>
      </c>
      <c r="K2" s="1" t="s">
        <v>7</v>
      </c>
      <c r="O2" s="1" t="s">
        <v>1</v>
      </c>
    </row>
    <row r="9" spans="2:15" x14ac:dyDescent="0.3">
      <c r="B9" s="1" t="s">
        <v>2</v>
      </c>
    </row>
    <row r="15" spans="2:15" x14ac:dyDescent="0.3">
      <c r="B15" s="1" t="s">
        <v>3</v>
      </c>
    </row>
    <row r="22" spans="2:11" x14ac:dyDescent="0.3">
      <c r="B22" s="2" t="s">
        <v>0</v>
      </c>
    </row>
    <row r="23" spans="2:11" x14ac:dyDescent="0.3">
      <c r="B23" s="3" t="s">
        <v>5</v>
      </c>
    </row>
    <row r="24" spans="2:11" x14ac:dyDescent="0.3">
      <c r="B24" s="3" t="s">
        <v>4</v>
      </c>
      <c r="K24" s="3" t="s">
        <v>8</v>
      </c>
    </row>
    <row r="25" spans="2:11" x14ac:dyDescent="0.3">
      <c r="B25" s="3" t="s">
        <v>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F480F-F941-4591-AD1E-35E7029BD357}">
  <dimension ref="A2:K28"/>
  <sheetViews>
    <sheetView tabSelected="1" workbookViewId="0">
      <selection activeCell="M22" sqref="M22"/>
    </sheetView>
  </sheetViews>
  <sheetFormatPr baseColWidth="10" defaultRowHeight="14.4" x14ac:dyDescent="0.3"/>
  <cols>
    <col min="2" max="2" width="17.5546875" bestFit="1" customWidth="1"/>
    <col min="3" max="3" width="7" bestFit="1" customWidth="1"/>
    <col min="5" max="5" width="18.88671875" bestFit="1" customWidth="1"/>
    <col min="6" max="6" width="16.77734375" bestFit="1" customWidth="1"/>
    <col min="7" max="7" width="14.88671875" bestFit="1" customWidth="1"/>
    <col min="8" max="8" width="16.44140625" bestFit="1" customWidth="1"/>
    <col min="9" max="9" width="19.77734375" bestFit="1" customWidth="1"/>
    <col min="10" max="10" width="13.21875" bestFit="1" customWidth="1"/>
    <col min="11" max="11" width="12" bestFit="1" customWidth="1"/>
  </cols>
  <sheetData>
    <row r="2" spans="2:11" x14ac:dyDescent="0.3">
      <c r="B2" s="1" t="s">
        <v>9</v>
      </c>
    </row>
    <row r="4" spans="2:11" x14ac:dyDescent="0.3">
      <c r="B4" s="4" t="s">
        <v>10</v>
      </c>
      <c r="C4" s="4" t="s">
        <v>11</v>
      </c>
      <c r="D4" s="4" t="s">
        <v>12</v>
      </c>
      <c r="E4" s="4" t="s">
        <v>13</v>
      </c>
      <c r="F4" s="4" t="s">
        <v>14</v>
      </c>
      <c r="G4" s="4" t="s">
        <v>15</v>
      </c>
      <c r="H4" s="4" t="s">
        <v>16</v>
      </c>
      <c r="I4" s="4" t="s">
        <v>19</v>
      </c>
      <c r="J4" s="4" t="s">
        <v>17</v>
      </c>
    </row>
    <row r="5" spans="2:11" x14ac:dyDescent="0.3">
      <c r="B5" s="5">
        <v>2021</v>
      </c>
      <c r="C5" s="5">
        <v>6000</v>
      </c>
      <c r="D5" s="5">
        <v>1051975.2</v>
      </c>
      <c r="E5" s="5">
        <v>34337.879999999997</v>
      </c>
      <c r="F5" s="5">
        <v>16108.15</v>
      </c>
      <c r="G5" s="5">
        <v>11638.5</v>
      </c>
      <c r="H5" s="5">
        <v>989890.67</v>
      </c>
      <c r="I5" s="5">
        <v>989890.67</v>
      </c>
      <c r="J5" s="5">
        <v>1051975.2</v>
      </c>
      <c r="K5">
        <f>+F5+G5+I5+E5</f>
        <v>1051975.2</v>
      </c>
    </row>
    <row r="6" spans="2:11" x14ac:dyDescent="0.3">
      <c r="B6" s="5">
        <v>2022</v>
      </c>
      <c r="C6" s="5">
        <v>40192</v>
      </c>
      <c r="D6" s="5">
        <v>6454193.8200000003</v>
      </c>
      <c r="E6" s="5">
        <v>269256.32000000001</v>
      </c>
      <c r="F6" s="5">
        <v>139890.98000000001</v>
      </c>
      <c r="G6" s="5">
        <v>65274</v>
      </c>
      <c r="H6" s="5">
        <v>5979772.5199999996</v>
      </c>
      <c r="I6" s="5">
        <v>5979772.5199999996</v>
      </c>
      <c r="J6" s="5">
        <v>6454193.8200000003</v>
      </c>
      <c r="K6">
        <f t="shared" ref="K6:K10" si="0">+F6+G6+I6+E6</f>
        <v>6454193.8200000003</v>
      </c>
    </row>
    <row r="7" spans="2:11" x14ac:dyDescent="0.3">
      <c r="B7" s="5">
        <v>2023</v>
      </c>
      <c r="C7" s="5">
        <v>54640</v>
      </c>
      <c r="D7" s="5">
        <v>8609412.5800000001</v>
      </c>
      <c r="E7" s="5">
        <v>402323.32</v>
      </c>
      <c r="F7" s="5">
        <v>330207.76</v>
      </c>
      <c r="G7" s="5">
        <v>42308</v>
      </c>
      <c r="H7" s="5">
        <v>7834573.5</v>
      </c>
      <c r="I7" s="5">
        <v>7834573.5</v>
      </c>
      <c r="J7" s="5">
        <v>8609412.5800000001</v>
      </c>
      <c r="K7">
        <f t="shared" si="0"/>
        <v>8609412.5800000001</v>
      </c>
    </row>
    <row r="8" spans="2:11" x14ac:dyDescent="0.3">
      <c r="B8" s="5">
        <v>2024</v>
      </c>
      <c r="C8" s="5">
        <v>165479</v>
      </c>
      <c r="D8" s="5">
        <v>24198468.93</v>
      </c>
      <c r="E8" s="5">
        <v>1284576.1399999999</v>
      </c>
      <c r="F8" s="5">
        <v>827689.15</v>
      </c>
      <c r="G8" s="5">
        <v>29331.14</v>
      </c>
      <c r="H8" s="5">
        <v>22056872.5</v>
      </c>
      <c r="I8" s="5">
        <v>22056872.5</v>
      </c>
      <c r="J8" s="5">
        <v>24198468.93</v>
      </c>
      <c r="K8">
        <f t="shared" si="0"/>
        <v>24198468.93</v>
      </c>
    </row>
    <row r="9" spans="2:11" x14ac:dyDescent="0.3">
      <c r="B9" s="5">
        <v>2025</v>
      </c>
      <c r="C9" s="5">
        <v>283117</v>
      </c>
      <c r="D9" s="5">
        <v>43865941.119999997</v>
      </c>
      <c r="E9" s="5">
        <v>2257762.34</v>
      </c>
      <c r="F9" s="5">
        <v>1666556.17</v>
      </c>
      <c r="G9" s="5">
        <v>2795.4</v>
      </c>
      <c r="H9" s="5">
        <v>39938827.210000001</v>
      </c>
      <c r="I9" s="5">
        <v>39938827.210000001</v>
      </c>
      <c r="J9" s="5">
        <v>43865941.119999997</v>
      </c>
      <c r="K9">
        <f t="shared" si="0"/>
        <v>43865941.120000005</v>
      </c>
    </row>
    <row r="10" spans="2:11" x14ac:dyDescent="0.3">
      <c r="B10" s="5">
        <v>2026</v>
      </c>
      <c r="C10" s="5">
        <v>39214</v>
      </c>
      <c r="D10" s="5">
        <v>5954699.5099999998</v>
      </c>
      <c r="E10" s="5">
        <v>307365.83</v>
      </c>
      <c r="F10" s="5">
        <v>229955.65</v>
      </c>
      <c r="G10" s="5">
        <v>110</v>
      </c>
      <c r="H10" s="5">
        <v>5417268.0300000003</v>
      </c>
      <c r="I10" s="5">
        <v>5417268.0300000003</v>
      </c>
      <c r="J10" s="5">
        <v>5954699.5099999998</v>
      </c>
      <c r="K10">
        <f t="shared" si="0"/>
        <v>5954699.5100000007</v>
      </c>
    </row>
    <row r="12" spans="2:11" x14ac:dyDescent="0.3">
      <c r="B12" s="1" t="s">
        <v>18</v>
      </c>
    </row>
    <row r="14" spans="2:11" x14ac:dyDescent="0.3">
      <c r="B14" s="4" t="s">
        <v>10</v>
      </c>
      <c r="C14" s="4" t="s">
        <v>11</v>
      </c>
      <c r="D14" s="4" t="s">
        <v>12</v>
      </c>
      <c r="E14" s="4" t="s">
        <v>13</v>
      </c>
      <c r="F14" s="4" t="s">
        <v>14</v>
      </c>
      <c r="G14" s="4" t="s">
        <v>15</v>
      </c>
      <c r="H14" s="4" t="s">
        <v>16</v>
      </c>
      <c r="I14" s="4" t="s">
        <v>19</v>
      </c>
      <c r="J14" s="4" t="s">
        <v>17</v>
      </c>
    </row>
    <row r="15" spans="2:11" x14ac:dyDescent="0.3">
      <c r="B15" s="5">
        <v>2024</v>
      </c>
      <c r="C15" s="5">
        <v>165479</v>
      </c>
      <c r="D15" s="5">
        <v>24198468.93</v>
      </c>
      <c r="E15" s="5">
        <v>1284576.1399999999</v>
      </c>
      <c r="F15" s="5">
        <v>827689.15</v>
      </c>
      <c r="G15" s="5">
        <v>29331.14</v>
      </c>
      <c r="H15" s="5">
        <v>22056872.5</v>
      </c>
      <c r="I15" s="5">
        <v>22056872.5</v>
      </c>
      <c r="J15" s="5">
        <v>24198468.93</v>
      </c>
      <c r="K15">
        <f>+F15+G15+I15+E15</f>
        <v>24198468.93</v>
      </c>
    </row>
    <row r="16" spans="2:11" x14ac:dyDescent="0.3">
      <c r="B16" s="5">
        <v>2025</v>
      </c>
      <c r="C16" s="5">
        <v>260135</v>
      </c>
      <c r="D16" s="5">
        <v>40110322.439999998</v>
      </c>
      <c r="E16" s="5">
        <v>2065159.4</v>
      </c>
      <c r="F16" s="5">
        <v>1532111.12</v>
      </c>
      <c r="G16" s="5">
        <v>2505.4</v>
      </c>
      <c r="H16" s="5">
        <v>36300020.109999999</v>
      </c>
      <c r="I16" s="5">
        <v>36510546.520000003</v>
      </c>
      <c r="J16" s="5">
        <v>39899796.030000001</v>
      </c>
      <c r="K16">
        <f>+F16+G16+I16+E16</f>
        <v>40110322.440000005</v>
      </c>
    </row>
    <row r="17" spans="1:11" x14ac:dyDescent="0.3">
      <c r="B17" s="5">
        <v>2026</v>
      </c>
      <c r="C17" s="5">
        <v>26565</v>
      </c>
      <c r="D17" s="5">
        <v>4064680.86</v>
      </c>
      <c r="E17" s="5">
        <v>209066.67</v>
      </c>
      <c r="F17" s="5">
        <v>160729.29</v>
      </c>
      <c r="G17" s="5">
        <v>74</v>
      </c>
      <c r="H17" s="6">
        <v>3135601.39</v>
      </c>
      <c r="I17" s="5">
        <v>3694810.9</v>
      </c>
      <c r="J17" s="5">
        <v>3505471.35</v>
      </c>
      <c r="K17">
        <f>+F17+G17+I17+E17</f>
        <v>4064680.86</v>
      </c>
    </row>
    <row r="20" spans="1:11" x14ac:dyDescent="0.3">
      <c r="A20" s="5"/>
      <c r="B20" s="1" t="s">
        <v>18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3">
      <c r="A22" s="5"/>
      <c r="B22" s="4" t="s">
        <v>10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15</v>
      </c>
      <c r="H22" s="4" t="s">
        <v>16</v>
      </c>
      <c r="I22" s="4" t="s">
        <v>19</v>
      </c>
      <c r="J22" s="4" t="s">
        <v>17</v>
      </c>
      <c r="K22" s="5"/>
    </row>
    <row r="23" spans="1:11" x14ac:dyDescent="0.3">
      <c r="B23" s="5">
        <v>2021</v>
      </c>
      <c r="C23" s="5">
        <v>6000</v>
      </c>
      <c r="D23" s="5">
        <v>1051975.2</v>
      </c>
      <c r="E23" s="5">
        <v>34337.879999999997</v>
      </c>
      <c r="F23" s="5">
        <v>16108.15</v>
      </c>
      <c r="G23" s="5">
        <v>11638.5</v>
      </c>
      <c r="H23" s="5">
        <v>989890.67</v>
      </c>
      <c r="I23" s="5">
        <v>989890.67</v>
      </c>
      <c r="J23" s="5">
        <v>1051975.2</v>
      </c>
      <c r="K23">
        <f t="shared" ref="K23:K28" si="1">+F23+G23+I23+E23</f>
        <v>1051975.2</v>
      </c>
    </row>
    <row r="24" spans="1:11" x14ac:dyDescent="0.3">
      <c r="B24" s="5">
        <v>2022</v>
      </c>
      <c r="C24" s="5">
        <v>40192</v>
      </c>
      <c r="D24" s="5">
        <v>6454193.8200000003</v>
      </c>
      <c r="E24" s="5">
        <v>269256.32000000001</v>
      </c>
      <c r="F24" s="5">
        <v>139890.98000000001</v>
      </c>
      <c r="G24" s="5">
        <v>65274</v>
      </c>
      <c r="H24" s="5">
        <v>5979772.5199999996</v>
      </c>
      <c r="I24" s="5">
        <v>5979772.5199999996</v>
      </c>
      <c r="J24" s="5">
        <v>6454193.8200000003</v>
      </c>
      <c r="K24">
        <f t="shared" si="1"/>
        <v>6454193.8200000003</v>
      </c>
    </row>
    <row r="25" spans="1:11" x14ac:dyDescent="0.3">
      <c r="B25" s="5">
        <v>2023</v>
      </c>
      <c r="C25" s="5">
        <v>54640</v>
      </c>
      <c r="D25" s="5">
        <v>8609412.5800000001</v>
      </c>
      <c r="E25" s="5">
        <v>402323.32</v>
      </c>
      <c r="F25" s="5">
        <v>330207.76</v>
      </c>
      <c r="G25" s="5">
        <v>42308</v>
      </c>
      <c r="H25" s="5">
        <v>7834573.5</v>
      </c>
      <c r="I25" s="5">
        <v>7834573.5</v>
      </c>
      <c r="J25" s="5">
        <v>8609412.5800000001</v>
      </c>
      <c r="K25">
        <f t="shared" si="1"/>
        <v>8609412.5800000001</v>
      </c>
    </row>
    <row r="26" spans="1:11" x14ac:dyDescent="0.3">
      <c r="B26" s="5">
        <v>2024</v>
      </c>
      <c r="C26" s="5">
        <v>165479</v>
      </c>
      <c r="D26" s="5">
        <v>24198468.93</v>
      </c>
      <c r="E26" s="5">
        <v>1284576.1399999999</v>
      </c>
      <c r="F26" s="5">
        <v>827689.15</v>
      </c>
      <c r="G26" s="5">
        <v>29331.14</v>
      </c>
      <c r="H26" s="5">
        <v>22056872.5</v>
      </c>
      <c r="I26" s="5">
        <v>22056872.5</v>
      </c>
      <c r="J26" s="5">
        <v>24198468.93</v>
      </c>
      <c r="K26">
        <f t="shared" si="1"/>
        <v>24198468.93</v>
      </c>
    </row>
    <row r="27" spans="1:11" x14ac:dyDescent="0.3">
      <c r="B27" s="5">
        <v>2025</v>
      </c>
      <c r="C27" s="5">
        <v>283117</v>
      </c>
      <c r="D27" s="5">
        <v>43865941.119999997</v>
      </c>
      <c r="E27" s="5">
        <v>2257762.34</v>
      </c>
      <c r="F27" s="5">
        <v>1666556.17</v>
      </c>
      <c r="G27" s="5">
        <v>2795.4</v>
      </c>
      <c r="H27" s="5">
        <v>39938827.210000001</v>
      </c>
      <c r="I27" s="5">
        <v>39938827.210000001</v>
      </c>
      <c r="J27" s="5">
        <v>43865941.119999997</v>
      </c>
      <c r="K27">
        <f t="shared" si="1"/>
        <v>43865941.120000005</v>
      </c>
    </row>
    <row r="28" spans="1:11" x14ac:dyDescent="0.3">
      <c r="B28" s="5">
        <v>2026</v>
      </c>
      <c r="C28" s="5">
        <v>39214</v>
      </c>
      <c r="D28" s="5">
        <v>5954699.5099999998</v>
      </c>
      <c r="E28" s="5">
        <v>307365.83</v>
      </c>
      <c r="F28" s="5">
        <v>229955.65</v>
      </c>
      <c r="G28" s="5">
        <v>110</v>
      </c>
      <c r="H28" s="5">
        <v>5417268.0300000003</v>
      </c>
      <c r="I28" s="5">
        <v>5417268.0300000003</v>
      </c>
      <c r="J28" s="5">
        <v>5954699.5099999998</v>
      </c>
      <c r="K28">
        <f t="shared" si="1"/>
        <v>5954699.5100000007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u201823368 (Zuñiga Cordova, Johan Poul Hugo)</dc:creator>
  <cp:lastModifiedBy>u201823368 (Zuñiga Cordova, Johan Poul Hugo)</cp:lastModifiedBy>
  <dcterms:created xsi:type="dcterms:W3CDTF">2026-02-10T15:39:37Z</dcterms:created>
  <dcterms:modified xsi:type="dcterms:W3CDTF">2026-02-18T00:12:52Z</dcterms:modified>
</cp:coreProperties>
</file>