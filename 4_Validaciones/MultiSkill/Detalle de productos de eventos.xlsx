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AN\Desktop\vaope-bi\4_Validaciones\MultiSkill\"/>
    </mc:Choice>
  </mc:AlternateContent>
  <xr:revisionPtr revIDLastSave="0" documentId="13_ncr:1_{EBAAE2DE-4582-4438-86A8-00378EDDE715}" xr6:coauthVersionLast="47" xr6:coauthVersionMax="47" xr10:uidLastSave="{00000000-0000-0000-0000-000000000000}"/>
  <bookViews>
    <workbookView xWindow="-108" yWindow="-108" windowWidth="23256" windowHeight="13896" activeTab="1" xr2:uid="{60FE42A4-FECD-4BB1-9155-AB02763C7796}"/>
  </bookViews>
  <sheets>
    <sheet name="Hoja2" sheetId="2" r:id="rId1"/>
    <sheet name="Hoja1" sheetId="1" r:id="rId2"/>
  </sheets>
  <calcPr calcId="191029"/>
  <pivotCaches>
    <pivotCache cacheId="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<sst xmlns="http://schemas.openxmlformats.org/spreadsheetml/2006/main" count="637" uniqueCount="168">
  <si>
    <t>Orden de venta Nº 1332 SON DEL DUKE - OCEANIA -24/01 COSTO POR ENVIO A AGENCIA DE LIMA (FACTURADO)</t>
  </si>
  <si>
    <t>organizer</t>
  </si>
  <si>
    <t>deposito_cuenta</t>
  </si>
  <si>
    <t>DELIVERY</t>
  </si>
  <si>
    <t>Orden de venta Nº 1332 SON DEL DUKE - OCEANIA -24/01  1000 STICKERS CON QR FISICOS ZONA GENERAL S/354.00 DESCUENTO DEL 10% (S/30.00) S/318.60 (FACTURADO)</t>
  </si>
  <si>
    <t>STICKERS CON QR</t>
  </si>
  <si>
    <t>Orden de venta Nº 1331 Piscinazo Chelero con Grupo Guinda, El Lobo y Claveles de la Cumbia en El Remanso de Comas 1200 BRAZALETES CON QR FISICOS ZONA VIP S/849.60</t>
  </si>
  <si>
    <t>a_liquidacion</t>
  </si>
  <si>
    <t>BRAZALETE CON QR</t>
  </si>
  <si>
    <t>Orden de venta Nº 1331 Piscinazo Chelero con Grupo Guinda, El Lobo y Claveles de la Cumbia en El Remanso de Comas 300 FULL COLOR CON QR FISICOS ZONA NIÑO S/159.30</t>
  </si>
  <si>
    <t>BOLETO FULL COLOR CON QR</t>
  </si>
  <si>
    <t>Orden de venta Nº 1331 Piscinazo Chelero con Grupo Guinda, El Lobo y Claveles de la Cumbia en El Remanso de Comas 1500 FULL COLOR CON QR FISICOS ZONA ADULTO S/796.50</t>
  </si>
  <si>
    <t>Orden de venta Nº 1316 28° Aniversario de Explosión El Orgullo Amazónico en Iquitos COSTO POR ENVIO A AGENCIA DE LIMA</t>
  </si>
  <si>
    <t>Orden de venta Nº 1316 28° Aniversario de Explosión El Orgullo Amazónico en Iquitos 2000 STICKERS CON QR FISICOS ZONA PLATINUM S/708.00 DESCUENTO DEL 10% (S/70.80)</t>
  </si>
  <si>
    <t>Orden de venta Nº 1316 28° Aniversario de Explosión El Orgullo Amazónico en Iquitos 2000 STICKERS CON QR FISICOS ZONA VIP S/708.00 DESCUENTO DEL 10% (S/70.80)</t>
  </si>
  <si>
    <t>Orden de venta Nº 1316 28° Aniversario de Explosión El Orgullo Amazónico en Iquitos 2000 STICKERS CON QR FISICOS ZONA GENERAL S/708.00 DESCUENTO DEL 10% (S/70.80)</t>
  </si>
  <si>
    <t>Fee administrativo</t>
  </si>
  <si>
    <t>FEE ADMINISTRATIVO</t>
  </si>
  <si>
    <t>3651 La bella luz, armonía 10 y hermanos Sanchez</t>
  </si>
  <si>
    <t>Pauta digital Vaope - 1</t>
  </si>
  <si>
    <t>vaope</t>
  </si>
  <si>
    <t>PAUTA PUBLICITARIA</t>
  </si>
  <si>
    <t>Orden de venta Nº 1322 FELIZ 61 ANIVERSARIO - ESTADIO LA ESPERANZA - 31/01 COSTO POR ENVIO A AGENCIA DE LIMA (FACTURADO)</t>
  </si>
  <si>
    <t>Orden de venta Nº 1322 FELIZ 61 ANIVERSARIO - ESTADIO LA ESPERANZA - 31/01  2 RECARGOS DE IMPRESION POR PEDIDO MENOR A 1 MILLAR (FACTURADO)</t>
  </si>
  <si>
    <t>SERVICIO DE DISEÑO</t>
  </si>
  <si>
    <t>Orden de venta Nº 1322 FELIZ 61 ANIVERSARIO - ESTADIO LA ESPERANZA - 31/01 300 BRAZALETES CON QR FISICOS ZONA BOX (FACTURADO)</t>
  </si>
  <si>
    <t>Orden de venta Nº 1322 FELIZ 61 ANIVERSARIO - ESTADIO LA ESPERANZA - 31/01 2,700 BRAZALETES CON QR FISICOS ZONA VIP (FACTURADO)</t>
  </si>
  <si>
    <t>Orden de venta Nº 1322 FELIZ 61 ANIVERSARIO - ESTADIO LA ESPERANZA - 31/01 3,000 BRAZALETES CON QR FISICOS ZONA GENERAL (FACTURADO)</t>
  </si>
  <si>
    <t>Orden de venta Nº 1276 APERTURA CARNAVAL CON SON DEL DUKE - 19/01 COSTO POR ENVIO A AGENCIA DE LIMA (FACTURADO)</t>
  </si>
  <si>
    <t>Orden de venta Nº 1276 APERTURA CARNAVAL CON SON DEL DUKE - 19/01 2000 FULL COLOR CON QR FISICOS ZONA GENERAL (FACTURADO)</t>
  </si>
  <si>
    <t>Diseño Volumen - 1</t>
  </si>
  <si>
    <t>Servicio de devolución del evento #3740 Tarde Aurinegra 2026 Presentación Oficial del CD Moquegua (Inc IGV)</t>
  </si>
  <si>
    <t>SERV DEVOLUCIONES</t>
  </si>
  <si>
    <t>Orden de venta Nº 1287 Yarita Lizeth y El Lobo en Huánuco 2 RECARGOS DE IMPRESION POR PEDIDO MENOR A 1 MILLAR (FACTURADO)</t>
  </si>
  <si>
    <t>Orden de venta Nº 1287 Yarita Lizeth y El Lobo en Huánuco COSTO POR ENVIO A AGENCIA DE LIMA (FACTURADO)</t>
  </si>
  <si>
    <t>Orden de venta Nº 1287 Yarita Lizeth y El Lobo en Huánuco 1300 BRAZALETES CON QR FISICOS ZONA VIP (FACTURADO)</t>
  </si>
  <si>
    <t>Orden de venta Nº 1287 Yarita Lizeth y El Lobo en Huánuco 1700 BRAZALETES CON QR FISICOS ZONA GENERAL (FACTURADO)</t>
  </si>
  <si>
    <t>Orden de venta Nº 1287 Yarita Lizeth y El Lobo en Huánuco 1300 FULL COLOR CON QR FISICOS ZONA VIP (FACTURADO)</t>
  </si>
  <si>
    <t>Orden de venta Nº 1287 Yarita Lizeth y El Lobo en Huánuco 1700 FULL COLOR CON QR FISICOS ZONA GENERAL (FACTURADO)</t>
  </si>
  <si>
    <t>Pauta Digital - 1</t>
  </si>
  <si>
    <t>- Pago de Comisiones y Servicio de devolución.</t>
  </si>
  <si>
    <t>Servicio de devolución del evento #3702 Cumbiatonazo 2026 con Centella y más en El Bosque de Villa el Salvador (Inc IGV)</t>
  </si>
  <si>
    <t>Pauta digital - 1</t>
  </si>
  <si>
    <t>Servicio de gestión de pauta publicitaria para evento (Inc IGV)</t>
  </si>
  <si>
    <t>Servicio de 2 validadores + viáticos (Incl IGV)</t>
  </si>
  <si>
    <t>SERV VALIDADORES</t>
  </si>
  <si>
    <t>Orden de venta Nº1298 ¡CHUPATE LA PLATA! SON DEL DUKE EN EL PADRINO CLUB 2,000 BRAZALETES CON QR FISICOS ZONA VIP S/708.00</t>
  </si>
  <si>
    <t>Orden de venta Nº1298 ¡CHUPATE LA PLATA! SON DEL DUKE EN EL PADRINO CLUB 2,000 BRAZALETES CON QR FISICOS ZONA NIÑO S/1,416.00</t>
  </si>
  <si>
    <t>Orden de venta Nº1298 ¡CHUPATE LA PLATA! SON DEL DUKE EN EL PADRINO CLUB 7,000 BRAZALETES CON QR FISICOS ZONA GENERAL S/4,956.00</t>
  </si>
  <si>
    <t>Orden de venta Nº 1307 Cumbiatonazo 2026 con Centella y más en El Bosque de Villa el Salvador 700 FULL COLOR CON QR FISICOS ZONA GENERAL S/330.40</t>
  </si>
  <si>
    <t>Orden de venta Nº 1307 Cumbiatonazo 2026 con Centella y más en El Bosque de Villa el Salvador 300 FULL COLOR CON QR FISICOS ZONA VIP S/141.60</t>
  </si>
  <si>
    <t>Orden de venta Nº 1263 La Verdadera apertura de carnavales 2026 - 17/01 500 FULL COLOR CON QR FISICOS ZONA GENERAL S/236.00</t>
  </si>
  <si>
    <t>Gatos Boleto digital doble con QR (incluye código contribuyente, nombre/razón social, fecha, hora y lugar del evento)</t>
  </si>
  <si>
    <t>Orden de venta Nº 1304 Homenaje a Dennys Quevedo con Zafiro Sensual, Son de Rios y Oscar Manuel en Puente Piedra 1000 BRAZALETE CON QR FISICOS ZONA VIP S/708.00 DESCUENTO DEL 10% (S/70.80)</t>
  </si>
  <si>
    <t>Orden de venta Nº 1304 Homenaje a Dennys Quevedo con Zafiro Sensual, Son de Rios y Oscar Manuel en Puente  Piedra 1000 FULL COLOR CON QR FISICOS ZONA GENERAL S/472.00 DESCUENTO DEL 10% (S/47.20)</t>
  </si>
  <si>
    <t>Orden de venta Nº 1301 Cumbia Conciertazo con La Única Tropical y Caribeños en el Complejo Santa Rosa 1000 BRAZALETES CON QR FISICOS ZONA VIP S/708.00 DESCUENTO DEL 10% (S/70.80)</t>
  </si>
  <si>
    <t>Orden de venta Nº 1301 Cumbia Conciertazo con La Única Tropical y Caribeños en el Complejo Santa Rosa 1000 FULL COLOR CON QR FISICOS ZONA GENERAL S/472.00 DESCUENTO DEL 10% (S/47.20)</t>
  </si>
  <si>
    <t>fee administrativo</t>
  </si>
  <si>
    <t>3651 la bella Luz, Armonia 10 y Hermanos Sanchéz en Vibra Cajamarca</t>
  </si>
  <si>
    <t>Servicio de 4 validadores (Inc IGV)</t>
  </si>
  <si>
    <t>Pauta digital - Trafico - 1</t>
  </si>
  <si>
    <t>- Elaboración del flyer desde 0 (INC IGV)</t>
  </si>
  <si>
    <t>0</t>
  </si>
  <si>
    <t>Emisión de 20 entradas de cortesía (INC IGV)</t>
  </si>
  <si>
    <t>Elaboración de flyer desde 0 (INC IGV)</t>
  </si>
  <si>
    <t>Adelanto de pago</t>
  </si>
  <si>
    <t>- Servicio de diseño flayer desde cero 50+IGV (59 SOLES)</t>
  </si>
  <si>
    <t>1</t>
  </si>
  <si>
    <t>Orden de venta Nº 1306 Caribepiscinazo con Caribeños y Alegres de Bambamarca en El Remanso de Comas 1200 BRAZALETES CON QR FISICOS ZONA VIP S/849.60</t>
  </si>
  <si>
    <t>Orden de venta Nº 1306 Caribepiscinazo con Caribeños y Alegres de Bambamarca en El Remanso de Comas 500 FULL COLOR CON QR FISICOS ZONA NIÑO S/265.50</t>
  </si>
  <si>
    <t>Orden de venta Nº 1306 Caribepiscinazo con Caribeños y Alegres de Bambamarca en El Remanso de Comas 1500 FULL COLOR CON QR FISICOS ZONA ADULTO S/796.50</t>
  </si>
  <si>
    <t>Orden de venta Nº 1293 La Única Tropical en la Apertura de Carnavales San Sebastián 2026 en Talara 3000 FULL COLOR CON QR FISICOS ZONA GENERAL S/1,416.00</t>
  </si>
  <si>
    <t>Orden de venta Nº 1289 Apertura de Carnaval Cajamarquino con String Karma, Alegres de Bambamarca y más en el Complejo Santa Rosa 2,000 FULL COLOR CON QR FISICO ZONA GENERAL</t>
  </si>
  <si>
    <t>COSTO POR ENVIO A AGENCIA DE LIMA</t>
  </si>
  <si>
    <t>3,000 STICKERS CON QR FISICO</t>
  </si>
  <si>
    <t>3754 CONCURSO DE PATRULLAS Y COMPARSAS CARNAVAL P</t>
  </si>
  <si>
    <t>3753 GRAN CORSO DEL CARNAVAL PARA SIEMPRE 2026</t>
  </si>
  <si>
    <t>Pauta digital - Tráfico - 1</t>
  </si>
  <si>
    <t>Pauta digital - Interacción - 1</t>
  </si>
  <si>
    <t>- Flayer desde cero (50+IGV) S/. 59</t>
  </si>
  <si>
    <t>Pauta Digital Vaope - Alcance - 1</t>
  </si>
  <si>
    <t>Pauta digital - Alcance - 1</t>
  </si>
  <si>
    <t>Orden de venta Nº 1289 Tarde Aurinegra 2026 Presentación Oficial del CD Moquegua Gastos de envío S/.64.9</t>
  </si>
  <si>
    <t>Orden de venta Nº 1289 Tarde Aurinegra 2026 Presentación Oficial del CD Moquegua 2700 VOUCHER HORIZONTAL CON QR  ZONA ORIENTE ADULTO S/810</t>
  </si>
  <si>
    <t>VOUCHER IMPRESOS CON QR</t>
  </si>
  <si>
    <t>Orden de venta Nº 1289 Tarde Aurinegra 2026 Presentación Oficial del CD Moquegua 2700 VOUCHER HORIZONTAL CON QR  ZONA OCCIDENTE ADULTO S/810</t>
  </si>
  <si>
    <t>Orden de venta Nº 1289 Tarde Aurinegra 2026 Presentación Oficial del CD Moquegua 150 VOUCHER HORIZONTAL CON QR ZONA ORIENTE ADULTO MAYOR S/45</t>
  </si>
  <si>
    <t>Orden de venta Nº 1289 Tarde Aurinegra 2026 Presentación Oficial del CD Moquegua 150 VOUCHER HORIZONTAL CON QR ZONA OCCIDENTE ADULTO MAYOR S/45</t>
  </si>
  <si>
    <t>Orden de venta Nº 1289 Tarde Aurinegra 2026 Presentación Oficial del CD Moquegua 150 VOUCHER HORIZONTAL CON QR ZONA OCCIDENTE NIÑO S/45</t>
  </si>
  <si>
    <t>Gestión pauta - Tráfico - 1</t>
  </si>
  <si>
    <t>Servicio de 1 hora extra de validación</t>
  </si>
  <si>
    <t>3161 NOCHE DE RECONOCIMINETO VPSI 2025</t>
  </si>
  <si>
    <t>Servicio de devolución del evento #3498 Fiesta de Año Nuevo 2026 con Suu Rabanal y Dailyn Curbelo en Rustica Costa Verde EXONERADO</t>
  </si>
  <si>
    <t>Servicio de 5 validadores (Inc IGV)</t>
  </si>
  <si>
    <t>Emisión de 500 entradas de cortesía (INC IGV)</t>
  </si>
  <si>
    <t>Orden de venta Nº 1278 Fiestón de Verano 2026 con Son del Duke y Amaya Hnos en El Remanso de Comas 1,000 FULL COLOR CON QR FISICO ZONA NIÑO S/472</t>
  </si>
  <si>
    <t>Orden de venta Nº 1278 Fiestón de Verano 2026 con Son del Duke y Amaya Hnos en El Remanso de Comas 2,000 FULL COLOR CON QR FISICO ZONA ADULTO S/944</t>
  </si>
  <si>
    <t>Orden de venta Nº 1278 Fiestón de Verano 2026 con Son del Duke y Amaya Hnos en El Remanso de Comas 1,700 BRAZALETE CON QR FISICO ZONA VIP S/1,203.60</t>
  </si>
  <si>
    <t>A cuenta de préstamo</t>
  </si>
  <si>
    <t>- Elaboración de flyer desde 0. (INC IGV)</t>
  </si>
  <si>
    <t>Orden de venta Nº 1268 La Bella Luz en Íllimo 2026 Feria Internacional Reyes Magos 2,000 FULL COLOR CON QR FISICO ZONA VIP S/944</t>
  </si>
  <si>
    <t>Orden de venta Nº 1268 La Bella Luz en Íllimo 2026 Feria Internacional Reyes Magos 2,000 FULL COLOR CON QR FISICO ZONA GENERAL S/944</t>
  </si>
  <si>
    <t>Orden de venta Nº 1267 Son del Duke y Walther Lozada &amp; Orquesta en Salas Gastos de envío S/35.40</t>
  </si>
  <si>
    <t>Orden de venta Nº 1267 Son del Duke y Walther Lozada &amp; Orquesta en Salas 1,000 FULL COLOR CON QR FISICO ZONA GENERAL S/472</t>
  </si>
  <si>
    <t>Orden de venta Nº 1262 Son del Duke en Jayanca Gastos de envío S/59</t>
  </si>
  <si>
    <t>Orden de venta Nº 1262 Son del Duke en Jayanca 2,000 FULL COLOR CON QR FISICO GENERAL S/944</t>
  </si>
  <si>
    <t>Orden de venta Nº 1265 Flor Pucarina Vuelve a los Escenarios en Ayacucho 250 VOUCHERS HORIZONTALES CON QR FISICO ZONA GENERAL S/88.50</t>
  </si>
  <si>
    <t>Orden de venta Nº 1265 Flor Pucarina Vuelve a los Escenarios en Ayacucho 250 VOUCHERS HORIZONTALES CON QR FISICO ZONA VIP S/88.50</t>
  </si>
  <si>
    <t>Orden de venta Nº 1264 Gastos de envío S/35.40</t>
  </si>
  <si>
    <t>Orden de venta Nº 1264 Flor Pucarina Vuelve a los Escenarios en Juliaca 250 VOUCHERS HORIZONTALES CON QR FISICO ZONA GENERAL S/88.50</t>
  </si>
  <si>
    <t>Orden de venta Nº 1264 Flor Pucarina Vuelve a los Escenarios en Juliaca 250 VOUCHERS HORIZONTALES CON QR FISICO ZONA VIP S/88.50</t>
  </si>
  <si>
    <t>Pago por fuera de flayer desde cero (50+igv) en total 59 soles</t>
  </si>
  <si>
    <t>Emisión de 500 entradas de cortesía. (INC IGV)</t>
  </si>
  <si>
    <t>Servicio de devolución del evento #3439 El Circo de Edwin Sierra y La Casa de Nieve de Papá Noel (Inc IGV)</t>
  </si>
  <si>
    <t>Orden de venta Nº 1255 1er Piscinazo Verano 2026 con Walther Lozada &amp; Orquesta en El Remanso de Comas 1000 FULL COLOR CON QR FISICOS ZONA GENERAL S/472.00</t>
  </si>
  <si>
    <t>Orden de venta Nº 1255 1er Piscinazo Verano 2026 con Walther Lozada &amp; Orquesta en El Remanso de Comas 1200 BRAZALETES CON QR FISICOS ZONA VIP S/849.60</t>
  </si>
  <si>
    <t>Servicio de gestión de pauta publicitaria para evento (Inc IGV)- Huancayo</t>
  </si>
  <si>
    <t>Servicio de gestión de pauta publicitaria para evento (Inc IGV) - Huancayo</t>
  </si>
  <si>
    <t>VENTA TAQUILLA POS</t>
  </si>
  <si>
    <t>Comisión POS Venta Taquilla (Inc. IGV)</t>
  </si>
  <si>
    <t>COMISION POS VENTA TAQUILLA</t>
  </si>
  <si>
    <t>Descuento de la Orden de venta Nº 1133 Por Primera vez Amor Rebelde y Los Kapos de la Cumbia en el Padrino Club de Jicamarca Delivery / Gastos de envío INC IGV (S/28.91)</t>
  </si>
  <si>
    <t>Elaboración de flyer desde 0. (INC IGV)</t>
  </si>
  <si>
    <t>Servicio de 1 validador (Inc IGV)</t>
  </si>
  <si>
    <t>Servicio de 3 validadores (Inc IGV)</t>
  </si>
  <si>
    <t>Servicio de 2 vendedoras (Inc IGV)</t>
  </si>
  <si>
    <t>VENDEDOR</t>
  </si>
  <si>
    <t>Servicio de 2 validadores (Inc IGV)</t>
  </si>
  <si>
    <t>Servicio de 1 validadores (Inc IGV)</t>
  </si>
  <si>
    <t>Adelanto de recaudacion</t>
  </si>
  <si>
    <t>Orden de venta Nº 1249 El Reventonazo de Año Nuevo 2026 en La Explanada de Plaza Norte Delivery / Gastos de envío INC IGV S/53.10</t>
  </si>
  <si>
    <t>Orden de venta Nº 1249 El Reventonazo de Año Nuevo 2026 en La Explanada de Plaza Norte 3000 BRAZALETES SIN QR FISICOS ZONA VIP S/1,062.00</t>
  </si>
  <si>
    <t>Orden de venta Nº 1249 El Reventonazo de Año Nuevo 2026 en La Explanada de Plaza Norte 1000 BRAZALETES CON QR FISICOS ZONA VIP S/590.00</t>
  </si>
  <si>
    <t>Orden de venta Nº 1249 El Reventonazo de Año Nuevo 2026 en La Explanada de Plaza Norte 1000 FULL COLOR CON QR FISICOS ZONA GENERAL S/472.00</t>
  </si>
  <si>
    <t>ADELANTO DE PAGO - #3474 Fiestón de Fin de Año con Yarita Lizeth, Cliver y su Grupo Internacional Corali y más en el Complejo Santa Rosa</t>
  </si>
  <si>
    <t>Orden de venta Nº 1252 Gran Fiestón 2026 con Yarita Lizeth, Nayda Gutierrez y más en Cusco 1000 BRAZALETES CON QR FISICOS ZONA VIP S/708.00</t>
  </si>
  <si>
    <t>Orden de venta Nº 1252 Gran Fiestón 2026 con Yarita Lizeth, Nayda Gutierrez y más en Cusco 4000 FULL COLOR CON QR FISICOS ZONA GENERAL S/1,888.00</t>
  </si>
  <si>
    <t>Orden de venta Nº 1253 Primer Playa Tonazo con Son del Duke, Bill Orosco y más en Cerro Azul 2000 FULL COLOR CON QR FISICOS ZONA GENERAL S/944.00</t>
  </si>
  <si>
    <t>Orden de venta Nº 1253 Primer Playa Tonazo con Son del Duke, Bill Orosco y más en Cerro Azul 1000 BRAZALETES CON QR FISICOS ZONA  VIP S/708.00</t>
  </si>
  <si>
    <t>3210 La Verdadera Fiesta de Halloween Adelanto</t>
  </si>
  <si>
    <t>id</t>
  </si>
  <si>
    <t>product_liquidation_id</t>
  </si>
  <si>
    <t>event_id</t>
  </si>
  <si>
    <t>type_operation</t>
  </si>
  <si>
    <t>amount</t>
  </si>
  <si>
    <t>user_id</t>
  </si>
  <si>
    <t>description</t>
  </si>
  <si>
    <t>requires_approval</t>
  </si>
  <si>
    <t>charged_to</t>
  </si>
  <si>
    <t>payment_method</t>
  </si>
  <si>
    <t>created_at</t>
  </si>
  <si>
    <t>updated_at</t>
  </si>
  <si>
    <t>approved</t>
  </si>
  <si>
    <t>approved_by</t>
  </si>
  <si>
    <t>approved_at</t>
  </si>
  <si>
    <t>code_secondary</t>
  </si>
  <si>
    <t>name</t>
  </si>
  <si>
    <t>Etiquetas de fila</t>
  </si>
  <si>
    <t>(en blanco)</t>
  </si>
  <si>
    <t>Total general</t>
  </si>
  <si>
    <t>Cuenta de name</t>
  </si>
  <si>
    <t>Suma de amount</t>
  </si>
  <si>
    <t>Producto</t>
  </si>
  <si>
    <t>Impresos</t>
  </si>
  <si>
    <t>Pauta</t>
  </si>
  <si>
    <t>Venta Web</t>
  </si>
  <si>
    <t>Validadores</t>
  </si>
  <si>
    <t>Contenido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</si>
</sst>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22" fontId="0" fillId="0" borderId="0" xfId="0" applyNumberForma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1" fillId="2" borderId="0" xfId="0" applyFont="1" applyFill="1"/>
  </cellXfs>
  <cellStyles count="1">
    <cellStyle name="Normal" xfId="0" builtinId="0"/>
  </cellStyles>
  <dxfs count="19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27" formatCode="d/mm/yyyy\ hh:mm"/>
      <alignment horizontal="general" vertical="center" textRotation="0" wrapText="0" indent="0" justifyLastLine="0" shrinkToFit="0" readingOrder="0"/>
    </dxf>
    <dxf>
      <numFmt numFmtId="27" formatCode="d/mm/yyyy\ hh:mm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" refreshedDate="46058.907473611114" createdVersion="8" refreshedVersion="8" minRefreshableVersion="3" recordCount="154" xr:uid="{870801D2-72C3-4073-9A6F-028531F76C8C}">
  <cacheSource type="worksheet">
    <worksheetSource name="Tabla1"/>
  </cacheSource>
  <cacheFields count="18">
    <cacheField name="id" numFmtId="0">
      <sharedItems containsSemiMixedTypes="0" containsString="0" containsNumber="1" containsInteger="1" minValue="2775" maxValue="3448"/>
    </cacheField>
    <cacheField name="product_liquidation_id" numFmtId="0">
      <sharedItems containsString="0" containsBlank="1" containsNumber="1" containsInteger="1" minValue="3088" maxValue="3246"/>
    </cacheField>
    <cacheField name="event_id" numFmtId="0">
      <sharedItems containsSemiMixedTypes="0" containsString="0" containsNumber="1" containsInteger="1" minValue="3161" maxValue="3843"/>
    </cacheField>
    <cacheField name="type_operation" numFmtId="0">
      <sharedItems containsSemiMixedTypes="0" containsString="0" containsNumber="1" containsInteger="1" minValue="1" maxValue="26"/>
    </cacheField>
    <cacheField name="amount" numFmtId="0">
      <sharedItems containsSemiMixedTypes="0" containsString="0" containsNumber="1" minValue="-150000" maxValue="0"/>
    </cacheField>
    <cacheField name="user_id" numFmtId="0">
      <sharedItems containsSemiMixedTypes="0" containsString="0" containsNumber="1" containsInteger="1" minValue="1" maxValue="4867"/>
    </cacheField>
    <cacheField name="description" numFmtId="0">
      <sharedItems/>
    </cacheField>
    <cacheField name="requires_approval" numFmtId="0">
      <sharedItems containsMixedTypes="1" containsNumber="1" containsInteger="1" minValue="0" maxValue="1"/>
    </cacheField>
    <cacheField name="charged_to" numFmtId="0">
      <sharedItems containsBlank="1"/>
    </cacheField>
    <cacheField name="payment_method" numFmtId="0">
      <sharedItems containsBlank="1"/>
    </cacheField>
    <cacheField name="created_at" numFmtId="22">
      <sharedItems containsSemiMixedTypes="0" containsNonDate="0" containsDate="1" containsString="0" minDate="2026-01-02T09:00:27" maxDate="2026-01-23T17:15:39"/>
    </cacheField>
    <cacheField name="updated_at" numFmtId="22">
      <sharedItems containsSemiMixedTypes="0" containsNonDate="0" containsDate="1" containsString="0" minDate="2026-01-02T12:04:59" maxDate="2026-01-23T17:22:24"/>
    </cacheField>
    <cacheField name="approved" numFmtId="0">
      <sharedItems containsString="0" containsBlank="1" containsNumber="1" containsInteger="1" minValue="1" maxValue="1"/>
    </cacheField>
    <cacheField name="approved_by" numFmtId="0">
      <sharedItems containsString="0" containsBlank="1" containsNumber="1" containsInteger="1" minValue="1" maxValue="4867"/>
    </cacheField>
    <cacheField name="approved_at" numFmtId="0">
      <sharedItems containsNonDate="0" containsDate="1" containsString="0" containsBlank="1" minDate="2026-01-09T12:07:37" maxDate="2026-01-23T17:22:24"/>
    </cacheField>
    <cacheField name="code_secondary" numFmtId="0">
      <sharedItems containsString="0" containsBlank="1" containsNumber="1" containsInteger="1" minValue="3" maxValue="21"/>
    </cacheField>
    <cacheField name="name" numFmtId="0">
      <sharedItems containsBlank="1" count="13">
        <s v="DELIVERY"/>
        <s v="STICKERS CON QR"/>
        <s v="BRAZALETE CON QR"/>
        <s v="BOLETO FULL COLOR CON QR"/>
        <s v="FEE ADMINISTRATIVO"/>
        <m/>
        <s v="PAUTA PUBLICITARIA"/>
        <s v="SERVICIO DE DISEÑO"/>
        <s v="SERV DEVOLUCIONES"/>
        <s v="SERV VALIDADORES"/>
        <s v="VOUCHER IMPRESOS CON QR"/>
        <s v="COMISION POS VENTA TAQUILLA"/>
        <s v="VENDEDOR"/>
      </sharedItems>
    </cacheField>
    <cacheField name="Producto" numFmtId="0">
      <sharedItems containsBlank="1" count="6">
        <s v="Impresos"/>
        <s v="Venta Web"/>
        <m/>
        <s v="Pauta"/>
        <s v="Contenido"/>
        <s v="Validador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n v="3448"/>
    <m/>
    <n v="3843"/>
    <n v="14"/>
    <n v="-35.4"/>
    <n v="913"/>
    <s v="Orden de venta Nº 1332 SON DEL DUKE - OCEANIA -24/01 COSTO POR ENVIO A AGENCIA DE LIMA (FACTURADO)"/>
    <n v="1"/>
    <s v="organizer"/>
    <s v="deposito_cuenta"/>
    <d v="2026-01-23T17:15:39"/>
    <d v="2026-01-23T17:22:24"/>
    <n v="1"/>
    <n v="4867"/>
    <d v="2026-01-23T17:22:24"/>
    <n v="5"/>
    <x v="0"/>
    <x v="0"/>
  </r>
  <r>
    <n v="3447"/>
    <m/>
    <n v="3843"/>
    <n v="24"/>
    <n v="-318.60000000000002"/>
    <n v="913"/>
    <s v="Orden de venta Nº 1332 SON DEL DUKE - OCEANIA -24/01  1000 STICKERS CON QR FISICOS ZONA GENERAL S/354.00 DESCUENTO DEL 10% (S/30.00) S/318.60 (FACTURADO)"/>
    <n v="1"/>
    <s v="organizer"/>
    <s v="deposito_cuenta"/>
    <d v="2026-01-23T17:14:42"/>
    <d v="2026-01-23T17:22:20"/>
    <n v="1"/>
    <n v="4867"/>
    <d v="2026-01-23T17:22:20"/>
    <n v="19"/>
    <x v="1"/>
    <x v="0"/>
  </r>
  <r>
    <n v="3446"/>
    <m/>
    <n v="3801"/>
    <n v="19"/>
    <n v="-849.6"/>
    <n v="913"/>
    <s v="Orden de venta Nº 1331 Piscinazo Chelero con Grupo Guinda, El Lobo y Claveles de la Cumbia en El Remanso de Comas 1200 BRAZALETES CON QR FISICOS ZONA VIP S/849.60"/>
    <n v="1"/>
    <s v="organizer"/>
    <s v="a_liquidacion"/>
    <d v="2026-01-23T16:46:19"/>
    <d v="2026-01-23T16:48:24"/>
    <n v="1"/>
    <n v="4084"/>
    <d v="2026-01-23T16:48:24"/>
    <n v="14"/>
    <x v="2"/>
    <x v="0"/>
  </r>
  <r>
    <n v="3445"/>
    <m/>
    <n v="3801"/>
    <n v="20"/>
    <n v="-159.30000000000001"/>
    <n v="913"/>
    <s v="Orden de venta Nº 1331 Piscinazo Chelero con Grupo Guinda, El Lobo y Claveles de la Cumbia en El Remanso de Comas 300 FULL COLOR CON QR FISICOS ZONA NIÑO S/159.30"/>
    <n v="1"/>
    <s v="organizer"/>
    <s v="a_liquidacion"/>
    <d v="2026-01-23T16:45:42"/>
    <d v="2026-01-23T16:48:20"/>
    <n v="1"/>
    <n v="4084"/>
    <d v="2026-01-23T16:48:20"/>
    <n v="15"/>
    <x v="3"/>
    <x v="0"/>
  </r>
  <r>
    <n v="3444"/>
    <m/>
    <n v="3801"/>
    <n v="20"/>
    <n v="-796.5"/>
    <n v="913"/>
    <s v="Orden de venta Nº 1331 Piscinazo Chelero con Grupo Guinda, El Lobo y Claveles de la Cumbia en El Remanso de Comas 1500 FULL COLOR CON QR FISICOS ZONA ADULTO S/796.50"/>
    <n v="1"/>
    <s v="organizer"/>
    <s v="a_liquidacion"/>
    <d v="2026-01-23T16:45:09"/>
    <d v="2026-01-23T16:48:15"/>
    <n v="1"/>
    <n v="4084"/>
    <d v="2026-01-23T16:48:15"/>
    <n v="15"/>
    <x v="3"/>
    <x v="0"/>
  </r>
  <r>
    <n v="3443"/>
    <m/>
    <n v="3709"/>
    <n v="14"/>
    <n v="-35.4"/>
    <n v="913"/>
    <s v="Orden de venta Nº 1316 28° Aniversario de Explosión El Orgullo Amazónico en Iquitos COSTO POR ENVIO A AGENCIA DE LIMA"/>
    <n v="1"/>
    <s v="organizer"/>
    <s v="a_liquidacion"/>
    <d v="2026-01-23T16:26:59"/>
    <d v="2026-01-23T16:40:46"/>
    <n v="1"/>
    <n v="4084"/>
    <d v="2026-01-23T16:40:46"/>
    <n v="5"/>
    <x v="0"/>
    <x v="0"/>
  </r>
  <r>
    <n v="3442"/>
    <m/>
    <n v="3709"/>
    <n v="24"/>
    <n v="-637.20000000000005"/>
    <n v="913"/>
    <s v="Orden de venta Nº 1316 28° Aniversario de Explosión El Orgullo Amazónico en Iquitos 2000 STICKERS CON QR FISICOS ZONA PLATINUM S/708.00 DESCUENTO DEL 10% (S/70.80)"/>
    <n v="1"/>
    <s v="organizer"/>
    <s v="a_liquidacion"/>
    <d v="2026-01-23T16:24:50"/>
    <d v="2026-01-23T16:40:40"/>
    <n v="1"/>
    <n v="4084"/>
    <d v="2026-01-23T16:40:40"/>
    <n v="19"/>
    <x v="1"/>
    <x v="0"/>
  </r>
  <r>
    <n v="3441"/>
    <m/>
    <n v="3709"/>
    <n v="24"/>
    <n v="-637.20000000000005"/>
    <n v="913"/>
    <s v="Orden de venta Nº 1316 28° Aniversario de Explosión El Orgullo Amazónico en Iquitos 2000 STICKERS CON QR FISICOS ZONA VIP S/708.00 DESCUENTO DEL 10% (S/70.80)"/>
    <n v="1"/>
    <s v="organizer"/>
    <s v="a_liquidacion"/>
    <d v="2026-01-23T16:24:03"/>
    <d v="2026-01-23T16:40:31"/>
    <n v="1"/>
    <n v="4084"/>
    <d v="2026-01-23T16:40:31"/>
    <n v="19"/>
    <x v="1"/>
    <x v="0"/>
  </r>
  <r>
    <n v="3440"/>
    <m/>
    <n v="3709"/>
    <n v="24"/>
    <n v="-637.20000000000005"/>
    <n v="913"/>
    <s v="Orden de venta Nº 1316 28° Aniversario de Explosión El Orgullo Amazónico en Iquitos 2000 STICKERS CON QR FISICOS ZONA GENERAL S/708.00 DESCUENTO DEL 10% (S/70.80)"/>
    <n v="1"/>
    <s v="organizer"/>
    <s v="a_liquidacion"/>
    <d v="2026-01-23T16:22:55"/>
    <d v="2026-01-23T16:40:25"/>
    <n v="1"/>
    <n v="4084"/>
    <d v="2026-01-23T16:40:25"/>
    <n v="19"/>
    <x v="1"/>
    <x v="0"/>
  </r>
  <r>
    <n v="3439"/>
    <m/>
    <n v="3651"/>
    <n v="2"/>
    <n v="-118"/>
    <n v="4867"/>
    <s v="Fee administrativo"/>
    <n v="1"/>
    <s v="organizer"/>
    <s v="a_liquidacion"/>
    <d v="2026-01-22T16:56:40"/>
    <d v="2026-01-22T16:59:52"/>
    <n v="1"/>
    <n v="780"/>
    <d v="2026-01-22T16:59:52"/>
    <n v="8"/>
    <x v="4"/>
    <x v="1"/>
  </r>
  <r>
    <n v="3438"/>
    <m/>
    <n v="3651"/>
    <n v="1"/>
    <n v="-60000"/>
    <n v="4867"/>
    <s v="3651 La bella luz, armonía 10 y hermanos Sanchez"/>
    <n v="1"/>
    <s v="organizer"/>
    <s v="a_liquidacion"/>
    <d v="2026-01-22T16:55:56"/>
    <d v="2026-01-22T16:59:48"/>
    <n v="1"/>
    <n v="780"/>
    <d v="2026-01-22T16:59:48"/>
    <m/>
    <x v="5"/>
    <x v="2"/>
  </r>
  <r>
    <n v="3437"/>
    <m/>
    <n v="3835"/>
    <n v="4"/>
    <n v="-500"/>
    <n v="984"/>
    <s v="Pauta digital Vaope - 1"/>
    <n v="1"/>
    <s v="vaope"/>
    <m/>
    <d v="2026-01-22T16:04:16"/>
    <d v="2026-01-22T19:21:22"/>
    <n v="1"/>
    <n v="4084"/>
    <d v="2026-01-22T19:21:22"/>
    <n v="4"/>
    <x v="6"/>
    <x v="3"/>
  </r>
  <r>
    <n v="3436"/>
    <m/>
    <n v="3836"/>
    <n v="14"/>
    <n v="-35.4"/>
    <n v="913"/>
    <s v="Orden de venta Nº 1322 FELIZ 61 ANIVERSARIO - ESTADIO LA ESPERANZA - 31/01 COSTO POR ENVIO A AGENCIA DE LIMA (FACTURADO)"/>
    <n v="1"/>
    <s v="organizer"/>
    <s v="deposito_cuenta"/>
    <d v="2026-01-22T15:00:48"/>
    <d v="2026-01-22T15:07:23"/>
    <n v="1"/>
    <n v="4867"/>
    <d v="2026-01-22T15:07:23"/>
    <n v="5"/>
    <x v="0"/>
    <x v="0"/>
  </r>
  <r>
    <n v="3435"/>
    <m/>
    <n v="3836"/>
    <n v="26"/>
    <n v="-70.8"/>
    <n v="913"/>
    <s v="Orden de venta Nº 1322 FELIZ 61 ANIVERSARIO - ESTADIO LA ESPERANZA - 31/01  2 RECARGOS DE IMPRESION POR PEDIDO MENOR A 1 MILLAR (FACTURADO)"/>
    <n v="1"/>
    <s v="organizer"/>
    <s v="deposito_cuenta"/>
    <d v="2026-01-22T15:00:13"/>
    <d v="2026-01-22T15:07:21"/>
    <n v="1"/>
    <n v="4867"/>
    <d v="2026-01-22T15:07:21"/>
    <n v="21"/>
    <x v="7"/>
    <x v="4"/>
  </r>
  <r>
    <n v="3434"/>
    <m/>
    <n v="3836"/>
    <n v="19"/>
    <n v="-212.4"/>
    <n v="913"/>
    <s v="Orden de venta Nº 1322 FELIZ 61 ANIVERSARIO - ESTADIO LA ESPERANZA - 31/01 300 BRAZALETES CON QR FISICOS ZONA BOX (FACTURADO)"/>
    <n v="1"/>
    <s v="organizer"/>
    <s v="deposito_cuenta"/>
    <d v="2026-01-22T14:59:03"/>
    <d v="2026-01-22T15:07:19"/>
    <n v="1"/>
    <n v="4867"/>
    <d v="2026-01-22T15:07:19"/>
    <n v="14"/>
    <x v="2"/>
    <x v="0"/>
  </r>
  <r>
    <n v="3433"/>
    <m/>
    <n v="3836"/>
    <n v="19"/>
    <n v="-1911.6"/>
    <n v="913"/>
    <s v="Orden de venta Nº 1322 FELIZ 61 ANIVERSARIO - ESTADIO LA ESPERANZA - 31/01 2,700 BRAZALETES CON QR FISICOS ZONA VIP (FACTURADO)"/>
    <n v="1"/>
    <s v="organizer"/>
    <s v="deposito_cuenta"/>
    <d v="2026-01-22T14:58:17"/>
    <d v="2026-01-22T15:07:17"/>
    <n v="1"/>
    <n v="4867"/>
    <d v="2026-01-22T15:07:17"/>
    <n v="14"/>
    <x v="2"/>
    <x v="0"/>
  </r>
  <r>
    <n v="3432"/>
    <m/>
    <n v="3836"/>
    <n v="19"/>
    <n v="-2124"/>
    <n v="913"/>
    <s v="Orden de venta Nº 1322 FELIZ 61 ANIVERSARIO - ESTADIO LA ESPERANZA - 31/01 3,000 BRAZALETES CON QR FISICOS ZONA GENERAL (FACTURADO)"/>
    <n v="1"/>
    <s v="organizer"/>
    <s v="deposito_cuenta"/>
    <d v="2026-01-22T14:56:50"/>
    <d v="2026-01-22T15:07:15"/>
    <n v="1"/>
    <n v="4867"/>
    <d v="2026-01-22T15:07:15"/>
    <n v="14"/>
    <x v="2"/>
    <x v="0"/>
  </r>
  <r>
    <n v="3431"/>
    <m/>
    <n v="3618"/>
    <n v="4"/>
    <n v="-150"/>
    <n v="984"/>
    <s v="Pauta digital Vaope - 1"/>
    <n v="1"/>
    <s v="vaope"/>
    <m/>
    <d v="2026-01-22T11:35:54"/>
    <d v="2026-01-22T11:38:30"/>
    <n v="1"/>
    <n v="4084"/>
    <d v="2026-01-22T11:38:30"/>
    <n v="4"/>
    <x v="6"/>
    <x v="3"/>
  </r>
  <r>
    <n v="3430"/>
    <n v="3235"/>
    <n v="3735"/>
    <n v="14"/>
    <n v="-35.4"/>
    <n v="913"/>
    <s v="Orden de venta Nº 1276 APERTURA CARNAVAL CON SON DEL DUKE - 19/01 COSTO POR ENVIO A AGENCIA DE LIMA (FACTURADO)"/>
    <n v="1"/>
    <s v="organizer"/>
    <s v="deposito_cuenta"/>
    <d v="2026-01-21T17:19:24"/>
    <d v="2026-01-22T11:36:57"/>
    <n v="1"/>
    <n v="4867"/>
    <d v="2026-01-21T17:20:27"/>
    <n v="5"/>
    <x v="0"/>
    <x v="0"/>
  </r>
  <r>
    <n v="3429"/>
    <n v="3235"/>
    <n v="3735"/>
    <n v="20"/>
    <n v="-944"/>
    <n v="913"/>
    <s v="Orden de venta Nº 1276 APERTURA CARNAVAL CON SON DEL DUKE - 19/01 2000 FULL COLOR CON QR FISICOS ZONA GENERAL (FACTURADO)"/>
    <n v="1"/>
    <s v="organizer"/>
    <s v="deposito_cuenta"/>
    <d v="2026-01-21T17:18:27"/>
    <d v="2026-01-22T11:36:57"/>
    <n v="1"/>
    <n v="4867"/>
    <d v="2026-01-21T17:20:32"/>
    <n v="15"/>
    <x v="3"/>
    <x v="0"/>
  </r>
  <r>
    <n v="3428"/>
    <m/>
    <n v="3804"/>
    <n v="4"/>
    <n v="-531"/>
    <n v="984"/>
    <s v="Diseño Volumen - 1"/>
    <n v="1"/>
    <s v="organizer"/>
    <s v="deposito_cuenta"/>
    <d v="2026-01-21T16:30:16"/>
    <d v="2026-01-21T16:47:02"/>
    <n v="1"/>
    <n v="4867"/>
    <d v="2026-01-21T16:47:02"/>
    <n v="4"/>
    <x v="6"/>
    <x v="3"/>
  </r>
  <r>
    <n v="3427"/>
    <n v="3233"/>
    <n v="3740"/>
    <n v="9"/>
    <n v="-236"/>
    <n v="4084"/>
    <s v="Servicio de devolución del evento #3740 Tarde Aurinegra 2026 Presentación Oficial del CD Moquegua (Inc IGV)"/>
    <n v="0"/>
    <m/>
    <m/>
    <d v="2026-01-21T15:56:07"/>
    <d v="2026-01-21T15:56:36"/>
    <n v="1"/>
    <n v="4084"/>
    <d v="2026-01-21T15:56:07"/>
    <n v="13"/>
    <x v="8"/>
    <x v="1"/>
  </r>
  <r>
    <n v="3426"/>
    <m/>
    <n v="3660"/>
    <n v="26"/>
    <n v="-70.8"/>
    <n v="913"/>
    <s v="Orden de venta Nº 1287 Yarita Lizeth y El Lobo en Huánuco 2 RECARGOS DE IMPRESION POR PEDIDO MENOR A 1 MILLAR (FACTURADO)"/>
    <n v="1"/>
    <s v="organizer"/>
    <s v="deposito_cuenta"/>
    <d v="2026-01-21T13:00:15"/>
    <d v="2026-01-21T13:04:28"/>
    <n v="1"/>
    <n v="4867"/>
    <d v="2026-01-21T13:04:28"/>
    <n v="21"/>
    <x v="7"/>
    <x v="4"/>
  </r>
  <r>
    <n v="3425"/>
    <m/>
    <n v="3660"/>
    <n v="14"/>
    <n v="-35.4"/>
    <n v="913"/>
    <s v="Orden de venta Nº 1287 Yarita Lizeth y El Lobo en Huánuco COSTO POR ENVIO A AGENCIA DE LIMA (FACTURADO)"/>
    <n v="1"/>
    <s v="organizer"/>
    <s v="deposito_cuenta"/>
    <d v="2026-01-21T12:44:06"/>
    <d v="2026-01-21T13:04:25"/>
    <n v="1"/>
    <n v="4867"/>
    <d v="2026-01-21T13:04:25"/>
    <n v="5"/>
    <x v="0"/>
    <x v="0"/>
  </r>
  <r>
    <n v="3424"/>
    <m/>
    <n v="3660"/>
    <n v="19"/>
    <n v="-920.4"/>
    <n v="913"/>
    <s v="Orden de venta Nº 1287 Yarita Lizeth y El Lobo en Huánuco 1300 BRAZALETES CON QR FISICOS ZONA VIP (FACTURADO)"/>
    <n v="1"/>
    <s v="organizer"/>
    <s v="deposito_cuenta"/>
    <d v="2026-01-21T12:38:48"/>
    <d v="2026-01-21T13:04:21"/>
    <n v="1"/>
    <n v="4867"/>
    <d v="2026-01-21T13:04:21"/>
    <n v="14"/>
    <x v="2"/>
    <x v="0"/>
  </r>
  <r>
    <n v="3423"/>
    <m/>
    <n v="3660"/>
    <n v="19"/>
    <n v="-1203.5999999999999"/>
    <n v="913"/>
    <s v="Orden de venta Nº 1287 Yarita Lizeth y El Lobo en Huánuco 1700 BRAZALETES CON QR FISICOS ZONA GENERAL (FACTURADO)"/>
    <n v="1"/>
    <s v="organizer"/>
    <s v="deposito_cuenta"/>
    <d v="2026-01-21T12:36:58"/>
    <d v="2026-01-21T13:04:17"/>
    <n v="1"/>
    <n v="4867"/>
    <d v="2026-01-21T13:04:17"/>
    <n v="14"/>
    <x v="2"/>
    <x v="0"/>
  </r>
  <r>
    <n v="3422"/>
    <m/>
    <n v="3660"/>
    <n v="20"/>
    <n v="-613.6"/>
    <n v="913"/>
    <s v="Orden de venta Nº 1287 Yarita Lizeth y El Lobo en Huánuco 1300 FULL COLOR CON QR FISICOS ZONA VIP (FACTURADO)"/>
    <n v="1"/>
    <s v="organizer"/>
    <s v="deposito_cuenta"/>
    <d v="2026-01-21T12:36:05"/>
    <d v="2026-01-21T13:04:13"/>
    <n v="1"/>
    <n v="4867"/>
    <d v="2026-01-21T13:04:13"/>
    <n v="15"/>
    <x v="3"/>
    <x v="0"/>
  </r>
  <r>
    <n v="3421"/>
    <m/>
    <n v="3660"/>
    <n v="20"/>
    <n v="-802.4"/>
    <n v="913"/>
    <s v="Orden de venta Nº 1287 Yarita Lizeth y El Lobo en Huánuco 1700 FULL COLOR CON QR FISICOS ZONA GENERAL (FACTURADO)"/>
    <n v="1"/>
    <s v="organizer"/>
    <s v="deposito_cuenta"/>
    <d v="2026-01-21T12:35:21"/>
    <d v="2026-01-21T13:04:09"/>
    <n v="1"/>
    <n v="4867"/>
    <d v="2026-01-21T13:04:09"/>
    <n v="15"/>
    <x v="3"/>
    <x v="0"/>
  </r>
  <r>
    <n v="3420"/>
    <m/>
    <n v="3711"/>
    <n v="4"/>
    <n v="-150"/>
    <n v="984"/>
    <s v="Pauta Digital - 1"/>
    <n v="1"/>
    <s v="vaope"/>
    <m/>
    <d v="2026-01-21T11:32:03"/>
    <d v="2026-01-21T11:52:48"/>
    <n v="1"/>
    <n v="4084"/>
    <d v="2026-01-21T11:52:48"/>
    <n v="4"/>
    <x v="6"/>
    <x v="3"/>
  </r>
  <r>
    <n v="3419"/>
    <m/>
    <n v="3721"/>
    <n v="7"/>
    <n v="-289.8"/>
    <n v="1141"/>
    <s v="- Pago de Comisiones y Servicio de devolución."/>
    <n v="1"/>
    <s v="organizer"/>
    <s v="deposito_cuenta"/>
    <d v="2026-01-21T10:02:41"/>
    <d v="2026-01-21T10:04:31"/>
    <n v="1"/>
    <n v="4867"/>
    <d v="2026-01-21T10:04:31"/>
    <m/>
    <x v="5"/>
    <x v="2"/>
  </r>
  <r>
    <n v="3418"/>
    <n v="3232"/>
    <n v="3702"/>
    <n v="9"/>
    <n v="-236"/>
    <n v="4084"/>
    <s v="Servicio de devolución del evento #3702 Cumbiatonazo 2026 con Centella y más en El Bosque de Villa el Salvador (Inc IGV)"/>
    <n v="0"/>
    <m/>
    <m/>
    <d v="2026-01-21T09:31:11"/>
    <d v="2026-01-21T09:35:08"/>
    <n v="1"/>
    <n v="4084"/>
    <d v="2026-01-21T09:31:11"/>
    <n v="13"/>
    <x v="8"/>
    <x v="1"/>
  </r>
  <r>
    <n v="3417"/>
    <m/>
    <n v="3807"/>
    <n v="4"/>
    <n v="-150"/>
    <n v="984"/>
    <s v="Pauta Digital - 1"/>
    <n v="1"/>
    <s v="vaope"/>
    <m/>
    <d v="2026-01-20T16:29:56"/>
    <d v="2026-01-20T16:31:43"/>
    <n v="1"/>
    <n v="4084"/>
    <d v="2026-01-20T16:31:43"/>
    <n v="4"/>
    <x v="6"/>
    <x v="3"/>
  </r>
  <r>
    <n v="3416"/>
    <n v="3230"/>
    <n v="3670"/>
    <n v="4"/>
    <n v="-1000"/>
    <n v="4084"/>
    <s v="Servicio de gestión de pauta publicitaria para evento (Inc IGV)"/>
    <n v="1"/>
    <s v="organizer"/>
    <s v="a_liquidacion"/>
    <d v="2026-01-20T15:04:54"/>
    <d v="2026-01-20T15:05:44"/>
    <n v="1"/>
    <n v="4867"/>
    <d v="2026-01-20T15:05:26"/>
    <n v="4"/>
    <x v="6"/>
    <x v="3"/>
  </r>
  <r>
    <n v="3415"/>
    <m/>
    <n v="3804"/>
    <n v="4"/>
    <n v="-590"/>
    <n v="984"/>
    <s v="Pauta digital - 1"/>
    <n v="1"/>
    <s v="organizer"/>
    <s v="deposito_cuenta"/>
    <d v="2026-01-20T14:41:01"/>
    <d v="2026-01-20T14:53:57"/>
    <n v="1"/>
    <n v="4867"/>
    <d v="2026-01-20T14:53:57"/>
    <n v="4"/>
    <x v="6"/>
    <x v="3"/>
  </r>
  <r>
    <n v="3414"/>
    <n v="3228"/>
    <n v="3701"/>
    <n v="4"/>
    <n v="-354"/>
    <n v="4084"/>
    <s v="Servicio de gestión de pauta publicitaria para evento (Inc IGV)"/>
    <n v="1"/>
    <s v="organizer"/>
    <s v="deposito_cuenta"/>
    <d v="2026-01-19T17:18:47"/>
    <d v="2026-01-19T17:20:26"/>
    <n v="1"/>
    <n v="4867"/>
    <d v="2026-01-19T17:20:11"/>
    <n v="4"/>
    <x v="6"/>
    <x v="3"/>
  </r>
  <r>
    <n v="3413"/>
    <n v="3223"/>
    <n v="3704"/>
    <n v="5"/>
    <n v="-483.8"/>
    <n v="4084"/>
    <s v="Servicio de 2 validadores + viáticos (Incl IGV)"/>
    <n v="1"/>
    <s v="organizer"/>
    <s v="a_liquidacion"/>
    <d v="2026-01-19T16:58:26"/>
    <d v="2026-01-19T17:01:31"/>
    <n v="1"/>
    <n v="1141"/>
    <d v="2026-01-19T17:00:55"/>
    <n v="3"/>
    <x v="9"/>
    <x v="5"/>
  </r>
  <r>
    <n v="3410"/>
    <n v="3246"/>
    <n v="3487"/>
    <n v="4"/>
    <n v="-1180"/>
    <n v="4084"/>
    <s v="Servicio de gestión de pauta publicitaria para evento (Inc IGV)"/>
    <n v="1"/>
    <s v="organizer"/>
    <s v="a_liquidacion"/>
    <d v="2026-01-19T16:26:31"/>
    <d v="2026-01-23T15:27:21"/>
    <n v="1"/>
    <n v="4867"/>
    <d v="2026-01-19T16:37:17"/>
    <n v="4"/>
    <x v="6"/>
    <x v="3"/>
  </r>
  <r>
    <n v="3407"/>
    <n v="3225"/>
    <n v="3739"/>
    <n v="4"/>
    <n v="-590"/>
    <n v="4084"/>
    <s v="Servicio de gestión de pauta publicitaria para evento (Inc IGV)"/>
    <n v="1"/>
    <s v="organizer"/>
    <s v="a_liquidacion"/>
    <d v="2026-01-19T15:27:43"/>
    <d v="2026-01-19T17:05:42"/>
    <n v="1"/>
    <n v="4867"/>
    <d v="2026-01-19T16:37:30"/>
    <n v="4"/>
    <x v="6"/>
    <x v="3"/>
  </r>
  <r>
    <n v="3406"/>
    <n v="3224"/>
    <n v="3488"/>
    <n v="4"/>
    <n v="-2360"/>
    <n v="4084"/>
    <s v="Servicio de gestión de pauta publicitaria para evento (Inc IGV)"/>
    <n v="1"/>
    <s v="organizer"/>
    <s v="a_liquidacion"/>
    <d v="2026-01-19T15:24:57"/>
    <d v="2026-01-19T17:03:04"/>
    <n v="1"/>
    <n v="4867"/>
    <d v="2026-01-19T16:37:35"/>
    <n v="4"/>
    <x v="6"/>
    <x v="3"/>
  </r>
  <r>
    <n v="3405"/>
    <m/>
    <n v="3534"/>
    <n v="4"/>
    <n v="-1000"/>
    <n v="984"/>
    <s v="Pauta digital - 1"/>
    <n v="1"/>
    <s v="organizer"/>
    <s v="a_liquidacion"/>
    <d v="2026-01-19T14:42:10"/>
    <d v="2026-01-19T15:45:48"/>
    <n v="1"/>
    <n v="4084"/>
    <d v="2026-01-19T15:45:48"/>
    <n v="4"/>
    <x v="6"/>
    <x v="3"/>
  </r>
  <r>
    <n v="3404"/>
    <n v="3214"/>
    <n v="3742"/>
    <n v="19"/>
    <n v="-708"/>
    <n v="913"/>
    <s v="Orden de venta Nº1298 ¡CHUPATE LA PLATA! SON DEL DUKE EN EL PADRINO CLUB 2,000 BRAZALETES CON QR FISICOS ZONA VIP S/708.00"/>
    <n v="1"/>
    <s v="organizer"/>
    <s v="deposito_cuenta"/>
    <d v="2026-01-19T12:29:09"/>
    <d v="2026-01-19T15:25:48"/>
    <n v="1"/>
    <n v="4867"/>
    <d v="2026-01-19T12:32:27"/>
    <n v="14"/>
    <x v="2"/>
    <x v="0"/>
  </r>
  <r>
    <n v="3403"/>
    <n v="3214"/>
    <n v="3742"/>
    <n v="19"/>
    <n v="-1416"/>
    <n v="913"/>
    <s v="Orden de venta Nº1298 ¡CHUPATE LA PLATA! SON DEL DUKE EN EL PADRINO CLUB 2,000 BRAZALETES CON QR FISICOS ZONA NIÑO S/1,416.00"/>
    <n v="1"/>
    <s v="organizer"/>
    <s v="deposito_cuenta"/>
    <d v="2026-01-19T12:28:10"/>
    <d v="2026-01-19T15:25:48"/>
    <n v="1"/>
    <n v="4867"/>
    <d v="2026-01-19T12:32:21"/>
    <n v="14"/>
    <x v="2"/>
    <x v="0"/>
  </r>
  <r>
    <n v="3402"/>
    <n v="3214"/>
    <n v="3742"/>
    <n v="19"/>
    <n v="-4956"/>
    <n v="913"/>
    <s v="Orden de venta Nº1298 ¡CHUPATE LA PLATA! SON DEL DUKE EN EL PADRINO CLUB 7,000 BRAZALETES CON QR FISICOS ZONA GENERAL S/4,956.00"/>
    <n v="1"/>
    <s v="organizer"/>
    <s v="deposito_cuenta"/>
    <d v="2026-01-19T12:17:22"/>
    <d v="2026-01-19T15:25:48"/>
    <n v="1"/>
    <n v="4867"/>
    <d v="2026-01-19T12:31:52"/>
    <n v="14"/>
    <x v="2"/>
    <x v="0"/>
  </r>
  <r>
    <n v="3401"/>
    <n v="3232"/>
    <n v="3702"/>
    <n v="20"/>
    <n v="-330.4"/>
    <n v="913"/>
    <s v="Orden de venta Nº 1307 Cumbiatonazo 2026 con Centella y más en El Bosque de Villa el Salvador 700 FULL COLOR CON QR FISICOS ZONA GENERAL S/330.40"/>
    <n v="1"/>
    <s v="organizer"/>
    <s v="deposito_cuenta"/>
    <d v="2026-01-19T12:04:29"/>
    <d v="2026-01-21T09:35:08"/>
    <n v="1"/>
    <n v="4867"/>
    <d v="2026-01-19T12:05:36"/>
    <n v="15"/>
    <x v="3"/>
    <x v="0"/>
  </r>
  <r>
    <n v="3400"/>
    <n v="3232"/>
    <n v="3702"/>
    <n v="20"/>
    <n v="-141.6"/>
    <n v="913"/>
    <s v="Orden de venta Nº 1307 Cumbiatonazo 2026 con Centella y más en El Bosque de Villa el Salvador 300 FULL COLOR CON QR FISICOS ZONA VIP S/141.60"/>
    <n v="1"/>
    <s v="organizer"/>
    <s v="deposito_cuenta"/>
    <d v="2026-01-19T12:03:40"/>
    <d v="2026-01-21T09:35:08"/>
    <n v="1"/>
    <n v="4867"/>
    <d v="2026-01-19T12:05:33"/>
    <n v="15"/>
    <x v="3"/>
    <x v="0"/>
  </r>
  <r>
    <n v="3399"/>
    <n v="3203"/>
    <n v="3695"/>
    <n v="20"/>
    <n v="-236"/>
    <n v="913"/>
    <s v="Orden de venta Nº 1263 La Verdadera apertura de carnavales 2026 - 17/01 500 FULL COLOR CON QR FISICOS ZONA GENERAL S/236.00"/>
    <n v="1"/>
    <s v="organizer"/>
    <s v="deposito_cuenta"/>
    <d v="2026-01-19T12:00:36"/>
    <d v="2026-01-19T13:08:02"/>
    <n v="1"/>
    <n v="4867"/>
    <d v="2026-01-19T12:02:07"/>
    <n v="15"/>
    <x v="3"/>
    <x v="0"/>
  </r>
  <r>
    <n v="3398"/>
    <n v="3194"/>
    <n v="3161"/>
    <n v="6"/>
    <n v="-2315.16"/>
    <n v="4084"/>
    <s v="Gatos Boleto digital doble con QR (incluye código contribuyente, nombre/razón social, fecha, hora y lugar del evento)"/>
    <n v="0"/>
    <m/>
    <m/>
    <d v="2026-01-19T11:50:52"/>
    <d v="2026-01-19T11:51:53"/>
    <n v="1"/>
    <n v="4084"/>
    <d v="2026-01-19T11:50:52"/>
    <m/>
    <x v="5"/>
    <x v="2"/>
  </r>
  <r>
    <n v="3397"/>
    <n v="3204"/>
    <n v="3687"/>
    <n v="19"/>
    <n v="-637.20000000000005"/>
    <n v="913"/>
    <s v="Orden de venta Nº 1304 Homenaje a Dennys Quevedo con Zafiro Sensual, Son de Rios y Oscar Manuel en Puente Piedra 1000 BRAZALETE CON QR FISICOS ZONA VIP S/708.00 DESCUENTO DEL 10% (S/70.80)"/>
    <n v="1"/>
    <s v="organizer"/>
    <s v="a_liquidacion"/>
    <d v="2026-01-19T10:16:15"/>
    <d v="2026-01-19T13:12:05"/>
    <n v="1"/>
    <n v="4084"/>
    <d v="2026-01-19T11:27:05"/>
    <n v="14"/>
    <x v="2"/>
    <x v="0"/>
  </r>
  <r>
    <n v="3396"/>
    <n v="3204"/>
    <n v="3687"/>
    <n v="20"/>
    <n v="-424.8"/>
    <n v="913"/>
    <s v="Orden de venta Nº 1304 Homenaje a Dennys Quevedo con Zafiro Sensual, Son de Rios y Oscar Manuel en Puente  Piedra 1000 FULL COLOR CON QR FISICOS ZONA GENERAL S/472.00 DESCUENTO DEL 10% (S/47.20)"/>
    <n v="1"/>
    <s v="organizer"/>
    <s v="a_liquidacion"/>
    <d v="2026-01-19T10:15:33"/>
    <d v="2026-01-19T13:12:05"/>
    <n v="1"/>
    <n v="4084"/>
    <d v="2026-01-19T11:26:57"/>
    <n v="15"/>
    <x v="3"/>
    <x v="0"/>
  </r>
  <r>
    <n v="3395"/>
    <n v="3206"/>
    <n v="3668"/>
    <n v="19"/>
    <n v="-637.20000000000005"/>
    <n v="913"/>
    <s v="Orden de venta Nº 1301 Cumbia Conciertazo con La Única Tropical y Caribeños en el Complejo Santa Rosa 1000 BRAZALETES CON QR FISICOS ZONA VIP S/708.00 DESCUENTO DEL 10% (S/70.80)"/>
    <n v="1"/>
    <s v="organizer"/>
    <s v="a_liquidacion"/>
    <d v="2026-01-19T10:13:47"/>
    <d v="2026-01-19T13:22:10"/>
    <n v="1"/>
    <n v="4084"/>
    <d v="2026-01-19T11:25:45"/>
    <n v="14"/>
    <x v="2"/>
    <x v="0"/>
  </r>
  <r>
    <n v="3394"/>
    <n v="3206"/>
    <n v="3668"/>
    <n v="20"/>
    <n v="-424.8"/>
    <n v="913"/>
    <s v="Orden de venta Nº 1301 Cumbia Conciertazo con La Única Tropical y Caribeños en el Complejo Santa Rosa 1000 FULL COLOR CON QR FISICOS ZONA GENERAL S/472.00 DESCUENTO DEL 10% (S/47.20)"/>
    <n v="1"/>
    <s v="organizer"/>
    <s v="a_liquidacion"/>
    <d v="2026-01-19T10:12:48"/>
    <d v="2026-01-19T13:22:10"/>
    <n v="1"/>
    <n v="4084"/>
    <d v="2026-01-19T11:25:42"/>
    <n v="15"/>
    <x v="3"/>
    <x v="0"/>
  </r>
  <r>
    <n v="3393"/>
    <m/>
    <n v="3651"/>
    <n v="2"/>
    <n v="-118"/>
    <n v="4867"/>
    <s v="fee administrativo"/>
    <n v="1"/>
    <s v="organizer"/>
    <s v="a_liquidacion"/>
    <d v="2026-01-19T10:09:45"/>
    <d v="2026-01-19T11:58:35"/>
    <n v="1"/>
    <n v="780"/>
    <d v="2026-01-19T11:58:35"/>
    <n v="8"/>
    <x v="4"/>
    <x v="1"/>
  </r>
  <r>
    <n v="3392"/>
    <m/>
    <n v="3651"/>
    <n v="1"/>
    <n v="-20000"/>
    <n v="4867"/>
    <s v="3651 la bella Luz, Armonia 10 y Hermanos Sanchéz en Vibra Cajamarca"/>
    <n v="1"/>
    <s v="organizer"/>
    <s v="a_liquidacion"/>
    <d v="2026-01-19T10:09:28"/>
    <d v="2026-01-19T11:58:31"/>
    <n v="1"/>
    <n v="780"/>
    <d v="2026-01-19T11:58:31"/>
    <m/>
    <x v="5"/>
    <x v="2"/>
  </r>
  <r>
    <n v="3391"/>
    <n v="3216"/>
    <n v="3734"/>
    <n v="5"/>
    <n v="-708"/>
    <n v="4084"/>
    <s v="Servicio de 4 validadores (Inc IGV)"/>
    <n v="1"/>
    <s v="organizer"/>
    <s v="a_liquidacion"/>
    <d v="2026-01-19T09:52:21"/>
    <d v="2026-01-19T15:32:43"/>
    <n v="1"/>
    <n v="1"/>
    <d v="2026-01-19T11:14:08"/>
    <n v="3"/>
    <x v="9"/>
    <x v="5"/>
  </r>
  <r>
    <n v="3390"/>
    <m/>
    <n v="3606"/>
    <n v="4"/>
    <n v="-5900"/>
    <n v="984"/>
    <s v="Pauta digital - Trafico - 1"/>
    <n v="1"/>
    <s v="organizer"/>
    <s v="a_liquidacion"/>
    <d v="2026-01-19T09:17:18"/>
    <d v="2026-01-19T09:39:56"/>
    <n v="1"/>
    <n v="4084"/>
    <d v="2026-01-19T09:39:56"/>
    <n v="4"/>
    <x v="6"/>
    <x v="3"/>
  </r>
  <r>
    <n v="3389"/>
    <n v="3223"/>
    <n v="3704"/>
    <n v="2"/>
    <n v="-118"/>
    <n v="4867"/>
    <s v="FEE ADMINISTRATIVO"/>
    <n v="1"/>
    <s v="organizer"/>
    <s v="a_liquidacion"/>
    <d v="2026-01-19T08:57:57"/>
    <d v="2026-01-19T17:01:31"/>
    <n v="1"/>
    <n v="4084"/>
    <d v="2026-01-19T16:38:34"/>
    <n v="8"/>
    <x v="4"/>
    <x v="1"/>
  </r>
  <r>
    <n v="3388"/>
    <m/>
    <n v="3804"/>
    <n v="26"/>
    <n v="-59"/>
    <n v="1141"/>
    <s v="- Elaboración del flyer desde 0 (INC IGV)"/>
    <s v="0"/>
    <m/>
    <m/>
    <d v="2026-01-19T08:40:25"/>
    <d v="2026-01-19T08:40:25"/>
    <n v="1"/>
    <n v="1141"/>
    <d v="2026-01-19T08:40:25"/>
    <n v="21"/>
    <x v="7"/>
    <x v="4"/>
  </r>
  <r>
    <n v="3387"/>
    <n v="3228"/>
    <n v="3701"/>
    <n v="7"/>
    <n v="-11.8"/>
    <n v="4668"/>
    <s v="Emisión de 20 entradas de cortesía (INC IGV)"/>
    <n v="1"/>
    <s v="vaope"/>
    <m/>
    <d v="2026-01-18T13:07:08"/>
    <d v="2026-01-19T17:20:26"/>
    <n v="1"/>
    <n v="4867"/>
    <d v="2026-01-19T12:27:26"/>
    <m/>
    <x v="5"/>
    <x v="2"/>
  </r>
  <r>
    <n v="3386"/>
    <m/>
    <n v="3812"/>
    <n v="7"/>
    <n v="-59"/>
    <n v="1141"/>
    <s v="Elaboración de flyer desde 0 (INC IGV)"/>
    <n v="1"/>
    <s v="vaope"/>
    <m/>
    <d v="2026-01-17T15:30:33"/>
    <d v="2026-01-18T10:33:48"/>
    <n v="1"/>
    <n v="4867"/>
    <d v="2026-01-18T10:33:48"/>
    <m/>
    <x v="5"/>
    <x v="2"/>
  </r>
  <r>
    <n v="3385"/>
    <n v="3223"/>
    <n v="3704"/>
    <n v="1"/>
    <n v="-45000"/>
    <n v="780"/>
    <s v="Adelanto de pago"/>
    <n v="1"/>
    <s v="organizer"/>
    <s v="a_liquidacion"/>
    <d v="2026-01-17T13:26:56"/>
    <d v="2026-01-19T17:01:31"/>
    <n v="1"/>
    <n v="4867"/>
    <d v="2026-01-19T08:57:16"/>
    <m/>
    <x v="5"/>
    <x v="2"/>
  </r>
  <r>
    <n v="3384"/>
    <m/>
    <n v="3807"/>
    <n v="7"/>
    <n v="-59"/>
    <n v="2584"/>
    <s v="- Servicio de diseño flayer desde cero 50+IGV (59 SOLES)"/>
    <s v="1"/>
    <s v="organizer"/>
    <s v="deposito_cuenta"/>
    <d v="2026-01-17T10:49:36"/>
    <d v="2026-01-17T12:07:34"/>
    <n v="1"/>
    <n v="4867"/>
    <d v="2026-01-17T12:07:34"/>
    <m/>
    <x v="5"/>
    <x v="2"/>
  </r>
  <r>
    <n v="3382"/>
    <n v="3216"/>
    <n v="3734"/>
    <n v="19"/>
    <n v="-849.6"/>
    <n v="913"/>
    <s v="Orden de venta Nº 1306 Caribepiscinazo con Caribeños y Alegres de Bambamarca en El Remanso de Comas 1200 BRAZALETES CON QR FISICOS ZONA VIP S/849.60"/>
    <n v="1"/>
    <s v="organizer"/>
    <s v="a_liquidacion"/>
    <d v="2026-01-16T17:31:49"/>
    <d v="2026-01-19T15:32:43"/>
    <n v="1"/>
    <n v="4084"/>
    <d v="2026-01-19T08:58:38"/>
    <n v="14"/>
    <x v="2"/>
    <x v="0"/>
  </r>
  <r>
    <n v="3381"/>
    <n v="3216"/>
    <n v="3734"/>
    <n v="20"/>
    <n v="-265.5"/>
    <n v="913"/>
    <s v="Orden de venta Nº 1306 Caribepiscinazo con Caribeños y Alegres de Bambamarca en El Remanso de Comas 500 FULL COLOR CON QR FISICOS ZONA NIÑO S/265.50"/>
    <n v="1"/>
    <s v="organizer"/>
    <s v="a_liquidacion"/>
    <d v="2026-01-16T17:31:07"/>
    <d v="2026-01-19T15:32:43"/>
    <n v="1"/>
    <n v="4084"/>
    <d v="2026-01-19T08:59:11"/>
    <n v="15"/>
    <x v="3"/>
    <x v="0"/>
  </r>
  <r>
    <n v="3380"/>
    <n v="3216"/>
    <n v="3734"/>
    <n v="20"/>
    <n v="-796.5"/>
    <n v="913"/>
    <s v="Orden de venta Nº 1306 Caribepiscinazo con Caribeños y Alegres de Bambamarca en El Remanso de Comas 1500 FULL COLOR CON QR FISICOS ZONA ADULTO S/796.50"/>
    <n v="1"/>
    <s v="organizer"/>
    <s v="a_liquidacion"/>
    <d v="2026-01-16T17:30:35"/>
    <d v="2026-01-19T15:32:43"/>
    <n v="1"/>
    <n v="4084"/>
    <d v="2026-01-19T08:59:08"/>
    <n v="15"/>
    <x v="3"/>
    <x v="0"/>
  </r>
  <r>
    <n v="3379"/>
    <n v="3244"/>
    <n v="3585"/>
    <n v="20"/>
    <n v="-1416"/>
    <n v="913"/>
    <s v="Orden de venta Nº 1293 La Única Tropical en la Apertura de Carnavales San Sebastián 2026 en Talara 3000 FULL COLOR CON QR FISICOS ZONA GENERAL S/1,416.00"/>
    <n v="1"/>
    <s v="organizer"/>
    <s v="a_liquidacion"/>
    <d v="2026-01-16T16:52:35"/>
    <d v="2026-01-23T11:55:31"/>
    <n v="1"/>
    <n v="4084"/>
    <d v="2026-01-16T16:57:32"/>
    <n v="15"/>
    <x v="3"/>
    <x v="0"/>
  </r>
  <r>
    <n v="3378"/>
    <n v="3246"/>
    <n v="3487"/>
    <n v="20"/>
    <n v="-944"/>
    <n v="913"/>
    <s v="Orden de venta Nº 1289 Apertura de Carnaval Cajamarquino con String Karma, Alegres de Bambamarca y más en el Complejo Santa Rosa 2,000 FULL COLOR CON QR FISICO ZONA GENERAL"/>
    <n v="1"/>
    <s v="organizer"/>
    <s v="deposito_cuenta"/>
    <d v="2026-01-16T15:37:03"/>
    <d v="2026-01-23T15:27:21"/>
    <n v="1"/>
    <n v="4867"/>
    <d v="2026-01-16T15:41:55"/>
    <n v="15"/>
    <x v="3"/>
    <x v="0"/>
  </r>
  <r>
    <n v="3377"/>
    <n v="3223"/>
    <n v="3704"/>
    <n v="14"/>
    <n v="-35.4"/>
    <n v="913"/>
    <s v="COSTO POR ENVIO A AGENCIA DE LIMA"/>
    <n v="1"/>
    <s v="organizer"/>
    <s v="deposito_cuenta"/>
    <d v="2026-01-16T14:48:51"/>
    <d v="2026-01-19T17:01:31"/>
    <n v="1"/>
    <n v="4867"/>
    <d v="2026-01-16T15:16:58"/>
    <n v="5"/>
    <x v="0"/>
    <x v="0"/>
  </r>
  <r>
    <n v="3376"/>
    <n v="3223"/>
    <n v="3704"/>
    <n v="24"/>
    <n v="-1062"/>
    <n v="913"/>
    <s v="3,000 STICKERS CON QR FISICO"/>
    <n v="1"/>
    <s v="organizer"/>
    <s v="deposito_cuenta"/>
    <d v="2026-01-16T14:44:05"/>
    <d v="2026-01-19T17:01:31"/>
    <n v="1"/>
    <n v="4867"/>
    <d v="2026-01-16T15:16:55"/>
    <n v="19"/>
    <x v="1"/>
    <x v="0"/>
  </r>
  <r>
    <n v="3375"/>
    <m/>
    <n v="3220"/>
    <n v="4"/>
    <n v="-1180"/>
    <n v="984"/>
    <s v="Pauta digital - Trafico - 1"/>
    <n v="1"/>
    <s v="organizer"/>
    <s v="a_liquidacion"/>
    <d v="2026-01-16T12:41:01"/>
    <d v="2026-01-16T12:44:43"/>
    <n v="1"/>
    <n v="4084"/>
    <d v="2026-01-16T12:44:43"/>
    <n v="4"/>
    <x v="6"/>
    <x v="3"/>
  </r>
  <r>
    <n v="3374"/>
    <m/>
    <n v="3455"/>
    <n v="4"/>
    <n v="-1180"/>
    <n v="984"/>
    <s v="Pauta digital - Trafico - 1"/>
    <n v="1"/>
    <s v="organizer"/>
    <s v="a_liquidacion"/>
    <d v="2026-01-16T12:40:10"/>
    <d v="2026-01-16T12:44:17"/>
    <n v="1"/>
    <n v="4084"/>
    <d v="2026-01-16T12:44:17"/>
    <n v="4"/>
    <x v="6"/>
    <x v="3"/>
  </r>
  <r>
    <n v="3373"/>
    <n v="3246"/>
    <n v="3487"/>
    <n v="4"/>
    <n v="-1180"/>
    <n v="984"/>
    <s v="Pauta digital - Trafico - 1"/>
    <n v="1"/>
    <s v="organizer"/>
    <s v="a_liquidacion"/>
    <d v="2026-01-16T12:39:26"/>
    <d v="2026-01-23T15:27:21"/>
    <n v="1"/>
    <n v="4084"/>
    <d v="2026-01-16T12:43:51"/>
    <n v="4"/>
    <x v="6"/>
    <x v="3"/>
  </r>
  <r>
    <n v="3370"/>
    <m/>
    <n v="3754"/>
    <n v="2"/>
    <n v="-118"/>
    <n v="4867"/>
    <s v="FEE ADMINISTRATIVO"/>
    <n v="1"/>
    <s v="vaope"/>
    <m/>
    <d v="2026-01-16T11:40:21"/>
    <d v="2026-01-16T11:40:45"/>
    <n v="1"/>
    <n v="780"/>
    <d v="2026-01-16T11:40:45"/>
    <n v="8"/>
    <x v="4"/>
    <x v="1"/>
  </r>
  <r>
    <n v="3369"/>
    <m/>
    <n v="3754"/>
    <n v="1"/>
    <n v="-24500"/>
    <n v="4867"/>
    <s v="3754 CONCURSO DE PATRULLAS Y COMPARSAS CARNAVAL P"/>
    <n v="1"/>
    <s v="vaope"/>
    <m/>
    <d v="2026-01-16T11:40:01"/>
    <d v="2026-01-16T11:40:41"/>
    <n v="1"/>
    <n v="780"/>
    <d v="2026-01-16T11:40:41"/>
    <m/>
    <x v="5"/>
    <x v="2"/>
  </r>
  <r>
    <n v="3368"/>
    <m/>
    <n v="3753"/>
    <n v="2"/>
    <n v="-118"/>
    <n v="4867"/>
    <s v="FEE ADMINISTRATIVO"/>
    <n v="1"/>
    <s v="vaope"/>
    <m/>
    <d v="2026-01-16T11:38:56"/>
    <d v="2026-01-16T11:39:25"/>
    <n v="1"/>
    <n v="780"/>
    <d v="2026-01-16T11:39:25"/>
    <n v="8"/>
    <x v="4"/>
    <x v="1"/>
  </r>
  <r>
    <n v="3367"/>
    <m/>
    <n v="3753"/>
    <n v="1"/>
    <n v="-150000"/>
    <n v="4867"/>
    <s v="3753 GRAN CORSO DEL CARNAVAL PARA SIEMPRE 2026"/>
    <n v="1"/>
    <s v="vaope"/>
    <m/>
    <d v="2026-01-16T11:38:32"/>
    <d v="2026-01-16T11:39:19"/>
    <n v="1"/>
    <n v="780"/>
    <d v="2026-01-16T11:39:19"/>
    <m/>
    <x v="5"/>
    <x v="2"/>
  </r>
  <r>
    <n v="3366"/>
    <n v="3214"/>
    <n v="3742"/>
    <n v="4"/>
    <n v="-590"/>
    <n v="984"/>
    <s v="Pauta digital - Tráfico - 1"/>
    <n v="1"/>
    <s v="organizer"/>
    <s v="deposito_cuenta"/>
    <d v="2026-01-16T09:58:19"/>
    <d v="2026-01-19T15:25:48"/>
    <n v="1"/>
    <n v="4867"/>
    <d v="2026-01-16T10:03:34"/>
    <n v="4"/>
    <x v="6"/>
    <x v="3"/>
  </r>
  <r>
    <n v="3365"/>
    <m/>
    <n v="3784"/>
    <n v="4"/>
    <n v="-590"/>
    <n v="984"/>
    <s v="Pauta digital - Tráfico - 1"/>
    <n v="1"/>
    <s v="organizer"/>
    <s v="a_liquidacion"/>
    <d v="2026-01-15T14:52:16"/>
    <d v="2026-01-15T15:25:05"/>
    <n v="1"/>
    <n v="4084"/>
    <d v="2026-01-15T15:25:05"/>
    <n v="4"/>
    <x v="6"/>
    <x v="3"/>
  </r>
  <r>
    <n v="3364"/>
    <m/>
    <n v="3783"/>
    <n v="4"/>
    <n v="-200"/>
    <n v="984"/>
    <s v="Pauta digital - Interacción - 1"/>
    <n v="1"/>
    <s v="organizer"/>
    <s v="deposito_cuenta"/>
    <d v="2026-01-15T09:55:42"/>
    <d v="2026-01-15T10:09:40"/>
    <n v="1"/>
    <n v="4867"/>
    <d v="2026-01-15T10:09:40"/>
    <n v="4"/>
    <x v="6"/>
    <x v="3"/>
  </r>
  <r>
    <n v="3363"/>
    <n v="3188"/>
    <n v="3407"/>
    <n v="1"/>
    <n v="-2005"/>
    <n v="4084"/>
    <s v="Adelanto de pago"/>
    <n v="1"/>
    <s v="organizer"/>
    <s v="a_liquidacion"/>
    <d v="2026-01-14T17:34:13"/>
    <d v="2026-01-15T12:29:23"/>
    <n v="1"/>
    <n v="1141"/>
    <d v="2026-01-15T12:28:21"/>
    <m/>
    <x v="5"/>
    <x v="2"/>
  </r>
  <r>
    <n v="3362"/>
    <m/>
    <n v="3786"/>
    <n v="26"/>
    <n v="-59"/>
    <n v="2584"/>
    <s v="- Flayer desde cero (50+IGV) S/. 59"/>
    <s v="0"/>
    <m/>
    <m/>
    <d v="2026-01-14T16:36:28"/>
    <d v="2026-01-14T16:36:28"/>
    <n v="1"/>
    <n v="2584"/>
    <d v="2026-01-14T16:36:28"/>
    <n v="21"/>
    <x v="7"/>
    <x v="4"/>
  </r>
  <r>
    <n v="3361"/>
    <n v="3233"/>
    <n v="3740"/>
    <n v="4"/>
    <n v="-500"/>
    <n v="984"/>
    <s v="Pauta Digital Vaope - Alcance - 1"/>
    <n v="1"/>
    <s v="vaope"/>
    <m/>
    <d v="2026-01-14T15:15:14"/>
    <d v="2026-01-21T15:56:36"/>
    <n v="1"/>
    <n v="4084"/>
    <d v="2026-01-21T15:52:07"/>
    <n v="4"/>
    <x v="6"/>
    <x v="3"/>
  </r>
  <r>
    <n v="3360"/>
    <m/>
    <n v="3760"/>
    <n v="4"/>
    <n v="-500"/>
    <n v="984"/>
    <s v="Pauta digital - Alcance - 1"/>
    <n v="1"/>
    <s v="vaope"/>
    <m/>
    <d v="2026-01-14T15:13:28"/>
    <d v="2026-01-14T15:19:57"/>
    <n v="1"/>
    <n v="5"/>
    <d v="2026-01-14T15:19:57"/>
    <n v="4"/>
    <x v="6"/>
    <x v="3"/>
  </r>
  <r>
    <n v="3359"/>
    <m/>
    <n v="3783"/>
    <n v="26"/>
    <n v="-59"/>
    <n v="2584"/>
    <s v="- Flayer desde cero (50+IGV) S/. 59"/>
    <s v="0"/>
    <m/>
    <m/>
    <d v="2026-01-14T11:45:28"/>
    <d v="2026-01-14T11:45:28"/>
    <n v="1"/>
    <n v="2584"/>
    <d v="2026-01-14T11:45:28"/>
    <n v="21"/>
    <x v="7"/>
    <x v="4"/>
  </r>
  <r>
    <n v="3358"/>
    <n v="3233"/>
    <n v="3740"/>
    <n v="14"/>
    <n v="-64.900000000000006"/>
    <n v="2584"/>
    <s v="Orden de venta Nº 1289 Tarde Aurinegra 2026 Presentación Oficial del CD Moquegua Gastos de envío S/.64.9"/>
    <n v="0"/>
    <m/>
    <m/>
    <d v="2026-01-14T10:25:54"/>
    <d v="2026-01-21T15:56:36"/>
    <n v="1"/>
    <n v="2584"/>
    <d v="2026-01-14T10:25:54"/>
    <n v="5"/>
    <x v="0"/>
    <x v="0"/>
  </r>
  <r>
    <n v="3357"/>
    <n v="3233"/>
    <n v="3740"/>
    <n v="21"/>
    <n v="-810"/>
    <n v="2584"/>
    <s v="Orden de venta Nº 1289 Tarde Aurinegra 2026 Presentación Oficial del CD Moquegua 2700 VOUCHER HORIZONTAL CON QR  ZONA ORIENTE ADULTO S/810"/>
    <n v="1"/>
    <s v="organizer"/>
    <s v="a_liquidacion"/>
    <d v="2026-01-14T10:25:19"/>
    <d v="2026-01-21T15:56:36"/>
    <n v="1"/>
    <n v="4084"/>
    <d v="2026-01-16T16:58:57"/>
    <n v="16"/>
    <x v="10"/>
    <x v="0"/>
  </r>
  <r>
    <n v="3356"/>
    <n v="3233"/>
    <n v="3740"/>
    <n v="21"/>
    <n v="-810"/>
    <n v="2584"/>
    <s v="Orden de venta Nº 1289 Tarde Aurinegra 2026 Presentación Oficial del CD Moquegua 2700 VOUCHER HORIZONTAL CON QR  ZONA OCCIDENTE ADULTO S/810"/>
    <n v="1"/>
    <s v="organizer"/>
    <s v="a_liquidacion"/>
    <d v="2026-01-14T10:24:41"/>
    <d v="2026-01-21T15:56:36"/>
    <n v="1"/>
    <n v="4084"/>
    <d v="2026-01-16T16:58:53"/>
    <n v="16"/>
    <x v="10"/>
    <x v="0"/>
  </r>
  <r>
    <n v="3355"/>
    <n v="3233"/>
    <n v="3740"/>
    <n v="21"/>
    <n v="-45"/>
    <n v="2584"/>
    <s v="Orden de venta Nº 1289 Tarde Aurinegra 2026 Presentación Oficial del CD Moquegua 150 VOUCHER HORIZONTAL CON QR ZONA ORIENTE ADULTO MAYOR S/45"/>
    <n v="1"/>
    <s v="organizer"/>
    <s v="a_liquidacion"/>
    <d v="2026-01-14T10:24:00"/>
    <d v="2026-01-21T15:56:36"/>
    <n v="1"/>
    <n v="4084"/>
    <d v="2026-01-16T16:58:48"/>
    <n v="16"/>
    <x v="10"/>
    <x v="0"/>
  </r>
  <r>
    <n v="3354"/>
    <n v="3233"/>
    <n v="3740"/>
    <n v="21"/>
    <n v="-45"/>
    <n v="2584"/>
    <s v="Orden de venta Nº 1289 Tarde Aurinegra 2026 Presentación Oficial del CD Moquegua 150 VOUCHER HORIZONTAL CON QR ZONA OCCIDENTE ADULTO MAYOR S/45"/>
    <n v="1"/>
    <s v="organizer"/>
    <s v="a_liquidacion"/>
    <d v="2026-01-14T10:23:10"/>
    <d v="2026-01-21T15:56:36"/>
    <n v="1"/>
    <n v="4084"/>
    <d v="2026-01-16T16:58:43"/>
    <n v="16"/>
    <x v="10"/>
    <x v="0"/>
  </r>
  <r>
    <n v="3353"/>
    <n v="3233"/>
    <n v="3740"/>
    <n v="21"/>
    <n v="-45"/>
    <n v="2584"/>
    <s v="Orden de venta Nº 1289 Tarde Aurinegra 2026 Presentación Oficial del CD Moquegua 150 VOUCHER HORIZONTAL CON QR ZONA OCCIDENTE NIÑO S/45"/>
    <n v="1"/>
    <s v="organizer"/>
    <s v="a_liquidacion"/>
    <d v="2026-01-14T10:22:30"/>
    <d v="2026-01-21T15:56:36"/>
    <n v="1"/>
    <n v="4084"/>
    <d v="2026-01-16T16:58:36"/>
    <n v="16"/>
    <x v="10"/>
    <x v="0"/>
  </r>
  <r>
    <n v="3352"/>
    <m/>
    <n v="3697"/>
    <n v="4"/>
    <n v="-1180"/>
    <n v="984"/>
    <s v="Gestión pauta - Tráfico - 1"/>
    <n v="1"/>
    <s v="organizer"/>
    <s v="a_liquidacion"/>
    <d v="2026-01-14T09:13:53"/>
    <d v="2026-01-14T09:28:59"/>
    <n v="1"/>
    <n v="5"/>
    <d v="2026-01-14T09:28:59"/>
    <n v="4"/>
    <x v="6"/>
    <x v="3"/>
  </r>
  <r>
    <n v="3351"/>
    <n v="3186"/>
    <n v="3663"/>
    <n v="5"/>
    <n v="-35.4"/>
    <n v="4084"/>
    <s v="Servicio de 1 hora extra de validación"/>
    <n v="1"/>
    <s v="organizer"/>
    <s v="a_liquidacion"/>
    <d v="2026-01-13T12:08:47"/>
    <d v="2026-01-13T12:43:23"/>
    <n v="1"/>
    <n v="1141"/>
    <d v="2026-01-13T12:26:44"/>
    <n v="3"/>
    <x v="9"/>
    <x v="5"/>
  </r>
  <r>
    <n v="3350"/>
    <n v="3194"/>
    <n v="3161"/>
    <n v="7"/>
    <n v="-3776"/>
    <n v="4867"/>
    <s v="3161 NOCHE DE RECONOCIMINETO VPSI 2025"/>
    <n v="1"/>
    <s v="organizer"/>
    <s v="deposito_cuenta"/>
    <d v="2026-01-12T17:08:30"/>
    <d v="2026-01-19T11:51:53"/>
    <n v="1"/>
    <n v="4084"/>
    <d v="2026-01-19T11:47:17"/>
    <m/>
    <x v="5"/>
    <x v="2"/>
  </r>
  <r>
    <n v="3349"/>
    <n v="3180"/>
    <n v="3498"/>
    <n v="9"/>
    <n v="0"/>
    <n v="4084"/>
    <s v="Servicio de devolución del evento #3498 Fiesta de Año Nuevo 2026 con Suu Rabanal y Dailyn Curbelo en Rustica Costa Verde EXONERADO"/>
    <n v="0"/>
    <m/>
    <m/>
    <d v="2026-01-12T13:55:38"/>
    <d v="2026-01-12T14:12:08"/>
    <n v="1"/>
    <n v="4084"/>
    <d v="2026-01-12T13:55:38"/>
    <n v="13"/>
    <x v="8"/>
    <x v="1"/>
  </r>
  <r>
    <n v="3348"/>
    <n v="3184"/>
    <n v="3679"/>
    <n v="4"/>
    <n v="-330.4"/>
    <n v="4084"/>
    <s v="Servicio de gestión de pauta publicitaria para evento (Inc IGV)"/>
    <n v="1"/>
    <s v="organizer"/>
    <s v="a_liquidacion"/>
    <d v="2026-01-12T12:28:21"/>
    <d v="2026-01-13T08:28:41"/>
    <n v="1"/>
    <n v="5"/>
    <d v="2026-01-12T19:11:11"/>
    <n v="4"/>
    <x v="6"/>
    <x v="3"/>
  </r>
  <r>
    <n v="3347"/>
    <n v="3184"/>
    <n v="3679"/>
    <n v="4"/>
    <n v="-354"/>
    <n v="4084"/>
    <s v="Servicio de gestión de pauta publicitaria para evento (Inc IGV)"/>
    <n v="1"/>
    <s v="organizer"/>
    <s v="a_liquidacion"/>
    <d v="2026-01-12T12:27:08"/>
    <d v="2026-01-13T08:28:41"/>
    <n v="1"/>
    <n v="5"/>
    <d v="2026-01-12T19:11:00"/>
    <n v="4"/>
    <x v="6"/>
    <x v="3"/>
  </r>
  <r>
    <n v="3346"/>
    <n v="3183"/>
    <n v="3706"/>
    <n v="4"/>
    <n v="-1000"/>
    <n v="4084"/>
    <s v="Servicio de gestión de pauta publicitaria para evento (Inc IGV)"/>
    <n v="1"/>
    <s v="vaope"/>
    <m/>
    <d v="2026-01-12T11:34:51"/>
    <d v="2026-01-13T08:25:27"/>
    <n v="1"/>
    <n v="5"/>
    <d v="2026-01-12T19:10:08"/>
    <n v="4"/>
    <x v="6"/>
    <x v="3"/>
  </r>
  <r>
    <n v="3345"/>
    <n v="3186"/>
    <n v="3663"/>
    <n v="5"/>
    <n v="-885"/>
    <n v="4084"/>
    <s v="Servicio de 5 validadores (Inc IGV)"/>
    <n v="1"/>
    <s v="organizer"/>
    <s v="a_liquidacion"/>
    <d v="2026-01-12T11:19:06"/>
    <d v="2026-01-13T12:43:23"/>
    <n v="1"/>
    <n v="1141"/>
    <d v="2026-01-12T12:05:41"/>
    <n v="3"/>
    <x v="9"/>
    <x v="5"/>
  </r>
  <r>
    <n v="3344"/>
    <n v="3182"/>
    <n v="3434"/>
    <n v="4"/>
    <n v="-1180"/>
    <n v="4084"/>
    <s v="Servicio de gestión de pauta publicitaria para evento (Inc IGV)"/>
    <n v="1"/>
    <s v="organizer"/>
    <s v="a_liquidacion"/>
    <d v="2026-01-12T10:50:51"/>
    <d v="2026-01-13T08:23:25"/>
    <n v="1"/>
    <n v="5"/>
    <d v="2026-01-12T19:09:36"/>
    <n v="4"/>
    <x v="6"/>
    <x v="3"/>
  </r>
  <r>
    <n v="3343"/>
    <m/>
    <n v="3696"/>
    <n v="7"/>
    <n v="-295"/>
    <n v="1141"/>
    <s v="Emisión de 500 entradas de cortesía (INC IGV)"/>
    <n v="1"/>
    <s v="organizer"/>
    <s v="deposito_cuenta"/>
    <d v="2026-01-12T09:11:21"/>
    <d v="2026-01-12T09:12:22"/>
    <n v="1"/>
    <n v="4867"/>
    <d v="2026-01-12T09:12:22"/>
    <m/>
    <x v="5"/>
    <x v="2"/>
  </r>
  <r>
    <n v="3342"/>
    <n v="3186"/>
    <n v="3663"/>
    <n v="20"/>
    <n v="-472"/>
    <n v="2584"/>
    <s v="Orden de venta Nº 1278 Fiestón de Verano 2026 con Son del Duke y Amaya Hnos en El Remanso de Comas 1,000 FULL COLOR CON QR FISICO ZONA NIÑO S/472"/>
    <n v="0"/>
    <m/>
    <m/>
    <d v="2026-01-09T12:09:23"/>
    <d v="2026-01-13T12:43:23"/>
    <n v="1"/>
    <n v="2584"/>
    <d v="2026-01-09T12:09:23"/>
    <n v="15"/>
    <x v="3"/>
    <x v="0"/>
  </r>
  <r>
    <n v="3341"/>
    <n v="3186"/>
    <n v="3663"/>
    <n v="20"/>
    <n v="-944"/>
    <n v="2584"/>
    <s v="Orden de venta Nº 1278 Fiestón de Verano 2026 con Son del Duke y Amaya Hnos en El Remanso de Comas 2,000 FULL COLOR CON QR FISICO ZONA ADULTO S/944"/>
    <n v="0"/>
    <m/>
    <m/>
    <d v="2026-01-09T12:08:56"/>
    <d v="2026-01-13T12:43:23"/>
    <n v="1"/>
    <n v="2584"/>
    <d v="2026-01-09T12:08:56"/>
    <n v="15"/>
    <x v="3"/>
    <x v="0"/>
  </r>
  <r>
    <n v="3340"/>
    <n v="3186"/>
    <n v="3663"/>
    <n v="19"/>
    <n v="-1203.5999999999999"/>
    <n v="2584"/>
    <s v="Orden de venta Nº 1278 Fiestón de Verano 2026 con Son del Duke y Amaya Hnos en El Remanso de Comas 1,700 BRAZALETE CON QR FISICO ZONA VIP S/1,203.60"/>
    <n v="0"/>
    <m/>
    <m/>
    <d v="2026-01-09T12:07:37"/>
    <d v="2026-01-13T12:43:23"/>
    <n v="1"/>
    <n v="2584"/>
    <d v="2026-01-09T12:07:37"/>
    <n v="14"/>
    <x v="2"/>
    <x v="0"/>
  </r>
  <r>
    <n v="3339"/>
    <n v="3147"/>
    <n v="3633"/>
    <n v="6"/>
    <n v="-2599.09"/>
    <n v="1"/>
    <s v="A cuenta de préstamo"/>
    <n v="1"/>
    <m/>
    <m/>
    <d v="2026-01-08T17:54:46"/>
    <d v="2026-01-08T17:54:58"/>
    <m/>
    <m/>
    <m/>
    <m/>
    <x v="5"/>
    <x v="2"/>
  </r>
  <r>
    <n v="3338"/>
    <n v="3228"/>
    <n v="3701"/>
    <n v="26"/>
    <n v="-59"/>
    <n v="1141"/>
    <s v="- Elaboración de flyer desde 0. (INC IGV)"/>
    <s v="1"/>
    <m/>
    <m/>
    <d v="2026-01-07T09:34:14"/>
    <d v="2026-01-19T17:20:26"/>
    <n v="1"/>
    <n v="4084"/>
    <d v="2026-01-19T17:08:07"/>
    <n v="21"/>
    <x v="7"/>
    <x v="4"/>
  </r>
  <r>
    <n v="3337"/>
    <n v="3161"/>
    <n v="3619"/>
    <n v="20"/>
    <n v="-944"/>
    <n v="1141"/>
    <s v="Orden de venta Nº 1268 La Bella Luz en Íllimo 2026 Feria Internacional Reyes Magos 2,000 FULL COLOR CON QR FISICO ZONA VIP S/944"/>
    <n v="1"/>
    <m/>
    <m/>
    <d v="2026-01-07T09:08:33"/>
    <d v="2026-01-10T12:50:41"/>
    <n v="1"/>
    <n v="1"/>
    <d v="2026-01-10T12:46:58"/>
    <n v="15"/>
    <x v="3"/>
    <x v="0"/>
  </r>
  <r>
    <n v="3336"/>
    <n v="3161"/>
    <n v="3619"/>
    <n v="20"/>
    <n v="-944"/>
    <n v="1141"/>
    <s v="Orden de venta Nº 1268 La Bella Luz en Íllimo 2026 Feria Internacional Reyes Magos 2,000 FULL COLOR CON QR FISICO ZONA GENERAL S/944"/>
    <n v="1"/>
    <m/>
    <m/>
    <d v="2026-01-07T09:08:11"/>
    <d v="2026-01-10T12:50:41"/>
    <n v="1"/>
    <n v="1"/>
    <d v="2026-01-10T12:47:01"/>
    <n v="15"/>
    <x v="3"/>
    <x v="0"/>
  </r>
  <r>
    <n v="3335"/>
    <n v="3161"/>
    <n v="3619"/>
    <n v="14"/>
    <n v="-35.4"/>
    <n v="1141"/>
    <s v="Orden de venta Nº 1267 Son del Duke y Walther Lozada &amp; Orquesta en Salas Gastos de envío S/35.40"/>
    <n v="1"/>
    <m/>
    <m/>
    <d v="2026-01-07T09:07:40"/>
    <d v="2026-01-10T12:50:41"/>
    <n v="1"/>
    <n v="1"/>
    <d v="2026-01-10T12:47:04"/>
    <n v="5"/>
    <x v="0"/>
    <x v="0"/>
  </r>
  <r>
    <n v="3334"/>
    <n v="3161"/>
    <n v="3619"/>
    <n v="20"/>
    <n v="-472"/>
    <n v="1141"/>
    <s v="Orden de venta Nº 1267 Son del Duke y Walther Lozada &amp; Orquesta en Salas 1,000 FULL COLOR CON QR FISICO ZONA GENERAL S/472"/>
    <n v="1"/>
    <m/>
    <m/>
    <d v="2026-01-07T09:07:13"/>
    <d v="2026-01-10T12:50:41"/>
    <n v="1"/>
    <n v="1"/>
    <d v="2026-01-10T12:47:07"/>
    <n v="15"/>
    <x v="3"/>
    <x v="0"/>
  </r>
  <r>
    <n v="3333"/>
    <n v="3161"/>
    <n v="3619"/>
    <n v="14"/>
    <n v="-59"/>
    <n v="1141"/>
    <s v="Orden de venta Nº 1262 Son del Duke en Jayanca Gastos de envío S/59"/>
    <n v="1"/>
    <m/>
    <m/>
    <d v="2026-01-07T08:56:41"/>
    <d v="2026-01-10T12:50:41"/>
    <n v="1"/>
    <n v="1"/>
    <d v="2026-01-10T12:47:09"/>
    <n v="5"/>
    <x v="0"/>
    <x v="0"/>
  </r>
  <r>
    <n v="3332"/>
    <n v="3161"/>
    <n v="3619"/>
    <n v="20"/>
    <n v="-944"/>
    <n v="1141"/>
    <s v="Orden de venta Nº 1262 Son del Duke en Jayanca 2,000 FULL COLOR CON QR FISICO GENERAL S/944"/>
    <n v="1"/>
    <m/>
    <m/>
    <d v="2026-01-07T08:56:12"/>
    <d v="2026-01-10T12:50:41"/>
    <n v="1"/>
    <n v="1"/>
    <d v="2026-01-10T12:47:11"/>
    <n v="15"/>
    <x v="3"/>
    <x v="0"/>
  </r>
  <r>
    <n v="3331"/>
    <m/>
    <n v="3607"/>
    <n v="21"/>
    <n v="-88.5"/>
    <n v="2584"/>
    <s v="Orden de venta Nº 1265 Flor Pucarina Vuelve a los Escenarios en Ayacucho 250 VOUCHERS HORIZONTALES CON QR FISICO ZONA GENERAL S/88.50"/>
    <n v="1"/>
    <m/>
    <m/>
    <d v="2026-01-06T17:04:45"/>
    <d v="2026-01-06T17:04:45"/>
    <m/>
    <m/>
    <m/>
    <n v="16"/>
    <x v="10"/>
    <x v="0"/>
  </r>
  <r>
    <n v="3330"/>
    <m/>
    <n v="3607"/>
    <n v="21"/>
    <n v="-88.5"/>
    <n v="2584"/>
    <s v="Orden de venta Nº 1265 Flor Pucarina Vuelve a los Escenarios en Ayacucho 250 VOUCHERS HORIZONTALES CON QR FISICO ZONA VIP S/88.50"/>
    <n v="1"/>
    <m/>
    <m/>
    <d v="2026-01-06T17:04:30"/>
    <d v="2026-01-06T17:04:30"/>
    <m/>
    <m/>
    <m/>
    <n v="16"/>
    <x v="10"/>
    <x v="0"/>
  </r>
  <r>
    <n v="3329"/>
    <m/>
    <n v="3608"/>
    <n v="14"/>
    <n v="-35.4"/>
    <n v="2584"/>
    <s v="Orden de venta Nº 1264 Gastos de envío S/35.40"/>
    <n v="1"/>
    <m/>
    <m/>
    <d v="2026-01-06T17:03:51"/>
    <d v="2026-01-06T17:03:51"/>
    <m/>
    <m/>
    <m/>
    <n v="5"/>
    <x v="0"/>
    <x v="0"/>
  </r>
  <r>
    <n v="3328"/>
    <m/>
    <n v="3608"/>
    <n v="21"/>
    <n v="-88.5"/>
    <n v="2584"/>
    <s v="Orden de venta Nº 1264 Flor Pucarina Vuelve a los Escenarios en Juliaca 250 VOUCHERS HORIZONTALES CON QR FISICO ZONA GENERAL S/88.50"/>
    <n v="1"/>
    <m/>
    <m/>
    <d v="2026-01-06T17:03:25"/>
    <d v="2026-01-06T17:03:25"/>
    <m/>
    <m/>
    <m/>
    <n v="16"/>
    <x v="10"/>
    <x v="0"/>
  </r>
  <r>
    <n v="3327"/>
    <m/>
    <n v="3608"/>
    <n v="21"/>
    <n v="-88.5"/>
    <n v="2584"/>
    <s v="Orden de venta Nº 1264 Flor Pucarina Vuelve a los Escenarios en Juliaca 250 VOUCHERS HORIZONTALES CON QR FISICO ZONA VIP S/88.50"/>
    <n v="1"/>
    <m/>
    <m/>
    <d v="2026-01-06T17:03:01"/>
    <d v="2026-01-06T17:03:01"/>
    <m/>
    <m/>
    <m/>
    <n v="16"/>
    <x v="10"/>
    <x v="0"/>
  </r>
  <r>
    <n v="3326"/>
    <m/>
    <n v="3693"/>
    <n v="7"/>
    <n v="-59"/>
    <n v="2584"/>
    <s v="Pago por fuera de flayer desde cero (50+igv) en total 59 soles"/>
    <n v="1"/>
    <m/>
    <m/>
    <d v="2026-01-06T12:43:58"/>
    <d v="2026-01-06T12:43:58"/>
    <m/>
    <m/>
    <m/>
    <m/>
    <x v="5"/>
    <x v="2"/>
  </r>
  <r>
    <n v="3323"/>
    <n v="3188"/>
    <n v="3407"/>
    <n v="7"/>
    <n v="-295"/>
    <n v="1141"/>
    <s v="Emisión de 500 entradas de cortesía. (INC IGV)"/>
    <n v="1"/>
    <s v="organizer"/>
    <s v="deposito_cuenta"/>
    <d v="2026-01-05T16:02:44"/>
    <d v="2026-01-15T12:29:23"/>
    <n v="1"/>
    <n v="4867"/>
    <d v="2026-01-13T08:55:34"/>
    <m/>
    <x v="5"/>
    <x v="2"/>
  </r>
  <r>
    <n v="3322"/>
    <m/>
    <n v="3439"/>
    <n v="9"/>
    <n v="-236"/>
    <n v="4084"/>
    <s v="Servicio de devolución del evento #3439 El Circo de Edwin Sierra y La Casa de Nieve de Papá Noel (Inc IGV)"/>
    <n v="1"/>
    <m/>
    <m/>
    <d v="2026-01-05T11:59:51"/>
    <d v="2026-01-05T11:59:51"/>
    <m/>
    <m/>
    <m/>
    <n v="13"/>
    <x v="8"/>
    <x v="1"/>
  </r>
  <r>
    <n v="3321"/>
    <n v="3141"/>
    <n v="3630"/>
    <n v="5"/>
    <n v="-885"/>
    <n v="4084"/>
    <s v="Servicio de 5 validadores (Inc IGV)"/>
    <n v="1"/>
    <m/>
    <m/>
    <d v="2026-01-05T10:52:02"/>
    <d v="2026-01-05T12:15:23"/>
    <m/>
    <m/>
    <m/>
    <n v="3"/>
    <x v="9"/>
    <x v="5"/>
  </r>
  <r>
    <n v="3320"/>
    <n v="3141"/>
    <n v="3630"/>
    <n v="20"/>
    <n v="-472"/>
    <n v="2584"/>
    <s v="Orden de venta Nº 1255 1er Piscinazo Verano 2026 con Walther Lozada &amp; Orquesta en El Remanso de Comas 1000 FULL COLOR CON QR FISICOS ZONA GENERAL S/472.00"/>
    <n v="1"/>
    <m/>
    <m/>
    <d v="2026-01-05T09:07:22"/>
    <d v="2026-01-05T12:15:23"/>
    <m/>
    <m/>
    <m/>
    <n v="15"/>
    <x v="3"/>
    <x v="0"/>
  </r>
  <r>
    <n v="3319"/>
    <n v="3141"/>
    <n v="3630"/>
    <n v="19"/>
    <n v="-849"/>
    <n v="2584"/>
    <s v="Orden de venta Nº 1255 1er Piscinazo Verano 2026 con Walther Lozada &amp; Orquesta en El Remanso de Comas 1200 BRAZALETES CON QR FISICOS ZONA VIP S/849.60"/>
    <n v="1"/>
    <m/>
    <m/>
    <d v="2026-01-05T09:06:50"/>
    <d v="2026-01-05T12:15:23"/>
    <m/>
    <m/>
    <m/>
    <n v="14"/>
    <x v="2"/>
    <x v="0"/>
  </r>
  <r>
    <n v="3318"/>
    <m/>
    <n v="3608"/>
    <n v="4"/>
    <n v="-3540"/>
    <n v="4084"/>
    <s v="Servicio de gestión de pauta publicitaria para evento (Inc IGV)- Huancayo"/>
    <n v="1"/>
    <m/>
    <m/>
    <d v="2026-01-03T11:46:49"/>
    <d v="2026-01-03T11:46:49"/>
    <m/>
    <m/>
    <m/>
    <n v="4"/>
    <x v="6"/>
    <x v="3"/>
  </r>
  <r>
    <n v="3317"/>
    <m/>
    <n v="3608"/>
    <n v="4"/>
    <n v="-3540"/>
    <n v="4084"/>
    <s v="Servicio de gestión de pauta publicitaria para evento (Inc IGV) - Huancayo"/>
    <n v="1"/>
    <m/>
    <m/>
    <d v="2026-01-03T11:45:46"/>
    <d v="2026-01-03T11:45:46"/>
    <m/>
    <m/>
    <m/>
    <n v="4"/>
    <x v="6"/>
    <x v="3"/>
  </r>
  <r>
    <n v="3316"/>
    <n v="3189"/>
    <n v="3502"/>
    <n v="7"/>
    <n v="-23845"/>
    <n v="780"/>
    <s v="VENTA TAQUILLA POS"/>
    <n v="1"/>
    <m/>
    <m/>
    <d v="2026-01-02T17:30:18"/>
    <d v="2026-01-15T17:29:36"/>
    <n v="1"/>
    <n v="4084"/>
    <d v="2026-01-15T17:27:14"/>
    <m/>
    <x v="5"/>
    <x v="2"/>
  </r>
  <r>
    <n v="3315"/>
    <n v="3189"/>
    <n v="3502"/>
    <n v="18"/>
    <n v="-1055.1400000000001"/>
    <n v="780"/>
    <s v="Comisión POS Venta Taquilla (Inc. IGV)"/>
    <n v="1"/>
    <m/>
    <m/>
    <d v="2026-01-02T17:28:45"/>
    <d v="2026-01-15T17:29:36"/>
    <n v="1"/>
    <n v="4084"/>
    <d v="2026-01-15T17:27:08"/>
    <n v="12"/>
    <x v="11"/>
    <x v="1"/>
  </r>
  <r>
    <n v="3314"/>
    <n v="3133"/>
    <n v="3522"/>
    <n v="4"/>
    <n v="-590"/>
    <n v="4084"/>
    <s v="Servicio de gestión de pauta publicitaria para evento (Inc IGV)"/>
    <n v="1"/>
    <m/>
    <m/>
    <d v="2026-01-02T14:41:56"/>
    <d v="2026-01-03T10:41:39"/>
    <m/>
    <m/>
    <m/>
    <n v="4"/>
    <x v="6"/>
    <x v="3"/>
  </r>
  <r>
    <n v="3313"/>
    <n v="3147"/>
    <n v="3633"/>
    <n v="14"/>
    <n v="-28.91"/>
    <n v="4084"/>
    <s v="Descuento de la Orden de venta Nº 1133 Por Primera vez Amor Rebelde y Los Kapos de la Cumbia en el Padrino Club de Jicamarca Delivery / Gastos de envío INC IGV (S/28.91)"/>
    <n v="1"/>
    <m/>
    <m/>
    <d v="2026-01-02T14:24:04"/>
    <d v="2026-01-08T17:54:58"/>
    <m/>
    <m/>
    <m/>
    <n v="5"/>
    <x v="0"/>
    <x v="0"/>
  </r>
  <r>
    <n v="3310"/>
    <n v="3108"/>
    <n v="3592"/>
    <n v="4"/>
    <n v="-590"/>
    <n v="4084"/>
    <s v="Servicio de gestión de pauta publicitaria para evento (Inc IGV)"/>
    <n v="1"/>
    <m/>
    <m/>
    <d v="2026-01-02T13:31:32"/>
    <d v="2026-01-02T13:33:33"/>
    <m/>
    <m/>
    <m/>
    <n v="4"/>
    <x v="6"/>
    <x v="3"/>
  </r>
  <r>
    <n v="3307"/>
    <n v="3145"/>
    <n v="3500"/>
    <n v="4"/>
    <n v="-590"/>
    <n v="4084"/>
    <s v="Servicio de gestión de pauta publicitaria para evento (Inc IGV)"/>
    <n v="1"/>
    <m/>
    <m/>
    <d v="2026-01-02T12:45:40"/>
    <d v="2026-01-07T12:06:30"/>
    <m/>
    <m/>
    <m/>
    <n v="4"/>
    <x v="6"/>
    <x v="3"/>
  </r>
  <r>
    <n v="3306"/>
    <n v="3145"/>
    <n v="3500"/>
    <n v="4"/>
    <n v="-7080"/>
    <n v="4084"/>
    <s v="Servicio de gestión de pauta publicitaria para evento (Inc IGV)"/>
    <n v="1"/>
    <m/>
    <m/>
    <d v="2026-01-02T12:45:16"/>
    <d v="2026-01-07T12:06:30"/>
    <m/>
    <m/>
    <m/>
    <n v="4"/>
    <x v="6"/>
    <x v="3"/>
  </r>
  <r>
    <n v="3305"/>
    <n v="3145"/>
    <n v="3500"/>
    <n v="4"/>
    <n v="-1770"/>
    <n v="4084"/>
    <s v="Servicio de gestión de pauta publicitaria para evento (Inc IGV)"/>
    <n v="1"/>
    <m/>
    <m/>
    <d v="2026-01-02T12:44:44"/>
    <d v="2026-01-07T12:06:30"/>
    <m/>
    <m/>
    <m/>
    <n v="4"/>
    <x v="6"/>
    <x v="3"/>
  </r>
  <r>
    <n v="3304"/>
    <m/>
    <n v="3539"/>
    <n v="7"/>
    <n v="-59"/>
    <n v="1141"/>
    <s v="Elaboración de flyer desde 0. (INC IGV)"/>
    <n v="1"/>
    <m/>
    <m/>
    <d v="2026-01-02T12:23:53"/>
    <d v="2026-01-02T12:23:53"/>
    <m/>
    <m/>
    <m/>
    <m/>
    <x v="5"/>
    <x v="2"/>
  </r>
  <r>
    <n v="3303"/>
    <n v="3133"/>
    <n v="3522"/>
    <n v="5"/>
    <n v="-177"/>
    <n v="4084"/>
    <s v="Servicio de 1 validador (Inc IGV)"/>
    <n v="1"/>
    <m/>
    <m/>
    <d v="2026-01-02T11:50:05"/>
    <d v="2026-01-03T10:41:39"/>
    <m/>
    <m/>
    <m/>
    <n v="3"/>
    <x v="9"/>
    <x v="5"/>
  </r>
  <r>
    <n v="3302"/>
    <n v="3135"/>
    <n v="3588"/>
    <n v="5"/>
    <n v="-531"/>
    <n v="4084"/>
    <s v="Servicio de 3 validadores (Inc IGV)"/>
    <n v="1"/>
    <m/>
    <m/>
    <d v="2026-01-02T11:16:46"/>
    <d v="2026-01-03T13:25:43"/>
    <m/>
    <m/>
    <m/>
    <n v="3"/>
    <x v="9"/>
    <x v="5"/>
  </r>
  <r>
    <n v="3301"/>
    <n v="3108"/>
    <n v="3592"/>
    <n v="5"/>
    <n v="-177"/>
    <n v="4084"/>
    <s v="Servicio de 1 validador (Inc IGV)"/>
    <n v="1"/>
    <m/>
    <m/>
    <d v="2026-01-02T11:15:47"/>
    <d v="2026-01-02T13:33:33"/>
    <m/>
    <m/>
    <m/>
    <n v="3"/>
    <x v="9"/>
    <x v="5"/>
  </r>
  <r>
    <n v="3300"/>
    <n v="3131"/>
    <n v="3599"/>
    <n v="5"/>
    <n v="-885"/>
    <n v="4084"/>
    <s v="Servicio de 5 validadores (Inc IGV)"/>
    <n v="1"/>
    <m/>
    <m/>
    <d v="2026-01-02T11:14:37"/>
    <d v="2026-01-03T09:33:23"/>
    <m/>
    <m/>
    <m/>
    <n v="3"/>
    <x v="9"/>
    <x v="5"/>
  </r>
  <r>
    <n v="3299"/>
    <n v="3189"/>
    <n v="3502"/>
    <n v="16"/>
    <n v="-472"/>
    <n v="4084"/>
    <s v="Servicio de 2 vendedoras (Inc IGV)"/>
    <n v="1"/>
    <m/>
    <m/>
    <d v="2026-01-02T11:12:53"/>
    <d v="2026-01-15T17:29:36"/>
    <n v="1"/>
    <n v="780"/>
    <d v="2026-01-15T17:28:09"/>
    <n v="10"/>
    <x v="12"/>
    <x v="5"/>
  </r>
  <r>
    <n v="3298"/>
    <n v="3145"/>
    <n v="3500"/>
    <n v="5"/>
    <n v="-708"/>
    <n v="4084"/>
    <s v="Servicio de 4 validadores (Inc IGV)"/>
    <n v="1"/>
    <m/>
    <m/>
    <d v="2026-01-02T11:09:35"/>
    <d v="2026-01-07T12:06:30"/>
    <m/>
    <m/>
    <m/>
    <n v="3"/>
    <x v="9"/>
    <x v="5"/>
  </r>
  <r>
    <n v="3297"/>
    <n v="3136"/>
    <n v="3547"/>
    <n v="5"/>
    <n v="-354"/>
    <n v="4084"/>
    <s v="Servicio de 2 validadores (Inc IGV)"/>
    <n v="1"/>
    <m/>
    <m/>
    <d v="2026-01-02T11:08:37"/>
    <d v="2026-01-05T10:37:27"/>
    <m/>
    <m/>
    <m/>
    <n v="3"/>
    <x v="9"/>
    <x v="5"/>
  </r>
  <r>
    <n v="3296"/>
    <n v="3090"/>
    <n v="3540"/>
    <n v="5"/>
    <n v="-177"/>
    <n v="4084"/>
    <s v="Servicio de 1 validadores (Inc IGV)"/>
    <n v="1"/>
    <m/>
    <m/>
    <d v="2026-01-02T11:05:37"/>
    <d v="2026-01-02T12:15:15"/>
    <m/>
    <m/>
    <m/>
    <n v="3"/>
    <x v="9"/>
    <x v="5"/>
  </r>
  <r>
    <n v="3295"/>
    <n v="3134"/>
    <n v="3537"/>
    <n v="1"/>
    <n v="-25000"/>
    <n v="780"/>
    <s v="Adelanto de recaudacion"/>
    <n v="1"/>
    <m/>
    <m/>
    <d v="2026-01-02T10:39:12"/>
    <d v="2026-01-03T12:23:08"/>
    <m/>
    <m/>
    <m/>
    <m/>
    <x v="5"/>
    <x v="2"/>
  </r>
  <r>
    <n v="3294"/>
    <n v="3096"/>
    <n v="3503"/>
    <n v="5"/>
    <n v="-177"/>
    <n v="4084"/>
    <s v="Servicio de 1 validadores (Inc IGV)"/>
    <n v="1"/>
    <m/>
    <m/>
    <d v="2026-01-02T10:34:06"/>
    <d v="2026-01-02T12:41:49"/>
    <m/>
    <m/>
    <m/>
    <n v="3"/>
    <x v="9"/>
    <x v="5"/>
  </r>
  <r>
    <n v="3293"/>
    <n v="3100"/>
    <n v="3474"/>
    <n v="5"/>
    <n v="-708"/>
    <n v="4084"/>
    <s v="Servicio de 4 validadores (Inc IGV)"/>
    <n v="1"/>
    <m/>
    <m/>
    <d v="2026-01-02T10:32:19"/>
    <d v="2026-01-02T12:57:21"/>
    <m/>
    <m/>
    <m/>
    <n v="3"/>
    <x v="9"/>
    <x v="5"/>
  </r>
  <r>
    <n v="3292"/>
    <n v="3088"/>
    <n v="3550"/>
    <n v="5"/>
    <n v="-354"/>
    <n v="4084"/>
    <s v="Servicio de 2 validadores (Inc IGV)"/>
    <n v="1"/>
    <m/>
    <m/>
    <d v="2026-01-02T10:30:35"/>
    <d v="2026-01-02T12:04:59"/>
    <m/>
    <m/>
    <m/>
    <n v="3"/>
    <x v="9"/>
    <x v="5"/>
  </r>
  <r>
    <n v="3291"/>
    <n v="3189"/>
    <n v="3502"/>
    <n v="14"/>
    <n v="-53.1"/>
    <n v="2584"/>
    <s v="Orden de venta Nº 1249 El Reventonazo de Año Nuevo 2026 en La Explanada de Plaza Norte Delivery / Gastos de envío INC IGV S/53.10"/>
    <n v="1"/>
    <m/>
    <m/>
    <d v="2026-01-02T10:11:02"/>
    <d v="2026-01-15T17:29:36"/>
    <n v="1"/>
    <n v="4084"/>
    <d v="2026-01-15T17:26:59"/>
    <n v="5"/>
    <x v="0"/>
    <x v="0"/>
  </r>
  <r>
    <n v="3290"/>
    <n v="3189"/>
    <n v="3502"/>
    <n v="19"/>
    <n v="-1062"/>
    <n v="2584"/>
    <s v="Orden de venta Nº 1249 El Reventonazo de Año Nuevo 2026 en La Explanada de Plaza Norte 3000 BRAZALETES SIN QR FISICOS ZONA VIP S/1,062.00"/>
    <n v="1"/>
    <m/>
    <m/>
    <d v="2026-01-02T10:10:36"/>
    <d v="2026-01-15T17:29:36"/>
    <n v="1"/>
    <n v="4084"/>
    <d v="2026-01-15T17:26:54"/>
    <n v="14"/>
    <x v="2"/>
    <x v="0"/>
  </r>
  <r>
    <n v="3289"/>
    <n v="3189"/>
    <n v="3502"/>
    <n v="19"/>
    <n v="-590"/>
    <n v="2584"/>
    <s v="Orden de venta Nº 1249 El Reventonazo de Año Nuevo 2026 en La Explanada de Plaza Norte 1000 BRAZALETES CON QR FISICOS ZONA VIP S/590.00"/>
    <n v="1"/>
    <m/>
    <m/>
    <d v="2026-01-02T10:02:16"/>
    <d v="2026-01-15T17:29:36"/>
    <n v="1"/>
    <n v="4084"/>
    <d v="2026-01-15T17:26:46"/>
    <n v="14"/>
    <x v="2"/>
    <x v="0"/>
  </r>
  <r>
    <n v="3288"/>
    <n v="3189"/>
    <n v="3502"/>
    <n v="20"/>
    <n v="-472"/>
    <n v="2584"/>
    <s v="Orden de venta Nº 1249 El Reventonazo de Año Nuevo 2026 en La Explanada de Plaza Norte 1000 FULL COLOR CON QR FISICOS ZONA GENERAL S/472.00"/>
    <n v="1"/>
    <m/>
    <m/>
    <d v="2026-01-02T10:01:59"/>
    <d v="2026-01-15T17:29:36"/>
    <n v="1"/>
    <n v="4084"/>
    <d v="2026-01-15T17:26:41"/>
    <n v="15"/>
    <x v="3"/>
    <x v="0"/>
  </r>
  <r>
    <n v="3287"/>
    <n v="3100"/>
    <n v="3474"/>
    <n v="1"/>
    <n v="-2640"/>
    <n v="1141"/>
    <s v="ADELANTO DE PAGO - #3474 Fiestón de Fin de Año con Yarita Lizeth, Cliver y su Grupo Internacional Corali y más en el Complejo Santa Rosa"/>
    <n v="1"/>
    <m/>
    <m/>
    <d v="2026-01-02T09:19:35"/>
    <d v="2026-01-02T12:57:21"/>
    <m/>
    <m/>
    <m/>
    <m/>
    <x v="5"/>
    <x v="2"/>
  </r>
  <r>
    <n v="3286"/>
    <n v="3120"/>
    <n v="3604"/>
    <n v="19"/>
    <n v="-708"/>
    <n v="1141"/>
    <s v="Orden de venta Nº 1252 Gran Fiestón 2026 con Yarita Lizeth, Nayda Gutierrez y más en Cusco 1000 BRAZALETES CON QR FISICOS ZONA VIP S/708.00"/>
    <n v="1"/>
    <m/>
    <m/>
    <d v="2026-01-02T09:15:46"/>
    <d v="2026-01-02T15:14:09"/>
    <m/>
    <m/>
    <m/>
    <n v="14"/>
    <x v="2"/>
    <x v="0"/>
  </r>
  <r>
    <n v="3285"/>
    <n v="3120"/>
    <n v="3604"/>
    <n v="20"/>
    <n v="-1888"/>
    <n v="1141"/>
    <s v="Orden de venta Nº 1252 Gran Fiestón 2026 con Yarita Lizeth, Nayda Gutierrez y más en Cusco 4000 FULL COLOR CON QR FISICOS ZONA GENERAL S/1,888.00"/>
    <n v="1"/>
    <m/>
    <m/>
    <d v="2026-01-02T09:15:23"/>
    <d v="2026-01-02T15:14:09"/>
    <m/>
    <m/>
    <m/>
    <n v="15"/>
    <x v="3"/>
    <x v="0"/>
  </r>
  <r>
    <n v="3284"/>
    <n v="3147"/>
    <n v="3633"/>
    <n v="20"/>
    <n v="-944"/>
    <n v="1141"/>
    <s v="Orden de venta Nº 1253 Primer Playa Tonazo con Son del Duke, Bill Orosco y más en Cerro Azul 2000 FULL COLOR CON QR FISICOS ZONA GENERAL S/944.00"/>
    <n v="1"/>
    <m/>
    <m/>
    <d v="2026-01-02T09:00:57"/>
    <d v="2026-01-08T17:54:58"/>
    <m/>
    <m/>
    <m/>
    <n v="15"/>
    <x v="3"/>
    <x v="0"/>
  </r>
  <r>
    <n v="3283"/>
    <n v="3147"/>
    <n v="3633"/>
    <n v="19"/>
    <n v="-708"/>
    <n v="1141"/>
    <s v="Orden de venta Nº 1253 Primer Playa Tonazo con Son del Duke, Bill Orosco y más en Cerro Azul 1000 BRAZALETES CON QR FISICOS ZONA  VIP S/708.00"/>
    <n v="1"/>
    <m/>
    <m/>
    <d v="2026-01-02T09:00:27"/>
    <d v="2026-01-08T17:54:58"/>
    <m/>
    <m/>
    <m/>
    <n v="14"/>
    <x v="2"/>
    <x v="0"/>
  </r>
  <r>
    <n v="2775"/>
    <n v="3134"/>
    <n v="3537"/>
    <n v="1"/>
    <n v="-30000"/>
    <n v="780"/>
    <s v="3210 La Verdadera Fiesta de Halloween Adelanto"/>
    <n v="1"/>
    <m/>
    <m/>
    <d v="2026-01-02T10:39:12"/>
    <d v="2026-01-03T12:23:08"/>
    <m/>
    <m/>
    <m/>
    <m/>
    <x v="5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2699E-6E19-4C4B-BA77-A6BE67358055}" name="TablaDinámica1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23" firstHeaderRow="0" firstDataRow="1" firstDataCol="1"/>
  <pivotFields count="18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22" showAll="0"/>
    <pivotField numFmtId="22" showAll="0"/>
    <pivotField showAll="0"/>
    <pivotField showAll="0"/>
    <pivotField showAll="0"/>
    <pivotField showAll="0"/>
    <pivotField axis="axisRow" dataField="1" showAll="0">
      <items count="14">
        <item x="3"/>
        <item x="2"/>
        <item x="11"/>
        <item x="0"/>
        <item x="4"/>
        <item x="6"/>
        <item x="8"/>
        <item x="9"/>
        <item x="7"/>
        <item x="1"/>
        <item x="12"/>
        <item x="10"/>
        <item x="5"/>
        <item t="default"/>
      </items>
    </pivotField>
    <pivotField axis="axisRow" showAll="0">
      <items count="7">
        <item x="4"/>
        <item x="0"/>
        <item x="3"/>
        <item x="5"/>
        <item x="1"/>
        <item x="2"/>
        <item t="default"/>
      </items>
    </pivotField>
  </pivotFields>
  <rowFields count="2">
    <field x="17"/>
    <field x="16"/>
  </rowFields>
  <rowItems count="20">
    <i>
      <x/>
    </i>
    <i r="1">
      <x v="8"/>
    </i>
    <i>
      <x v="1"/>
    </i>
    <i r="1">
      <x/>
    </i>
    <i r="1">
      <x v="1"/>
    </i>
    <i r="1">
      <x v="3"/>
    </i>
    <i r="1">
      <x v="9"/>
    </i>
    <i r="1">
      <x v="11"/>
    </i>
    <i>
      <x v="2"/>
    </i>
    <i r="1">
      <x v="5"/>
    </i>
    <i>
      <x v="3"/>
    </i>
    <i r="1">
      <x v="7"/>
    </i>
    <i r="1">
      <x v="10"/>
    </i>
    <i>
      <x v="4"/>
    </i>
    <i r="1">
      <x v="2"/>
    </i>
    <i r="1">
      <x v="4"/>
    </i>
    <i r="1">
      <x v="6"/>
    </i>
    <i>
      <x v="5"/>
    </i>
    <i r="1"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Cuenta de name" fld="16" subtotal="count" baseField="0" baseItem="0"/>
    <dataField name="Suma de am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3B8E5F-778E-4D01-A9FC-681E00454C46}" name="Tabla1" displayName="Tabla1" ref="A2:R156" totalsRowShown="0" dataDxfId="1">
  <tableColumns count="18">
    <tableColumn id="1" xr3:uid="{AF0F1A25-350E-44BA-993E-711D2E42B07A}" name="id" dataDxfId="18"/>
    <tableColumn id="2" xr3:uid="{2D783425-521F-4AB8-B398-8401838E1644}" name="product_liquidation_id" dataDxfId="17"/>
    <tableColumn id="3" xr3:uid="{EB9DA030-7020-4994-93A2-7603DE42EDDC}" name="event_id" dataDxfId="16"/>
    <tableColumn id="4" xr3:uid="{C50CC925-025D-4836-BA61-18A8DAC47BC7}" name="type_operation" dataDxfId="15"/>
    <tableColumn id="5" xr3:uid="{B16806BE-A167-4572-827E-F1E4C8963B9B}" name="amount" dataDxfId="14"/>
    <tableColumn id="6" xr3:uid="{A914F54B-9E4E-412E-B7D0-CAD4CC523999}" name="user_id" dataDxfId="13"/>
    <tableColumn id="7" xr3:uid="{D9E8FF61-972D-4D17-AB80-4A09D2C21F56}" name="description" dataDxfId="12"/>
    <tableColumn id="8" xr3:uid="{57C8B515-A0F1-4270-90B0-06EA99B6F1E0}" name="requires_approval" dataDxfId="11"/>
    <tableColumn id="9" xr3:uid="{3AE7138C-1AA7-4ED3-8173-F8B16853A272}" name="charged_to" dataDxfId="10"/>
    <tableColumn id="10" xr3:uid="{72B2F16F-41BF-4383-9305-A5F562386758}" name="payment_method" dataDxfId="9"/>
    <tableColumn id="11" xr3:uid="{48D62ED5-9770-4746-984B-69A7A68EB9D5}" name="created_at" dataDxfId="8"/>
    <tableColumn id="12" xr3:uid="{BFDB7030-7E5D-4CE8-832B-10FFAC735746}" name="updated_at" dataDxfId="7"/>
    <tableColumn id="13" xr3:uid="{8506E06B-F1F2-4B42-93FA-AA7B0E809DB7}" name="approved" dataDxfId="6"/>
    <tableColumn id="14" xr3:uid="{CA106F04-1461-45F3-92CE-167066A0FF5B}" name="approved_by" dataDxfId="5"/>
    <tableColumn id="15" xr3:uid="{0FC9DA80-CADE-432E-966E-70C7A6484604}" name="approved_at" dataDxfId="4"/>
    <tableColumn id="16" xr3:uid="{033A9484-BFE9-4944-9DCC-FA4B85966FA8}" name="code_secondary" dataDxfId="3"/>
    <tableColumn id="17" xr3:uid="{F367D675-9A61-4D31-B9D3-9768D1C7E38F}" name="name" dataDxfId="2"/>
    <tableColumn id="18" xr3:uid="{6E8F68F1-507B-4885-8F49-0E412D170080}" name="Product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1FF87-1581-49C6-A4E3-3EA48B509562}">
  <dimension ref="A3:C23"/>
  <sheetViews>
    <sheetView workbookViewId="0">
      <selection activeCell="A18" sqref="A18"/>
    </sheetView>
  </sheetViews>
  <sheetFormatPr baseColWidth="10" defaultRowHeight="14.4" x14ac:dyDescent="0.3"/>
  <cols>
    <col min="1" max="1" width="32.44140625" bestFit="1" customWidth="1"/>
    <col min="2" max="2" width="14.77734375" bestFit="1" customWidth="1"/>
    <col min="3" max="3" width="15.44140625" bestFit="1" customWidth="1"/>
  </cols>
  <sheetData>
    <row r="3" spans="1:3" x14ac:dyDescent="0.3">
      <c r="A3" s="3" t="s">
        <v>157</v>
      </c>
      <c r="B3" t="s">
        <v>160</v>
      </c>
      <c r="C3" t="s">
        <v>161</v>
      </c>
    </row>
    <row r="4" spans="1:3" x14ac:dyDescent="0.3">
      <c r="A4" s="4" t="s">
        <v>167</v>
      </c>
      <c r="B4" s="5">
        <v>6</v>
      </c>
      <c r="C4" s="5">
        <v>-377.6</v>
      </c>
    </row>
    <row r="5" spans="1:3" x14ac:dyDescent="0.3">
      <c r="A5" s="6" t="s">
        <v>24</v>
      </c>
      <c r="B5" s="5">
        <v>6</v>
      </c>
      <c r="C5" s="5">
        <v>-377.6</v>
      </c>
    </row>
    <row r="6" spans="1:3" x14ac:dyDescent="0.3">
      <c r="A6" s="4" t="s">
        <v>163</v>
      </c>
      <c r="B6" s="5">
        <v>68</v>
      </c>
      <c r="C6" s="5">
        <v>-44227.91</v>
      </c>
    </row>
    <row r="7" spans="1:3" x14ac:dyDescent="0.3">
      <c r="A7" s="6" t="s">
        <v>10</v>
      </c>
      <c r="B7" s="5">
        <v>24</v>
      </c>
      <c r="C7" s="5">
        <v>-16791.400000000001</v>
      </c>
    </row>
    <row r="8" spans="1:3" x14ac:dyDescent="0.3">
      <c r="A8" s="6" t="s">
        <v>8</v>
      </c>
      <c r="B8" s="5">
        <v>18</v>
      </c>
      <c r="C8" s="5">
        <v>-21546.2</v>
      </c>
    </row>
    <row r="9" spans="1:3" x14ac:dyDescent="0.3">
      <c r="A9" s="6" t="s">
        <v>3</v>
      </c>
      <c r="B9" s="5">
        <v>12</v>
      </c>
      <c r="C9" s="5">
        <v>-489.11</v>
      </c>
    </row>
    <row r="10" spans="1:3" x14ac:dyDescent="0.3">
      <c r="A10" s="6" t="s">
        <v>5</v>
      </c>
      <c r="B10" s="5">
        <v>5</v>
      </c>
      <c r="C10" s="5">
        <v>-3292.2</v>
      </c>
    </row>
    <row r="11" spans="1:3" x14ac:dyDescent="0.3">
      <c r="A11" s="6" t="s">
        <v>84</v>
      </c>
      <c r="B11" s="5">
        <v>9</v>
      </c>
      <c r="C11" s="5">
        <v>-2109</v>
      </c>
    </row>
    <row r="12" spans="1:3" x14ac:dyDescent="0.3">
      <c r="A12" s="4" t="s">
        <v>164</v>
      </c>
      <c r="B12" s="5">
        <v>33</v>
      </c>
      <c r="C12" s="5">
        <v>-42119.4</v>
      </c>
    </row>
    <row r="13" spans="1:3" x14ac:dyDescent="0.3">
      <c r="A13" s="6" t="s">
        <v>21</v>
      </c>
      <c r="B13" s="5">
        <v>33</v>
      </c>
      <c r="C13" s="5">
        <v>-42119.4</v>
      </c>
    </row>
    <row r="14" spans="1:3" x14ac:dyDescent="0.3">
      <c r="A14" s="4" t="s">
        <v>166</v>
      </c>
      <c r="B14" s="5">
        <v>16</v>
      </c>
      <c r="C14" s="5">
        <v>-7717.2</v>
      </c>
    </row>
    <row r="15" spans="1:3" x14ac:dyDescent="0.3">
      <c r="A15" s="6" t="s">
        <v>45</v>
      </c>
      <c r="B15" s="5">
        <v>15</v>
      </c>
      <c r="C15" s="5">
        <v>-7245.2</v>
      </c>
    </row>
    <row r="16" spans="1:3" x14ac:dyDescent="0.3">
      <c r="A16" s="6" t="s">
        <v>126</v>
      </c>
      <c r="B16" s="5">
        <v>1</v>
      </c>
      <c r="C16" s="5">
        <v>-472</v>
      </c>
    </row>
    <row r="17" spans="1:3" x14ac:dyDescent="0.3">
      <c r="A17" s="4" t="s">
        <v>165</v>
      </c>
      <c r="B17" s="5">
        <v>10</v>
      </c>
      <c r="C17" s="5">
        <v>-2353.1400000000003</v>
      </c>
    </row>
    <row r="18" spans="1:3" x14ac:dyDescent="0.3">
      <c r="A18" s="6" t="s">
        <v>120</v>
      </c>
      <c r="B18" s="5">
        <v>1</v>
      </c>
      <c r="C18" s="5">
        <v>-1055.1400000000001</v>
      </c>
    </row>
    <row r="19" spans="1:3" x14ac:dyDescent="0.3">
      <c r="A19" s="6" t="s">
        <v>17</v>
      </c>
      <c r="B19" s="5">
        <v>5</v>
      </c>
      <c r="C19" s="5">
        <v>-590</v>
      </c>
    </row>
    <row r="20" spans="1:3" x14ac:dyDescent="0.3">
      <c r="A20" s="6" t="s">
        <v>32</v>
      </c>
      <c r="B20" s="5">
        <v>4</v>
      </c>
      <c r="C20" s="5">
        <v>-708</v>
      </c>
    </row>
    <row r="21" spans="1:3" x14ac:dyDescent="0.3">
      <c r="A21" s="4" t="s">
        <v>158</v>
      </c>
      <c r="B21" s="5"/>
      <c r="C21" s="5">
        <v>-392807.85000000003</v>
      </c>
    </row>
    <row r="22" spans="1:3" x14ac:dyDescent="0.3">
      <c r="A22" s="6" t="s">
        <v>158</v>
      </c>
      <c r="B22" s="5"/>
      <c r="C22" s="5">
        <v>-392807.85000000003</v>
      </c>
    </row>
    <row r="23" spans="1:3" x14ac:dyDescent="0.3">
      <c r="A23" s="4" t="s">
        <v>159</v>
      </c>
      <c r="B23" s="5">
        <v>133</v>
      </c>
      <c r="C23" s="5">
        <v>-489603.10000000003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2347F-D29E-4639-A279-E08F267E3E54}">
  <dimension ref="A2:R156"/>
  <sheetViews>
    <sheetView tabSelected="1" topLeftCell="G1" workbookViewId="0">
      <selection activeCell="Q15" sqref="Q15"/>
    </sheetView>
  </sheetViews>
  <sheetFormatPr baseColWidth="10" defaultRowHeight="14.4" x14ac:dyDescent="0.3"/>
  <cols>
    <col min="1" max="1" width="5" bestFit="1" customWidth="1"/>
    <col min="2" max="2" width="20.33203125" bestFit="1" customWidth="1"/>
    <col min="3" max="3" width="8.33203125" bestFit="1" customWidth="1"/>
    <col min="4" max="4" width="14" bestFit="1" customWidth="1"/>
    <col min="5" max="5" width="8.6640625" bestFit="1" customWidth="1"/>
    <col min="6" max="6" width="7.109375" bestFit="1" customWidth="1"/>
    <col min="7" max="7" width="23.109375" customWidth="1"/>
    <col min="8" max="8" width="16.33203125" bestFit="1" customWidth="1"/>
    <col min="9" max="9" width="10.5546875" bestFit="1" customWidth="1"/>
    <col min="10" max="10" width="16.33203125" bestFit="1" customWidth="1"/>
    <col min="11" max="12" width="15.5546875" bestFit="1" customWidth="1"/>
    <col min="13" max="13" width="9.109375" bestFit="1" customWidth="1"/>
    <col min="14" max="14" width="12.21875" bestFit="1" customWidth="1"/>
    <col min="15" max="15" width="15.5546875" bestFit="1" customWidth="1"/>
    <col min="16" max="16" width="14.77734375" bestFit="1" customWidth="1"/>
    <col min="17" max="17" width="28.44140625" bestFit="1" customWidth="1"/>
  </cols>
  <sheetData>
    <row r="2" spans="1:18" x14ac:dyDescent="0.3">
      <c r="A2" t="s">
        <v>140</v>
      </c>
      <c r="B2" t="s">
        <v>141</v>
      </c>
      <c r="C2" t="s">
        <v>142</v>
      </c>
      <c r="D2" t="s">
        <v>143</v>
      </c>
      <c r="E2" t="s">
        <v>144</v>
      </c>
      <c r="F2" t="s">
        <v>145</v>
      </c>
      <c r="G2" t="s">
        <v>146</v>
      </c>
      <c r="H2" t="s">
        <v>147</v>
      </c>
      <c r="I2" t="s">
        <v>148</v>
      </c>
      <c r="J2" t="s">
        <v>149</v>
      </c>
      <c r="K2" t="s">
        <v>150</v>
      </c>
      <c r="L2" t="s">
        <v>151</v>
      </c>
      <c r="M2" t="s">
        <v>152</v>
      </c>
      <c r="N2" t="s">
        <v>153</v>
      </c>
      <c r="O2" t="s">
        <v>154</v>
      </c>
      <c r="P2" t="s">
        <v>155</v>
      </c>
      <c r="Q2" t="s">
        <v>156</v>
      </c>
      <c r="R2" s="7" t="s">
        <v>162</v>
      </c>
    </row>
    <row r="3" spans="1:18" x14ac:dyDescent="0.3">
      <c r="A3" s="1">
        <v>3448</v>
      </c>
      <c r="B3" s="1"/>
      <c r="C3" s="1">
        <v>3843</v>
      </c>
      <c r="D3" s="1">
        <v>14</v>
      </c>
      <c r="E3" s="1">
        <v>-35.4</v>
      </c>
      <c r="F3" s="1">
        <v>913</v>
      </c>
      <c r="G3" s="1" t="s">
        <v>0</v>
      </c>
      <c r="H3" s="1">
        <v>1</v>
      </c>
      <c r="I3" s="1" t="s">
        <v>1</v>
      </c>
      <c r="J3" s="1" t="s">
        <v>2</v>
      </c>
      <c r="K3" s="2">
        <v>46045.719201388885</v>
      </c>
      <c r="L3" s="2">
        <v>46045.72388888889</v>
      </c>
      <c r="M3" s="1">
        <v>1</v>
      </c>
      <c r="N3" s="1">
        <v>4867</v>
      </c>
      <c r="O3" s="2">
        <v>46045.72388888889</v>
      </c>
      <c r="P3" s="1">
        <v>5</v>
      </c>
      <c r="Q3" s="1" t="s">
        <v>3</v>
      </c>
      <c r="R3" s="1" t="s">
        <v>163</v>
      </c>
    </row>
    <row r="4" spans="1:18" x14ac:dyDescent="0.3">
      <c r="A4" s="1">
        <v>3447</v>
      </c>
      <c r="B4" s="1"/>
      <c r="C4" s="1">
        <v>3843</v>
      </c>
      <c r="D4" s="1">
        <v>24</v>
      </c>
      <c r="E4" s="1">
        <v>-318.60000000000002</v>
      </c>
      <c r="F4" s="1">
        <v>913</v>
      </c>
      <c r="G4" s="1" t="s">
        <v>4</v>
      </c>
      <c r="H4" s="1">
        <v>1</v>
      </c>
      <c r="I4" s="1" t="s">
        <v>1</v>
      </c>
      <c r="J4" s="1" t="s">
        <v>2</v>
      </c>
      <c r="K4" s="2">
        <v>46045.718541666669</v>
      </c>
      <c r="L4" s="2">
        <v>46045.72384259259</v>
      </c>
      <c r="M4" s="1">
        <v>1</v>
      </c>
      <c r="N4" s="1">
        <v>4867</v>
      </c>
      <c r="O4" s="2">
        <v>46045.72384259259</v>
      </c>
      <c r="P4" s="1">
        <v>19</v>
      </c>
      <c r="Q4" s="1" t="s">
        <v>5</v>
      </c>
      <c r="R4" s="1" t="s">
        <v>163</v>
      </c>
    </row>
    <row r="5" spans="1:18" x14ac:dyDescent="0.3">
      <c r="A5" s="1">
        <v>3446</v>
      </c>
      <c r="B5" s="1"/>
      <c r="C5" s="1">
        <v>3801</v>
      </c>
      <c r="D5" s="1">
        <v>19</v>
      </c>
      <c r="E5" s="1">
        <v>-849.6</v>
      </c>
      <c r="F5" s="1">
        <v>913</v>
      </c>
      <c r="G5" s="1" t="s">
        <v>6</v>
      </c>
      <c r="H5" s="1">
        <v>1</v>
      </c>
      <c r="I5" s="1" t="s">
        <v>1</v>
      </c>
      <c r="J5" s="1" t="s">
        <v>7</v>
      </c>
      <c r="K5" s="2">
        <v>46045.698831018519</v>
      </c>
      <c r="L5" s="2">
        <v>46045.700277777774</v>
      </c>
      <c r="M5" s="1">
        <v>1</v>
      </c>
      <c r="N5" s="1">
        <v>4084</v>
      </c>
      <c r="O5" s="2">
        <v>46045.700277777774</v>
      </c>
      <c r="P5" s="1">
        <v>14</v>
      </c>
      <c r="Q5" s="1" t="s">
        <v>8</v>
      </c>
      <c r="R5" s="1" t="s">
        <v>163</v>
      </c>
    </row>
    <row r="6" spans="1:18" x14ac:dyDescent="0.3">
      <c r="A6" s="1">
        <v>3445</v>
      </c>
      <c r="B6" s="1"/>
      <c r="C6" s="1">
        <v>3801</v>
      </c>
      <c r="D6" s="1">
        <v>20</v>
      </c>
      <c r="E6" s="1">
        <v>-159.30000000000001</v>
      </c>
      <c r="F6" s="1">
        <v>913</v>
      </c>
      <c r="G6" s="1" t="s">
        <v>9</v>
      </c>
      <c r="H6" s="1">
        <v>1</v>
      </c>
      <c r="I6" s="1" t="s">
        <v>1</v>
      </c>
      <c r="J6" s="1" t="s">
        <v>7</v>
      </c>
      <c r="K6" s="2">
        <v>46045.69840277778</v>
      </c>
      <c r="L6" s="2">
        <v>46045.700231481482</v>
      </c>
      <c r="M6" s="1">
        <v>1</v>
      </c>
      <c r="N6" s="1">
        <v>4084</v>
      </c>
      <c r="O6" s="2">
        <v>46045.700231481482</v>
      </c>
      <c r="P6" s="1">
        <v>15</v>
      </c>
      <c r="Q6" s="1" t="s">
        <v>10</v>
      </c>
      <c r="R6" s="1" t="s">
        <v>163</v>
      </c>
    </row>
    <row r="7" spans="1:18" x14ac:dyDescent="0.3">
      <c r="A7" s="1">
        <v>3444</v>
      </c>
      <c r="B7" s="1"/>
      <c r="C7" s="1">
        <v>3801</v>
      </c>
      <c r="D7" s="1">
        <v>20</v>
      </c>
      <c r="E7" s="1">
        <v>-796.5</v>
      </c>
      <c r="F7" s="1">
        <v>913</v>
      </c>
      <c r="G7" s="1" t="s">
        <v>11</v>
      </c>
      <c r="H7" s="1">
        <v>1</v>
      </c>
      <c r="I7" s="1" t="s">
        <v>1</v>
      </c>
      <c r="J7" s="1" t="s">
        <v>7</v>
      </c>
      <c r="K7" s="2">
        <v>46045.698020833333</v>
      </c>
      <c r="L7" s="2">
        <v>46045.700173611112</v>
      </c>
      <c r="M7" s="1">
        <v>1</v>
      </c>
      <c r="N7" s="1">
        <v>4084</v>
      </c>
      <c r="O7" s="2">
        <v>46045.700173611112</v>
      </c>
      <c r="P7" s="1">
        <v>15</v>
      </c>
      <c r="Q7" s="1" t="s">
        <v>10</v>
      </c>
      <c r="R7" s="1" t="s">
        <v>163</v>
      </c>
    </row>
    <row r="8" spans="1:18" x14ac:dyDescent="0.3">
      <c r="A8" s="1">
        <v>3443</v>
      </c>
      <c r="B8" s="1"/>
      <c r="C8" s="1">
        <v>3709</v>
      </c>
      <c r="D8" s="1">
        <v>14</v>
      </c>
      <c r="E8" s="1">
        <v>-35.4</v>
      </c>
      <c r="F8" s="1">
        <v>913</v>
      </c>
      <c r="G8" s="1" t="s">
        <v>12</v>
      </c>
      <c r="H8" s="1">
        <v>1</v>
      </c>
      <c r="I8" s="1" t="s">
        <v>1</v>
      </c>
      <c r="J8" s="1" t="s">
        <v>7</v>
      </c>
      <c r="K8" s="2">
        <v>46045.68540509259</v>
      </c>
      <c r="L8" s="2">
        <v>46045.694976851853</v>
      </c>
      <c r="M8" s="1">
        <v>1</v>
      </c>
      <c r="N8" s="1">
        <v>4084</v>
      </c>
      <c r="O8" s="2">
        <v>46045.694976851853</v>
      </c>
      <c r="P8" s="1">
        <v>5</v>
      </c>
      <c r="Q8" s="1" t="s">
        <v>3</v>
      </c>
      <c r="R8" s="1" t="s">
        <v>163</v>
      </c>
    </row>
    <row r="9" spans="1:18" x14ac:dyDescent="0.3">
      <c r="A9" s="1">
        <v>3442</v>
      </c>
      <c r="B9" s="1"/>
      <c r="C9" s="1">
        <v>3709</v>
      </c>
      <c r="D9" s="1">
        <v>24</v>
      </c>
      <c r="E9" s="1">
        <v>-637.20000000000005</v>
      </c>
      <c r="F9" s="1">
        <v>913</v>
      </c>
      <c r="G9" s="1" t="s">
        <v>13</v>
      </c>
      <c r="H9" s="1">
        <v>1</v>
      </c>
      <c r="I9" s="1" t="s">
        <v>1</v>
      </c>
      <c r="J9" s="1" t="s">
        <v>7</v>
      </c>
      <c r="K9" s="2">
        <v>46045.683912037035</v>
      </c>
      <c r="L9" s="2">
        <v>46045.694907407407</v>
      </c>
      <c r="M9" s="1">
        <v>1</v>
      </c>
      <c r="N9" s="1">
        <v>4084</v>
      </c>
      <c r="O9" s="2">
        <v>46045.694907407407</v>
      </c>
      <c r="P9" s="1">
        <v>19</v>
      </c>
      <c r="Q9" s="1" t="s">
        <v>5</v>
      </c>
      <c r="R9" s="1" t="s">
        <v>163</v>
      </c>
    </row>
    <row r="10" spans="1:18" x14ac:dyDescent="0.3">
      <c r="A10" s="1">
        <v>3441</v>
      </c>
      <c r="B10" s="1"/>
      <c r="C10" s="1">
        <v>3709</v>
      </c>
      <c r="D10" s="1">
        <v>24</v>
      </c>
      <c r="E10" s="1">
        <v>-637.20000000000005</v>
      </c>
      <c r="F10" s="1">
        <v>913</v>
      </c>
      <c r="G10" s="1" t="s">
        <v>14</v>
      </c>
      <c r="H10" s="1">
        <v>1</v>
      </c>
      <c r="I10" s="1" t="s">
        <v>1</v>
      </c>
      <c r="J10" s="1" t="s">
        <v>7</v>
      </c>
      <c r="K10" s="2">
        <v>46045.683368055557</v>
      </c>
      <c r="L10" s="2">
        <v>46045.694803240738</v>
      </c>
      <c r="M10" s="1">
        <v>1</v>
      </c>
      <c r="N10" s="1">
        <v>4084</v>
      </c>
      <c r="O10" s="2">
        <v>46045.694803240738</v>
      </c>
      <c r="P10" s="1">
        <v>19</v>
      </c>
      <c r="Q10" s="1" t="s">
        <v>5</v>
      </c>
      <c r="R10" s="1" t="s">
        <v>163</v>
      </c>
    </row>
    <row r="11" spans="1:18" x14ac:dyDescent="0.3">
      <c r="A11" s="1">
        <v>3440</v>
      </c>
      <c r="B11" s="1"/>
      <c r="C11" s="1">
        <v>3709</v>
      </c>
      <c r="D11" s="1">
        <v>24</v>
      </c>
      <c r="E11" s="1">
        <v>-637.20000000000005</v>
      </c>
      <c r="F11" s="1">
        <v>913</v>
      </c>
      <c r="G11" s="1" t="s">
        <v>15</v>
      </c>
      <c r="H11" s="1">
        <v>1</v>
      </c>
      <c r="I11" s="1" t="s">
        <v>1</v>
      </c>
      <c r="J11" s="1" t="s">
        <v>7</v>
      </c>
      <c r="K11" s="2">
        <v>46045.682581018518</v>
      </c>
      <c r="L11" s="2">
        <v>46045.694733796299</v>
      </c>
      <c r="M11" s="1">
        <v>1</v>
      </c>
      <c r="N11" s="1">
        <v>4084</v>
      </c>
      <c r="O11" s="2">
        <v>46045.694733796299</v>
      </c>
      <c r="P11" s="1">
        <v>19</v>
      </c>
      <c r="Q11" s="1" t="s">
        <v>5</v>
      </c>
      <c r="R11" s="1" t="s">
        <v>163</v>
      </c>
    </row>
    <row r="12" spans="1:18" x14ac:dyDescent="0.3">
      <c r="A12" s="1">
        <v>3439</v>
      </c>
      <c r="B12" s="1"/>
      <c r="C12" s="1">
        <v>3651</v>
      </c>
      <c r="D12" s="1">
        <v>2</v>
      </c>
      <c r="E12" s="1">
        <v>-118</v>
      </c>
      <c r="F12" s="1">
        <v>4867</v>
      </c>
      <c r="G12" s="1" t="s">
        <v>16</v>
      </c>
      <c r="H12" s="1">
        <v>1</v>
      </c>
      <c r="I12" s="1" t="s">
        <v>1</v>
      </c>
      <c r="J12" s="1" t="s">
        <v>7</v>
      </c>
      <c r="K12" s="2">
        <v>46044.706018518518</v>
      </c>
      <c r="L12" s="2">
        <v>46044.708240740743</v>
      </c>
      <c r="M12" s="1">
        <v>1</v>
      </c>
      <c r="N12" s="1">
        <v>780</v>
      </c>
      <c r="O12" s="2">
        <v>46044.708240740743</v>
      </c>
      <c r="P12" s="1">
        <v>8</v>
      </c>
      <c r="Q12" s="1" t="s">
        <v>17</v>
      </c>
      <c r="R12" s="1" t="s">
        <v>165</v>
      </c>
    </row>
    <row r="13" spans="1:18" x14ac:dyDescent="0.3">
      <c r="A13" s="1">
        <v>3438</v>
      </c>
      <c r="B13" s="1"/>
      <c r="C13" s="1">
        <v>3651</v>
      </c>
      <c r="D13" s="1">
        <v>1</v>
      </c>
      <c r="E13" s="1">
        <v>-60000</v>
      </c>
      <c r="F13" s="1">
        <v>4867</v>
      </c>
      <c r="G13" s="1" t="s">
        <v>18</v>
      </c>
      <c r="H13" s="1">
        <v>1</v>
      </c>
      <c r="I13" s="1" t="s">
        <v>1</v>
      </c>
      <c r="J13" s="1" t="s">
        <v>7</v>
      </c>
      <c r="K13" s="2">
        <v>46044.705509259256</v>
      </c>
      <c r="L13" s="2">
        <v>46044.708194444444</v>
      </c>
      <c r="M13" s="1">
        <v>1</v>
      </c>
      <c r="N13" s="1">
        <v>780</v>
      </c>
      <c r="O13" s="2">
        <v>46044.708194444444</v>
      </c>
      <c r="P13" s="1"/>
      <c r="Q13" s="1"/>
      <c r="R13" s="1"/>
    </row>
    <row r="14" spans="1:18" x14ac:dyDescent="0.3">
      <c r="A14" s="1">
        <v>3437</v>
      </c>
      <c r="B14" s="1"/>
      <c r="C14" s="1">
        <v>3835</v>
      </c>
      <c r="D14" s="1">
        <v>4</v>
      </c>
      <c r="E14" s="1">
        <v>-500</v>
      </c>
      <c r="F14" s="1">
        <v>984</v>
      </c>
      <c r="G14" s="1" t="s">
        <v>19</v>
      </c>
      <c r="H14" s="1">
        <v>1</v>
      </c>
      <c r="I14" s="1" t="s">
        <v>20</v>
      </c>
      <c r="J14" s="1"/>
      <c r="K14" s="2">
        <v>46044.669629629629</v>
      </c>
      <c r="L14" s="2">
        <v>46044.806504629632</v>
      </c>
      <c r="M14" s="1">
        <v>1</v>
      </c>
      <c r="N14" s="1">
        <v>4084</v>
      </c>
      <c r="O14" s="2">
        <v>46044.806504629632</v>
      </c>
      <c r="P14" s="1">
        <v>4</v>
      </c>
      <c r="Q14" s="1" t="s">
        <v>21</v>
      </c>
      <c r="R14" s="1" t="s">
        <v>164</v>
      </c>
    </row>
    <row r="15" spans="1:18" x14ac:dyDescent="0.3">
      <c r="A15" s="1">
        <v>3436</v>
      </c>
      <c r="B15" s="1"/>
      <c r="C15" s="1">
        <v>3836</v>
      </c>
      <c r="D15" s="1">
        <v>14</v>
      </c>
      <c r="E15" s="1">
        <v>-35.4</v>
      </c>
      <c r="F15" s="1">
        <v>913</v>
      </c>
      <c r="G15" s="1" t="s">
        <v>22</v>
      </c>
      <c r="H15" s="1">
        <v>1</v>
      </c>
      <c r="I15" s="1" t="s">
        <v>1</v>
      </c>
      <c r="J15" s="1" t="s">
        <v>2</v>
      </c>
      <c r="K15" s="2">
        <v>46044.625555555554</v>
      </c>
      <c r="L15" s="2">
        <v>46044.630127314813</v>
      </c>
      <c r="M15" s="1">
        <v>1</v>
      </c>
      <c r="N15" s="1">
        <v>4867</v>
      </c>
      <c r="O15" s="2">
        <v>46044.630127314813</v>
      </c>
      <c r="P15" s="1">
        <v>5</v>
      </c>
      <c r="Q15" s="1" t="s">
        <v>3</v>
      </c>
      <c r="R15" s="1" t="s">
        <v>163</v>
      </c>
    </row>
    <row r="16" spans="1:18" x14ac:dyDescent="0.3">
      <c r="A16" s="1">
        <v>3435</v>
      </c>
      <c r="B16" s="1"/>
      <c r="C16" s="1">
        <v>3836</v>
      </c>
      <c r="D16" s="1">
        <v>26</v>
      </c>
      <c r="E16" s="1">
        <v>-70.8</v>
      </c>
      <c r="F16" s="1">
        <v>913</v>
      </c>
      <c r="G16" s="1" t="s">
        <v>23</v>
      </c>
      <c r="H16" s="1">
        <v>1</v>
      </c>
      <c r="I16" s="1" t="s">
        <v>1</v>
      </c>
      <c r="J16" s="1" t="s">
        <v>2</v>
      </c>
      <c r="K16" s="2">
        <v>46044.625150462962</v>
      </c>
      <c r="L16" s="2">
        <v>46044.630104166667</v>
      </c>
      <c r="M16" s="1">
        <v>1</v>
      </c>
      <c r="N16" s="1">
        <v>4867</v>
      </c>
      <c r="O16" s="2">
        <v>46044.630104166667</v>
      </c>
      <c r="P16" s="1">
        <v>21</v>
      </c>
      <c r="Q16" s="1" t="s">
        <v>24</v>
      </c>
      <c r="R16" s="1" t="s">
        <v>167</v>
      </c>
    </row>
    <row r="17" spans="1:18" x14ac:dyDescent="0.3">
      <c r="A17" s="1">
        <v>3434</v>
      </c>
      <c r="B17" s="1"/>
      <c r="C17" s="1">
        <v>3836</v>
      </c>
      <c r="D17" s="1">
        <v>19</v>
      </c>
      <c r="E17" s="1">
        <v>-212.4</v>
      </c>
      <c r="F17" s="1">
        <v>913</v>
      </c>
      <c r="G17" s="1" t="s">
        <v>25</v>
      </c>
      <c r="H17" s="1">
        <v>1</v>
      </c>
      <c r="I17" s="1" t="s">
        <v>1</v>
      </c>
      <c r="J17" s="1" t="s">
        <v>2</v>
      </c>
      <c r="K17" s="2">
        <v>46044.624340277776</v>
      </c>
      <c r="L17" s="2">
        <v>46044.63008101852</v>
      </c>
      <c r="M17" s="1">
        <v>1</v>
      </c>
      <c r="N17" s="1">
        <v>4867</v>
      </c>
      <c r="O17" s="2">
        <v>46044.63008101852</v>
      </c>
      <c r="P17" s="1">
        <v>14</v>
      </c>
      <c r="Q17" s="1" t="s">
        <v>8</v>
      </c>
      <c r="R17" s="1" t="s">
        <v>163</v>
      </c>
    </row>
    <row r="18" spans="1:18" x14ac:dyDescent="0.3">
      <c r="A18" s="1">
        <v>3433</v>
      </c>
      <c r="B18" s="1"/>
      <c r="C18" s="1">
        <v>3836</v>
      </c>
      <c r="D18" s="1">
        <v>19</v>
      </c>
      <c r="E18" s="1">
        <v>-1911.6</v>
      </c>
      <c r="F18" s="1">
        <v>913</v>
      </c>
      <c r="G18" s="1" t="s">
        <v>26</v>
      </c>
      <c r="H18" s="1">
        <v>1</v>
      </c>
      <c r="I18" s="1" t="s">
        <v>1</v>
      </c>
      <c r="J18" s="1" t="s">
        <v>2</v>
      </c>
      <c r="K18" s="2">
        <v>46044.623807870368</v>
      </c>
      <c r="L18" s="2">
        <v>46044.630057870374</v>
      </c>
      <c r="M18" s="1">
        <v>1</v>
      </c>
      <c r="N18" s="1">
        <v>4867</v>
      </c>
      <c r="O18" s="2">
        <v>46044.630057870374</v>
      </c>
      <c r="P18" s="1">
        <v>14</v>
      </c>
      <c r="Q18" s="1" t="s">
        <v>8</v>
      </c>
      <c r="R18" s="1" t="s">
        <v>163</v>
      </c>
    </row>
    <row r="19" spans="1:18" x14ac:dyDescent="0.3">
      <c r="A19" s="1">
        <v>3432</v>
      </c>
      <c r="B19" s="1"/>
      <c r="C19" s="1">
        <v>3836</v>
      </c>
      <c r="D19" s="1">
        <v>19</v>
      </c>
      <c r="E19" s="1">
        <v>-2124</v>
      </c>
      <c r="F19" s="1">
        <v>913</v>
      </c>
      <c r="G19" s="1" t="s">
        <v>27</v>
      </c>
      <c r="H19" s="1">
        <v>1</v>
      </c>
      <c r="I19" s="1" t="s">
        <v>1</v>
      </c>
      <c r="J19" s="1" t="s">
        <v>2</v>
      </c>
      <c r="K19" s="2">
        <v>46044.622800925928</v>
      </c>
      <c r="L19" s="2">
        <v>46044.63003472222</v>
      </c>
      <c r="M19" s="1">
        <v>1</v>
      </c>
      <c r="N19" s="1">
        <v>4867</v>
      </c>
      <c r="O19" s="2">
        <v>46044.63003472222</v>
      </c>
      <c r="P19" s="1">
        <v>14</v>
      </c>
      <c r="Q19" s="1" t="s">
        <v>8</v>
      </c>
      <c r="R19" s="1" t="s">
        <v>163</v>
      </c>
    </row>
    <row r="20" spans="1:18" x14ac:dyDescent="0.3">
      <c r="A20" s="1">
        <v>3431</v>
      </c>
      <c r="B20" s="1"/>
      <c r="C20" s="1">
        <v>3618</v>
      </c>
      <c r="D20" s="1">
        <v>4</v>
      </c>
      <c r="E20" s="1">
        <v>-150</v>
      </c>
      <c r="F20" s="1">
        <v>984</v>
      </c>
      <c r="G20" s="1" t="s">
        <v>19</v>
      </c>
      <c r="H20" s="1">
        <v>1</v>
      </c>
      <c r="I20" s="1" t="s">
        <v>20</v>
      </c>
      <c r="J20" s="1"/>
      <c r="K20" s="2">
        <v>46044.483263888891</v>
      </c>
      <c r="L20" s="2">
        <v>46044.485069444447</v>
      </c>
      <c r="M20" s="1">
        <v>1</v>
      </c>
      <c r="N20" s="1">
        <v>4084</v>
      </c>
      <c r="O20" s="2">
        <v>46044.485069444447</v>
      </c>
      <c r="P20" s="1">
        <v>4</v>
      </c>
      <c r="Q20" s="1" t="s">
        <v>21</v>
      </c>
      <c r="R20" s="1" t="s">
        <v>164</v>
      </c>
    </row>
    <row r="21" spans="1:18" x14ac:dyDescent="0.3">
      <c r="A21" s="1">
        <v>3430</v>
      </c>
      <c r="B21" s="1">
        <v>3235</v>
      </c>
      <c r="C21" s="1">
        <v>3735</v>
      </c>
      <c r="D21" s="1">
        <v>14</v>
      </c>
      <c r="E21" s="1">
        <v>-35.4</v>
      </c>
      <c r="F21" s="1">
        <v>913</v>
      </c>
      <c r="G21" s="1" t="s">
        <v>28</v>
      </c>
      <c r="H21" s="1">
        <v>1</v>
      </c>
      <c r="I21" s="1" t="s">
        <v>1</v>
      </c>
      <c r="J21" s="1" t="s">
        <v>2</v>
      </c>
      <c r="K21" s="2">
        <v>46043.721805555557</v>
      </c>
      <c r="L21" s="2">
        <v>46044.483993055554</v>
      </c>
      <c r="M21" s="1">
        <v>1</v>
      </c>
      <c r="N21" s="1">
        <v>4867</v>
      </c>
      <c r="O21" s="2">
        <v>46043.722534722219</v>
      </c>
      <c r="P21" s="1">
        <v>5</v>
      </c>
      <c r="Q21" s="1" t="s">
        <v>3</v>
      </c>
      <c r="R21" s="1" t="s">
        <v>163</v>
      </c>
    </row>
    <row r="22" spans="1:18" x14ac:dyDescent="0.3">
      <c r="A22" s="1">
        <v>3429</v>
      </c>
      <c r="B22" s="1">
        <v>3235</v>
      </c>
      <c r="C22" s="1">
        <v>3735</v>
      </c>
      <c r="D22" s="1">
        <v>20</v>
      </c>
      <c r="E22" s="1">
        <v>-944</v>
      </c>
      <c r="F22" s="1">
        <v>913</v>
      </c>
      <c r="G22" s="1" t="s">
        <v>29</v>
      </c>
      <c r="H22" s="1">
        <v>1</v>
      </c>
      <c r="I22" s="1" t="s">
        <v>1</v>
      </c>
      <c r="J22" s="1" t="s">
        <v>2</v>
      </c>
      <c r="K22" s="2">
        <v>46043.721145833333</v>
      </c>
      <c r="L22" s="2">
        <v>46044.483993055554</v>
      </c>
      <c r="M22" s="1">
        <v>1</v>
      </c>
      <c r="N22" s="1">
        <v>4867</v>
      </c>
      <c r="O22" s="2">
        <v>46043.722592592596</v>
      </c>
      <c r="P22" s="1">
        <v>15</v>
      </c>
      <c r="Q22" s="1" t="s">
        <v>10</v>
      </c>
      <c r="R22" s="1" t="s">
        <v>163</v>
      </c>
    </row>
    <row r="23" spans="1:18" x14ac:dyDescent="0.3">
      <c r="A23" s="1">
        <v>3428</v>
      </c>
      <c r="B23" s="1"/>
      <c r="C23" s="1">
        <v>3804</v>
      </c>
      <c r="D23" s="1">
        <v>4</v>
      </c>
      <c r="E23" s="1">
        <v>-531</v>
      </c>
      <c r="F23" s="1">
        <v>984</v>
      </c>
      <c r="G23" s="1" t="s">
        <v>30</v>
      </c>
      <c r="H23" s="1">
        <v>1</v>
      </c>
      <c r="I23" s="1" t="s">
        <v>1</v>
      </c>
      <c r="J23" s="1" t="s">
        <v>2</v>
      </c>
      <c r="K23" s="2">
        <v>46043.687685185185</v>
      </c>
      <c r="L23" s="2">
        <v>46043.699328703704</v>
      </c>
      <c r="M23" s="1">
        <v>1</v>
      </c>
      <c r="N23" s="1">
        <v>4867</v>
      </c>
      <c r="O23" s="2">
        <v>46043.699328703704</v>
      </c>
      <c r="P23" s="1">
        <v>4</v>
      </c>
      <c r="Q23" s="1" t="s">
        <v>21</v>
      </c>
      <c r="R23" s="1" t="s">
        <v>164</v>
      </c>
    </row>
    <row r="24" spans="1:18" x14ac:dyDescent="0.3">
      <c r="A24" s="1">
        <v>3427</v>
      </c>
      <c r="B24" s="1">
        <v>3233</v>
      </c>
      <c r="C24" s="1">
        <v>3740</v>
      </c>
      <c r="D24" s="1">
        <v>9</v>
      </c>
      <c r="E24" s="1">
        <v>-236</v>
      </c>
      <c r="F24" s="1">
        <v>4084</v>
      </c>
      <c r="G24" s="1" t="s">
        <v>31</v>
      </c>
      <c r="H24" s="1">
        <v>0</v>
      </c>
      <c r="I24" s="1"/>
      <c r="J24" s="1"/>
      <c r="K24" s="2">
        <v>46043.663969907408</v>
      </c>
      <c r="L24" s="2">
        <v>46043.664305555554</v>
      </c>
      <c r="M24" s="1">
        <v>1</v>
      </c>
      <c r="N24" s="1">
        <v>4084</v>
      </c>
      <c r="O24" s="2">
        <v>46043.663969907408</v>
      </c>
      <c r="P24" s="1">
        <v>13</v>
      </c>
      <c r="Q24" s="1" t="s">
        <v>32</v>
      </c>
      <c r="R24" s="1" t="s">
        <v>165</v>
      </c>
    </row>
    <row r="25" spans="1:18" x14ac:dyDescent="0.3">
      <c r="A25" s="1">
        <v>3426</v>
      </c>
      <c r="B25" s="1"/>
      <c r="C25" s="1">
        <v>3660</v>
      </c>
      <c r="D25" s="1">
        <v>26</v>
      </c>
      <c r="E25" s="1">
        <v>-70.8</v>
      </c>
      <c r="F25" s="1">
        <v>913</v>
      </c>
      <c r="G25" s="1" t="s">
        <v>33</v>
      </c>
      <c r="H25" s="1">
        <v>1</v>
      </c>
      <c r="I25" s="1" t="s">
        <v>1</v>
      </c>
      <c r="J25" s="1" t="s">
        <v>2</v>
      </c>
      <c r="K25" s="2">
        <v>46043.54184027778</v>
      </c>
      <c r="L25" s="2">
        <v>46043.544768518521</v>
      </c>
      <c r="M25" s="1">
        <v>1</v>
      </c>
      <c r="N25" s="1">
        <v>4867</v>
      </c>
      <c r="O25" s="2">
        <v>46043.544768518521</v>
      </c>
      <c r="P25" s="1">
        <v>21</v>
      </c>
      <c r="Q25" s="1" t="s">
        <v>24</v>
      </c>
      <c r="R25" s="1" t="s">
        <v>167</v>
      </c>
    </row>
    <row r="26" spans="1:18" x14ac:dyDescent="0.3">
      <c r="A26" s="1">
        <v>3425</v>
      </c>
      <c r="B26" s="1"/>
      <c r="C26" s="1">
        <v>3660</v>
      </c>
      <c r="D26" s="1">
        <v>14</v>
      </c>
      <c r="E26" s="1">
        <v>-35.4</v>
      </c>
      <c r="F26" s="1">
        <v>913</v>
      </c>
      <c r="G26" s="1" t="s">
        <v>34</v>
      </c>
      <c r="H26" s="1">
        <v>1</v>
      </c>
      <c r="I26" s="1" t="s">
        <v>1</v>
      </c>
      <c r="J26" s="1" t="s">
        <v>2</v>
      </c>
      <c r="K26" s="2">
        <v>46043.530624999999</v>
      </c>
      <c r="L26" s="2">
        <v>46043.544733796298</v>
      </c>
      <c r="M26" s="1">
        <v>1</v>
      </c>
      <c r="N26" s="1">
        <v>4867</v>
      </c>
      <c r="O26" s="2">
        <v>46043.544733796298</v>
      </c>
      <c r="P26" s="1">
        <v>5</v>
      </c>
      <c r="Q26" s="1" t="s">
        <v>3</v>
      </c>
      <c r="R26" s="1" t="s">
        <v>163</v>
      </c>
    </row>
    <row r="27" spans="1:18" x14ac:dyDescent="0.3">
      <c r="A27" s="1">
        <v>3424</v>
      </c>
      <c r="B27" s="1"/>
      <c r="C27" s="1">
        <v>3660</v>
      </c>
      <c r="D27" s="1">
        <v>19</v>
      </c>
      <c r="E27" s="1">
        <v>-920.4</v>
      </c>
      <c r="F27" s="1">
        <v>913</v>
      </c>
      <c r="G27" s="1" t="s">
        <v>35</v>
      </c>
      <c r="H27" s="1">
        <v>1</v>
      </c>
      <c r="I27" s="1" t="s">
        <v>1</v>
      </c>
      <c r="J27" s="1" t="s">
        <v>2</v>
      </c>
      <c r="K27" s="2">
        <v>46043.526944444442</v>
      </c>
      <c r="L27" s="2">
        <v>46043.544687499998</v>
      </c>
      <c r="M27" s="1">
        <v>1</v>
      </c>
      <c r="N27" s="1">
        <v>4867</v>
      </c>
      <c r="O27" s="2">
        <v>46043.544687499998</v>
      </c>
      <c r="P27" s="1">
        <v>14</v>
      </c>
      <c r="Q27" s="1" t="s">
        <v>8</v>
      </c>
      <c r="R27" s="1" t="s">
        <v>163</v>
      </c>
    </row>
    <row r="28" spans="1:18" x14ac:dyDescent="0.3">
      <c r="A28" s="1">
        <v>3423</v>
      </c>
      <c r="B28" s="1"/>
      <c r="C28" s="1">
        <v>3660</v>
      </c>
      <c r="D28" s="1">
        <v>19</v>
      </c>
      <c r="E28" s="1">
        <v>-1203.5999999999999</v>
      </c>
      <c r="F28" s="1">
        <v>913</v>
      </c>
      <c r="G28" s="1" t="s">
        <v>36</v>
      </c>
      <c r="H28" s="1">
        <v>1</v>
      </c>
      <c r="I28" s="1" t="s">
        <v>1</v>
      </c>
      <c r="J28" s="1" t="s">
        <v>2</v>
      </c>
      <c r="K28" s="2">
        <v>46043.525671296295</v>
      </c>
      <c r="L28" s="2">
        <v>46043.544641203705</v>
      </c>
      <c r="M28" s="1">
        <v>1</v>
      </c>
      <c r="N28" s="1">
        <v>4867</v>
      </c>
      <c r="O28" s="2">
        <v>46043.544641203705</v>
      </c>
      <c r="P28" s="1">
        <v>14</v>
      </c>
      <c r="Q28" s="1" t="s">
        <v>8</v>
      </c>
      <c r="R28" s="1" t="s">
        <v>163</v>
      </c>
    </row>
    <row r="29" spans="1:18" x14ac:dyDescent="0.3">
      <c r="A29" s="1">
        <v>3422</v>
      </c>
      <c r="B29" s="1"/>
      <c r="C29" s="1">
        <v>3660</v>
      </c>
      <c r="D29" s="1">
        <v>20</v>
      </c>
      <c r="E29" s="1">
        <v>-613.6</v>
      </c>
      <c r="F29" s="1">
        <v>913</v>
      </c>
      <c r="G29" s="1" t="s">
        <v>37</v>
      </c>
      <c r="H29" s="1">
        <v>1</v>
      </c>
      <c r="I29" s="1" t="s">
        <v>1</v>
      </c>
      <c r="J29" s="1" t="s">
        <v>2</v>
      </c>
      <c r="K29" s="2">
        <v>46043.525057870371</v>
      </c>
      <c r="L29" s="2">
        <v>46043.544594907406</v>
      </c>
      <c r="M29" s="1">
        <v>1</v>
      </c>
      <c r="N29" s="1">
        <v>4867</v>
      </c>
      <c r="O29" s="2">
        <v>46043.544594907406</v>
      </c>
      <c r="P29" s="1">
        <v>15</v>
      </c>
      <c r="Q29" s="1" t="s">
        <v>10</v>
      </c>
      <c r="R29" s="1" t="s">
        <v>163</v>
      </c>
    </row>
    <row r="30" spans="1:18" x14ac:dyDescent="0.3">
      <c r="A30" s="1">
        <v>3421</v>
      </c>
      <c r="B30" s="1"/>
      <c r="C30" s="1">
        <v>3660</v>
      </c>
      <c r="D30" s="1">
        <v>20</v>
      </c>
      <c r="E30" s="1">
        <v>-802.4</v>
      </c>
      <c r="F30" s="1">
        <v>913</v>
      </c>
      <c r="G30" s="1" t="s">
        <v>38</v>
      </c>
      <c r="H30" s="1">
        <v>1</v>
      </c>
      <c r="I30" s="1" t="s">
        <v>1</v>
      </c>
      <c r="J30" s="1" t="s">
        <v>2</v>
      </c>
      <c r="K30" s="2">
        <v>46043.524548611109</v>
      </c>
      <c r="L30" s="2">
        <v>46043.544548611113</v>
      </c>
      <c r="M30" s="1">
        <v>1</v>
      </c>
      <c r="N30" s="1">
        <v>4867</v>
      </c>
      <c r="O30" s="2">
        <v>46043.544548611113</v>
      </c>
      <c r="P30" s="1">
        <v>15</v>
      </c>
      <c r="Q30" s="1" t="s">
        <v>10</v>
      </c>
      <c r="R30" s="1" t="s">
        <v>163</v>
      </c>
    </row>
    <row r="31" spans="1:18" x14ac:dyDescent="0.3">
      <c r="A31" s="1">
        <v>3420</v>
      </c>
      <c r="B31" s="1"/>
      <c r="C31" s="1">
        <v>3711</v>
      </c>
      <c r="D31" s="1">
        <v>4</v>
      </c>
      <c r="E31" s="1">
        <v>-150</v>
      </c>
      <c r="F31" s="1">
        <v>984</v>
      </c>
      <c r="G31" s="1" t="s">
        <v>39</v>
      </c>
      <c r="H31" s="1">
        <v>1</v>
      </c>
      <c r="I31" s="1" t="s">
        <v>20</v>
      </c>
      <c r="J31" s="1"/>
      <c r="K31" s="2">
        <v>46043.480590277781</v>
      </c>
      <c r="L31" s="2">
        <v>46043.495000000003</v>
      </c>
      <c r="M31" s="1">
        <v>1</v>
      </c>
      <c r="N31" s="1">
        <v>4084</v>
      </c>
      <c r="O31" s="2">
        <v>46043.495000000003</v>
      </c>
      <c r="P31" s="1">
        <v>4</v>
      </c>
      <c r="Q31" s="1" t="s">
        <v>21</v>
      </c>
      <c r="R31" s="1" t="s">
        <v>164</v>
      </c>
    </row>
    <row r="32" spans="1:18" x14ac:dyDescent="0.3">
      <c r="A32" s="1">
        <v>3419</v>
      </c>
      <c r="B32" s="1"/>
      <c r="C32" s="1">
        <v>3721</v>
      </c>
      <c r="D32" s="1">
        <v>7</v>
      </c>
      <c r="E32" s="1">
        <v>-289.8</v>
      </c>
      <c r="F32" s="1">
        <v>1141</v>
      </c>
      <c r="G32" s="1" t="s">
        <v>40</v>
      </c>
      <c r="H32" s="1">
        <v>1</v>
      </c>
      <c r="I32" s="1" t="s">
        <v>1</v>
      </c>
      <c r="J32" s="1" t="s">
        <v>2</v>
      </c>
      <c r="K32" s="2">
        <v>46043.418530092589</v>
      </c>
      <c r="L32" s="2">
        <v>46043.419803240744</v>
      </c>
      <c r="M32" s="1">
        <v>1</v>
      </c>
      <c r="N32" s="1">
        <v>4867</v>
      </c>
      <c r="O32" s="2">
        <v>46043.419803240744</v>
      </c>
      <c r="P32" s="1"/>
      <c r="Q32" s="1"/>
      <c r="R32" s="1"/>
    </row>
    <row r="33" spans="1:18" x14ac:dyDescent="0.3">
      <c r="A33" s="1">
        <v>3418</v>
      </c>
      <c r="B33" s="1">
        <v>3232</v>
      </c>
      <c r="C33" s="1">
        <v>3702</v>
      </c>
      <c r="D33" s="1">
        <v>9</v>
      </c>
      <c r="E33" s="1">
        <v>-236</v>
      </c>
      <c r="F33" s="1">
        <v>4084</v>
      </c>
      <c r="G33" s="1" t="s">
        <v>41</v>
      </c>
      <c r="H33" s="1">
        <v>0</v>
      </c>
      <c r="I33" s="1"/>
      <c r="J33" s="1"/>
      <c r="K33" s="2">
        <v>46043.396655092591</v>
      </c>
      <c r="L33" s="2">
        <v>46043.399398148147</v>
      </c>
      <c r="M33" s="1">
        <v>1</v>
      </c>
      <c r="N33" s="1">
        <v>4084</v>
      </c>
      <c r="O33" s="2">
        <v>46043.396655092591</v>
      </c>
      <c r="P33" s="1">
        <v>13</v>
      </c>
      <c r="Q33" s="1" t="s">
        <v>32</v>
      </c>
      <c r="R33" s="1" t="s">
        <v>165</v>
      </c>
    </row>
    <row r="34" spans="1:18" x14ac:dyDescent="0.3">
      <c r="A34" s="1">
        <v>3417</v>
      </c>
      <c r="B34" s="1"/>
      <c r="C34" s="1">
        <v>3807</v>
      </c>
      <c r="D34" s="1">
        <v>4</v>
      </c>
      <c r="E34" s="1">
        <v>-150</v>
      </c>
      <c r="F34" s="1">
        <v>984</v>
      </c>
      <c r="G34" s="1" t="s">
        <v>42</v>
      </c>
      <c r="H34" s="1">
        <v>1</v>
      </c>
      <c r="I34" s="1" t="s">
        <v>20</v>
      </c>
      <c r="J34" s="1"/>
      <c r="K34" s="2">
        <v>46042.6874537037</v>
      </c>
      <c r="L34" s="2">
        <v>46042.688692129632</v>
      </c>
      <c r="M34" s="1">
        <v>1</v>
      </c>
      <c r="N34" s="1">
        <v>4084</v>
      </c>
      <c r="O34" s="2">
        <v>46042.688692129632</v>
      </c>
      <c r="P34" s="1">
        <v>4</v>
      </c>
      <c r="Q34" s="1" t="s">
        <v>21</v>
      </c>
      <c r="R34" s="1" t="s">
        <v>164</v>
      </c>
    </row>
    <row r="35" spans="1:18" x14ac:dyDescent="0.3">
      <c r="A35" s="1">
        <v>3416</v>
      </c>
      <c r="B35" s="1">
        <v>3230</v>
      </c>
      <c r="C35" s="1">
        <v>3670</v>
      </c>
      <c r="D35" s="1">
        <v>4</v>
      </c>
      <c r="E35" s="1">
        <v>-1000</v>
      </c>
      <c r="F35" s="1">
        <v>4084</v>
      </c>
      <c r="G35" s="1" t="s">
        <v>43</v>
      </c>
      <c r="H35" s="1">
        <v>1</v>
      </c>
      <c r="I35" s="1" t="s">
        <v>1</v>
      </c>
      <c r="J35" s="1" t="s">
        <v>7</v>
      </c>
      <c r="K35" s="2">
        <v>46042.62840277778</v>
      </c>
      <c r="L35" s="2">
        <v>46042.628981481481</v>
      </c>
      <c r="M35" s="1">
        <v>1</v>
      </c>
      <c r="N35" s="1">
        <v>4867</v>
      </c>
      <c r="O35" s="2">
        <v>46042.62877314815</v>
      </c>
      <c r="P35" s="1">
        <v>4</v>
      </c>
      <c r="Q35" s="1" t="s">
        <v>21</v>
      </c>
      <c r="R35" s="1" t="s">
        <v>164</v>
      </c>
    </row>
    <row r="36" spans="1:18" x14ac:dyDescent="0.3">
      <c r="A36" s="1">
        <v>3415</v>
      </c>
      <c r="B36" s="1"/>
      <c r="C36" s="1">
        <v>3804</v>
      </c>
      <c r="D36" s="1">
        <v>4</v>
      </c>
      <c r="E36" s="1">
        <v>-590</v>
      </c>
      <c r="F36" s="1">
        <v>984</v>
      </c>
      <c r="G36" s="1" t="s">
        <v>42</v>
      </c>
      <c r="H36" s="1">
        <v>1</v>
      </c>
      <c r="I36" s="1" t="s">
        <v>1</v>
      </c>
      <c r="J36" s="1" t="s">
        <v>2</v>
      </c>
      <c r="K36" s="2">
        <v>46042.611817129633</v>
      </c>
      <c r="L36" s="2">
        <v>46042.620798611111</v>
      </c>
      <c r="M36" s="1">
        <v>1</v>
      </c>
      <c r="N36" s="1">
        <v>4867</v>
      </c>
      <c r="O36" s="2">
        <v>46042.620798611111</v>
      </c>
      <c r="P36" s="1">
        <v>4</v>
      </c>
      <c r="Q36" s="1" t="s">
        <v>21</v>
      </c>
      <c r="R36" s="1" t="s">
        <v>164</v>
      </c>
    </row>
    <row r="37" spans="1:18" x14ac:dyDescent="0.3">
      <c r="A37" s="1">
        <v>3414</v>
      </c>
      <c r="B37" s="1">
        <v>3228</v>
      </c>
      <c r="C37" s="1">
        <v>3701</v>
      </c>
      <c r="D37" s="1">
        <v>4</v>
      </c>
      <c r="E37" s="1">
        <v>-354</v>
      </c>
      <c r="F37" s="1">
        <v>4084</v>
      </c>
      <c r="G37" s="1" t="s">
        <v>43</v>
      </c>
      <c r="H37" s="1">
        <v>1</v>
      </c>
      <c r="I37" s="1" t="s">
        <v>1</v>
      </c>
      <c r="J37" s="1" t="s">
        <v>2</v>
      </c>
      <c r="K37" s="2">
        <v>46041.721377314818</v>
      </c>
      <c r="L37" s="2">
        <v>46041.72252314815</v>
      </c>
      <c r="M37" s="1">
        <v>1</v>
      </c>
      <c r="N37" s="1">
        <v>4867</v>
      </c>
      <c r="O37" s="2">
        <v>46041.722349537034</v>
      </c>
      <c r="P37" s="1">
        <v>4</v>
      </c>
      <c r="Q37" s="1" t="s">
        <v>21</v>
      </c>
      <c r="R37" s="1" t="s">
        <v>164</v>
      </c>
    </row>
    <row r="38" spans="1:18" x14ac:dyDescent="0.3">
      <c r="A38" s="1">
        <v>3413</v>
      </c>
      <c r="B38" s="1">
        <v>3223</v>
      </c>
      <c r="C38" s="1">
        <v>3704</v>
      </c>
      <c r="D38" s="1">
        <v>5</v>
      </c>
      <c r="E38" s="1">
        <v>-483.8</v>
      </c>
      <c r="F38" s="1">
        <v>4084</v>
      </c>
      <c r="G38" s="1" t="s">
        <v>44</v>
      </c>
      <c r="H38" s="1">
        <v>1</v>
      </c>
      <c r="I38" s="1" t="s">
        <v>1</v>
      </c>
      <c r="J38" s="1" t="s">
        <v>7</v>
      </c>
      <c r="K38" s="2">
        <v>46041.707245370373</v>
      </c>
      <c r="L38" s="2">
        <v>46041.709386574075</v>
      </c>
      <c r="M38" s="1">
        <v>1</v>
      </c>
      <c r="N38" s="1">
        <v>1141</v>
      </c>
      <c r="O38" s="2">
        <v>46041.708969907406</v>
      </c>
      <c r="P38" s="1">
        <v>3</v>
      </c>
      <c r="Q38" s="1" t="s">
        <v>45</v>
      </c>
      <c r="R38" s="1" t="s">
        <v>166</v>
      </c>
    </row>
    <row r="39" spans="1:18" x14ac:dyDescent="0.3">
      <c r="A39" s="1">
        <v>3410</v>
      </c>
      <c r="B39" s="1">
        <v>3246</v>
      </c>
      <c r="C39" s="1">
        <v>3487</v>
      </c>
      <c r="D39" s="1">
        <v>4</v>
      </c>
      <c r="E39" s="1">
        <v>-1180</v>
      </c>
      <c r="F39" s="1">
        <v>4084</v>
      </c>
      <c r="G39" s="1" t="s">
        <v>43</v>
      </c>
      <c r="H39" s="1">
        <v>1</v>
      </c>
      <c r="I39" s="1" t="s">
        <v>1</v>
      </c>
      <c r="J39" s="1" t="s">
        <v>7</v>
      </c>
      <c r="K39" s="2">
        <v>46041.685081018521</v>
      </c>
      <c r="L39" s="2">
        <v>46045.643993055557</v>
      </c>
      <c r="M39" s="1">
        <v>1</v>
      </c>
      <c r="N39" s="1">
        <v>4867</v>
      </c>
      <c r="O39" s="2">
        <v>46041.692557870374</v>
      </c>
      <c r="P39" s="1">
        <v>4</v>
      </c>
      <c r="Q39" s="1" t="s">
        <v>21</v>
      </c>
      <c r="R39" s="1" t="s">
        <v>164</v>
      </c>
    </row>
    <row r="40" spans="1:18" x14ac:dyDescent="0.3">
      <c r="A40" s="1">
        <v>3407</v>
      </c>
      <c r="B40" s="1">
        <v>3225</v>
      </c>
      <c r="C40" s="1">
        <v>3739</v>
      </c>
      <c r="D40" s="1">
        <v>4</v>
      </c>
      <c r="E40" s="1">
        <v>-590</v>
      </c>
      <c r="F40" s="1">
        <v>4084</v>
      </c>
      <c r="G40" s="1" t="s">
        <v>43</v>
      </c>
      <c r="H40" s="1">
        <v>1</v>
      </c>
      <c r="I40" s="1" t="s">
        <v>1</v>
      </c>
      <c r="J40" s="1" t="s">
        <v>7</v>
      </c>
      <c r="K40" s="2">
        <v>46041.644247685188</v>
      </c>
      <c r="L40" s="2">
        <v>46041.712291666663</v>
      </c>
      <c r="M40" s="1">
        <v>1</v>
      </c>
      <c r="N40" s="1">
        <v>4867</v>
      </c>
      <c r="O40" s="2">
        <v>46041.692708333336</v>
      </c>
      <c r="P40" s="1">
        <v>4</v>
      </c>
      <c r="Q40" s="1" t="s">
        <v>21</v>
      </c>
      <c r="R40" s="1" t="s">
        <v>164</v>
      </c>
    </row>
    <row r="41" spans="1:18" x14ac:dyDescent="0.3">
      <c r="A41" s="1">
        <v>3406</v>
      </c>
      <c r="B41" s="1">
        <v>3224</v>
      </c>
      <c r="C41" s="1">
        <v>3488</v>
      </c>
      <c r="D41" s="1">
        <v>4</v>
      </c>
      <c r="E41" s="1">
        <v>-2360</v>
      </c>
      <c r="F41" s="1">
        <v>4084</v>
      </c>
      <c r="G41" s="1" t="s">
        <v>43</v>
      </c>
      <c r="H41" s="1">
        <v>1</v>
      </c>
      <c r="I41" s="1" t="s">
        <v>1</v>
      </c>
      <c r="J41" s="1" t="s">
        <v>7</v>
      </c>
      <c r="K41" s="2">
        <v>46041.642326388886</v>
      </c>
      <c r="L41" s="2">
        <v>46041.710462962961</v>
      </c>
      <c r="M41" s="1">
        <v>1</v>
      </c>
      <c r="N41" s="1">
        <v>4867</v>
      </c>
      <c r="O41" s="2">
        <v>46041.692766203705</v>
      </c>
      <c r="P41" s="1">
        <v>4</v>
      </c>
      <c r="Q41" s="1" t="s">
        <v>21</v>
      </c>
      <c r="R41" s="1" t="s">
        <v>164</v>
      </c>
    </row>
    <row r="42" spans="1:18" x14ac:dyDescent="0.3">
      <c r="A42" s="1">
        <v>3405</v>
      </c>
      <c r="B42" s="1"/>
      <c r="C42" s="1">
        <v>3534</v>
      </c>
      <c r="D42" s="1">
        <v>4</v>
      </c>
      <c r="E42" s="1">
        <v>-1000</v>
      </c>
      <c r="F42" s="1">
        <v>984</v>
      </c>
      <c r="G42" s="1" t="s">
        <v>42</v>
      </c>
      <c r="H42" s="1">
        <v>1</v>
      </c>
      <c r="I42" s="1" t="s">
        <v>1</v>
      </c>
      <c r="J42" s="1" t="s">
        <v>7</v>
      </c>
      <c r="K42" s="2">
        <v>46041.612615740742</v>
      </c>
      <c r="L42" s="2">
        <v>46041.656805555554</v>
      </c>
      <c r="M42" s="1">
        <v>1</v>
      </c>
      <c r="N42" s="1">
        <v>4084</v>
      </c>
      <c r="O42" s="2">
        <v>46041.656805555554</v>
      </c>
      <c r="P42" s="1">
        <v>4</v>
      </c>
      <c r="Q42" s="1" t="s">
        <v>21</v>
      </c>
      <c r="R42" s="1" t="s">
        <v>164</v>
      </c>
    </row>
    <row r="43" spans="1:18" x14ac:dyDescent="0.3">
      <c r="A43" s="1">
        <v>3404</v>
      </c>
      <c r="B43" s="1">
        <v>3214</v>
      </c>
      <c r="C43" s="1">
        <v>3742</v>
      </c>
      <c r="D43" s="1">
        <v>19</v>
      </c>
      <c r="E43" s="1">
        <v>-708</v>
      </c>
      <c r="F43" s="1">
        <v>913</v>
      </c>
      <c r="G43" s="1" t="s">
        <v>46</v>
      </c>
      <c r="H43" s="1">
        <v>1</v>
      </c>
      <c r="I43" s="1" t="s">
        <v>1</v>
      </c>
      <c r="J43" s="1" t="s">
        <v>2</v>
      </c>
      <c r="K43" s="2">
        <v>46041.520243055558</v>
      </c>
      <c r="L43" s="2">
        <v>46041.642916666664</v>
      </c>
      <c r="M43" s="1">
        <v>1</v>
      </c>
      <c r="N43" s="1">
        <v>4867</v>
      </c>
      <c r="O43" s="2">
        <v>46041.522534722222</v>
      </c>
      <c r="P43" s="1">
        <v>14</v>
      </c>
      <c r="Q43" s="1" t="s">
        <v>8</v>
      </c>
      <c r="R43" s="1" t="s">
        <v>163</v>
      </c>
    </row>
    <row r="44" spans="1:18" x14ac:dyDescent="0.3">
      <c r="A44" s="1">
        <v>3403</v>
      </c>
      <c r="B44" s="1">
        <v>3214</v>
      </c>
      <c r="C44" s="1">
        <v>3742</v>
      </c>
      <c r="D44" s="1">
        <v>19</v>
      </c>
      <c r="E44" s="1">
        <v>-1416</v>
      </c>
      <c r="F44" s="1">
        <v>913</v>
      </c>
      <c r="G44" s="1" t="s">
        <v>47</v>
      </c>
      <c r="H44" s="1">
        <v>1</v>
      </c>
      <c r="I44" s="1" t="s">
        <v>1</v>
      </c>
      <c r="J44" s="1" t="s">
        <v>2</v>
      </c>
      <c r="K44" s="2">
        <v>46041.519560185188</v>
      </c>
      <c r="L44" s="2">
        <v>46041.642916666664</v>
      </c>
      <c r="M44" s="1">
        <v>1</v>
      </c>
      <c r="N44" s="1">
        <v>4867</v>
      </c>
      <c r="O44" s="2">
        <v>46041.522465277776</v>
      </c>
      <c r="P44" s="1">
        <v>14</v>
      </c>
      <c r="Q44" s="1" t="s">
        <v>8</v>
      </c>
      <c r="R44" s="1" t="s">
        <v>163</v>
      </c>
    </row>
    <row r="45" spans="1:18" x14ac:dyDescent="0.3">
      <c r="A45" s="1">
        <v>3402</v>
      </c>
      <c r="B45" s="1">
        <v>3214</v>
      </c>
      <c r="C45" s="1">
        <v>3742</v>
      </c>
      <c r="D45" s="1">
        <v>19</v>
      </c>
      <c r="E45" s="1">
        <v>-4956</v>
      </c>
      <c r="F45" s="1">
        <v>913</v>
      </c>
      <c r="G45" s="1" t="s">
        <v>48</v>
      </c>
      <c r="H45" s="1">
        <v>1</v>
      </c>
      <c r="I45" s="1" t="s">
        <v>1</v>
      </c>
      <c r="J45" s="1" t="s">
        <v>2</v>
      </c>
      <c r="K45" s="2">
        <v>46041.512060185189</v>
      </c>
      <c r="L45" s="2">
        <v>46041.642916666664</v>
      </c>
      <c r="M45" s="1">
        <v>1</v>
      </c>
      <c r="N45" s="1">
        <v>4867</v>
      </c>
      <c r="O45" s="2">
        <v>46041.522129629629</v>
      </c>
      <c r="P45" s="1">
        <v>14</v>
      </c>
      <c r="Q45" s="1" t="s">
        <v>8</v>
      </c>
      <c r="R45" s="1" t="s">
        <v>163</v>
      </c>
    </row>
    <row r="46" spans="1:18" x14ac:dyDescent="0.3">
      <c r="A46" s="1">
        <v>3401</v>
      </c>
      <c r="B46" s="1">
        <v>3232</v>
      </c>
      <c r="C46" s="1">
        <v>3702</v>
      </c>
      <c r="D46" s="1">
        <v>20</v>
      </c>
      <c r="E46" s="1">
        <v>-330.4</v>
      </c>
      <c r="F46" s="1">
        <v>913</v>
      </c>
      <c r="G46" s="1" t="s">
        <v>49</v>
      </c>
      <c r="H46" s="1">
        <v>1</v>
      </c>
      <c r="I46" s="1" t="s">
        <v>1</v>
      </c>
      <c r="J46" s="1" t="s">
        <v>2</v>
      </c>
      <c r="K46" s="2">
        <v>46041.503113425926</v>
      </c>
      <c r="L46" s="2">
        <v>46043.399398148147</v>
      </c>
      <c r="M46" s="1">
        <v>1</v>
      </c>
      <c r="N46" s="1">
        <v>4867</v>
      </c>
      <c r="O46" s="2">
        <v>46041.503888888888</v>
      </c>
      <c r="P46" s="1">
        <v>15</v>
      </c>
      <c r="Q46" s="1" t="s">
        <v>10</v>
      </c>
      <c r="R46" s="1" t="s">
        <v>163</v>
      </c>
    </row>
    <row r="47" spans="1:18" x14ac:dyDescent="0.3">
      <c r="A47" s="1">
        <v>3400</v>
      </c>
      <c r="B47" s="1">
        <v>3232</v>
      </c>
      <c r="C47" s="1">
        <v>3702</v>
      </c>
      <c r="D47" s="1">
        <v>20</v>
      </c>
      <c r="E47" s="1">
        <v>-141.6</v>
      </c>
      <c r="F47" s="1">
        <v>913</v>
      </c>
      <c r="G47" s="1" t="s">
        <v>50</v>
      </c>
      <c r="H47" s="1">
        <v>1</v>
      </c>
      <c r="I47" s="1" t="s">
        <v>1</v>
      </c>
      <c r="J47" s="1" t="s">
        <v>2</v>
      </c>
      <c r="K47" s="2">
        <v>46041.502546296295</v>
      </c>
      <c r="L47" s="2">
        <v>46043.399398148147</v>
      </c>
      <c r="M47" s="1">
        <v>1</v>
      </c>
      <c r="N47" s="1">
        <v>4867</v>
      </c>
      <c r="O47" s="2">
        <v>46041.503854166665</v>
      </c>
      <c r="P47" s="1">
        <v>15</v>
      </c>
      <c r="Q47" s="1" t="s">
        <v>10</v>
      </c>
      <c r="R47" s="1" t="s">
        <v>163</v>
      </c>
    </row>
    <row r="48" spans="1:18" x14ac:dyDescent="0.3">
      <c r="A48" s="1">
        <v>3399</v>
      </c>
      <c r="B48" s="1">
        <v>3203</v>
      </c>
      <c r="C48" s="1">
        <v>3695</v>
      </c>
      <c r="D48" s="1">
        <v>20</v>
      </c>
      <c r="E48" s="1">
        <v>-236</v>
      </c>
      <c r="F48" s="1">
        <v>913</v>
      </c>
      <c r="G48" s="1" t="s">
        <v>51</v>
      </c>
      <c r="H48" s="1">
        <v>1</v>
      </c>
      <c r="I48" s="1" t="s">
        <v>1</v>
      </c>
      <c r="J48" s="1" t="s">
        <v>2</v>
      </c>
      <c r="K48" s="2">
        <v>46041.500416666669</v>
      </c>
      <c r="L48" s="2">
        <v>46041.54724537037</v>
      </c>
      <c r="M48" s="1">
        <v>1</v>
      </c>
      <c r="N48" s="1">
        <v>4867</v>
      </c>
      <c r="O48" s="2">
        <v>46041.501469907409</v>
      </c>
      <c r="P48" s="1">
        <v>15</v>
      </c>
      <c r="Q48" s="1" t="s">
        <v>10</v>
      </c>
      <c r="R48" s="1" t="s">
        <v>163</v>
      </c>
    </row>
    <row r="49" spans="1:18" x14ac:dyDescent="0.3">
      <c r="A49" s="1">
        <v>3398</v>
      </c>
      <c r="B49" s="1">
        <v>3194</v>
      </c>
      <c r="C49" s="1">
        <v>3161</v>
      </c>
      <c r="D49" s="1">
        <v>6</v>
      </c>
      <c r="E49" s="1">
        <v>-2315.16</v>
      </c>
      <c r="F49" s="1">
        <v>4084</v>
      </c>
      <c r="G49" s="1" t="s">
        <v>52</v>
      </c>
      <c r="H49" s="1">
        <v>0</v>
      </c>
      <c r="I49" s="1"/>
      <c r="J49" s="1"/>
      <c r="K49" s="2">
        <v>46041.493657407409</v>
      </c>
      <c r="L49" s="2">
        <v>46041.494363425925</v>
      </c>
      <c r="M49" s="1">
        <v>1</v>
      </c>
      <c r="N49" s="1">
        <v>4084</v>
      </c>
      <c r="O49" s="2">
        <v>46041.493657407409</v>
      </c>
      <c r="P49" s="1"/>
      <c r="Q49" s="1"/>
      <c r="R49" s="1"/>
    </row>
    <row r="50" spans="1:18" x14ac:dyDescent="0.3">
      <c r="A50" s="1">
        <v>3397</v>
      </c>
      <c r="B50" s="1">
        <v>3204</v>
      </c>
      <c r="C50" s="1">
        <v>3687</v>
      </c>
      <c r="D50" s="1">
        <v>19</v>
      </c>
      <c r="E50" s="1">
        <v>-637.20000000000005</v>
      </c>
      <c r="F50" s="1">
        <v>913</v>
      </c>
      <c r="G50" s="1" t="s">
        <v>53</v>
      </c>
      <c r="H50" s="1">
        <v>1</v>
      </c>
      <c r="I50" s="1" t="s">
        <v>1</v>
      </c>
      <c r="J50" s="1" t="s">
        <v>7</v>
      </c>
      <c r="K50" s="2">
        <v>46041.427951388891</v>
      </c>
      <c r="L50" s="2">
        <v>46041.550057870372</v>
      </c>
      <c r="M50" s="1">
        <v>1</v>
      </c>
      <c r="N50" s="1">
        <v>4084</v>
      </c>
      <c r="O50" s="2">
        <v>46041.477141203701</v>
      </c>
      <c r="P50" s="1">
        <v>14</v>
      </c>
      <c r="Q50" s="1" t="s">
        <v>8</v>
      </c>
      <c r="R50" s="1" t="s">
        <v>163</v>
      </c>
    </row>
    <row r="51" spans="1:18" x14ac:dyDescent="0.3">
      <c r="A51" s="1">
        <v>3396</v>
      </c>
      <c r="B51" s="1">
        <v>3204</v>
      </c>
      <c r="C51" s="1">
        <v>3687</v>
      </c>
      <c r="D51" s="1">
        <v>20</v>
      </c>
      <c r="E51" s="1">
        <v>-424.8</v>
      </c>
      <c r="F51" s="1">
        <v>913</v>
      </c>
      <c r="G51" s="1" t="s">
        <v>54</v>
      </c>
      <c r="H51" s="1">
        <v>1</v>
      </c>
      <c r="I51" s="1" t="s">
        <v>1</v>
      </c>
      <c r="J51" s="1" t="s">
        <v>7</v>
      </c>
      <c r="K51" s="2">
        <v>46041.427465277775</v>
      </c>
      <c r="L51" s="2">
        <v>46041.550057870372</v>
      </c>
      <c r="M51" s="1">
        <v>1</v>
      </c>
      <c r="N51" s="1">
        <v>4084</v>
      </c>
      <c r="O51" s="2">
        <v>46041.477048611108</v>
      </c>
      <c r="P51" s="1">
        <v>15</v>
      </c>
      <c r="Q51" s="1" t="s">
        <v>10</v>
      </c>
      <c r="R51" s="1" t="s">
        <v>163</v>
      </c>
    </row>
    <row r="52" spans="1:18" x14ac:dyDescent="0.3">
      <c r="A52" s="1">
        <v>3395</v>
      </c>
      <c r="B52" s="1">
        <v>3206</v>
      </c>
      <c r="C52" s="1">
        <v>3668</v>
      </c>
      <c r="D52" s="1">
        <v>19</v>
      </c>
      <c r="E52" s="1">
        <v>-637.20000000000005</v>
      </c>
      <c r="F52" s="1">
        <v>913</v>
      </c>
      <c r="G52" s="1" t="s">
        <v>55</v>
      </c>
      <c r="H52" s="1">
        <v>1</v>
      </c>
      <c r="I52" s="1" t="s">
        <v>1</v>
      </c>
      <c r="J52" s="1" t="s">
        <v>7</v>
      </c>
      <c r="K52" s="2">
        <v>46041.426238425927</v>
      </c>
      <c r="L52" s="2">
        <v>46041.557060185187</v>
      </c>
      <c r="M52" s="1">
        <v>1</v>
      </c>
      <c r="N52" s="1">
        <v>4084</v>
      </c>
      <c r="O52" s="2">
        <v>46041.476215277777</v>
      </c>
      <c r="P52" s="1">
        <v>14</v>
      </c>
      <c r="Q52" s="1" t="s">
        <v>8</v>
      </c>
      <c r="R52" s="1" t="s">
        <v>163</v>
      </c>
    </row>
    <row r="53" spans="1:18" x14ac:dyDescent="0.3">
      <c r="A53" s="1">
        <v>3394</v>
      </c>
      <c r="B53" s="1">
        <v>3206</v>
      </c>
      <c r="C53" s="1">
        <v>3668</v>
      </c>
      <c r="D53" s="1">
        <v>20</v>
      </c>
      <c r="E53" s="1">
        <v>-424.8</v>
      </c>
      <c r="F53" s="1">
        <v>913</v>
      </c>
      <c r="G53" s="1" t="s">
        <v>56</v>
      </c>
      <c r="H53" s="1">
        <v>1</v>
      </c>
      <c r="I53" s="1" t="s">
        <v>1</v>
      </c>
      <c r="J53" s="1" t="s">
        <v>7</v>
      </c>
      <c r="K53" s="2">
        <v>46041.425555555557</v>
      </c>
      <c r="L53" s="2">
        <v>46041.557060185187</v>
      </c>
      <c r="M53" s="1">
        <v>1</v>
      </c>
      <c r="N53" s="1">
        <v>4084</v>
      </c>
      <c r="O53" s="2">
        <v>46041.476180555554</v>
      </c>
      <c r="P53" s="1">
        <v>15</v>
      </c>
      <c r="Q53" s="1" t="s">
        <v>10</v>
      </c>
      <c r="R53" s="1" t="s">
        <v>163</v>
      </c>
    </row>
    <row r="54" spans="1:18" x14ac:dyDescent="0.3">
      <c r="A54" s="1">
        <v>3393</v>
      </c>
      <c r="B54" s="1"/>
      <c r="C54" s="1">
        <v>3651</v>
      </c>
      <c r="D54" s="1">
        <v>2</v>
      </c>
      <c r="E54" s="1">
        <v>-118</v>
      </c>
      <c r="F54" s="1">
        <v>4867</v>
      </c>
      <c r="G54" s="1" t="s">
        <v>57</v>
      </c>
      <c r="H54" s="1">
        <v>1</v>
      </c>
      <c r="I54" s="1" t="s">
        <v>1</v>
      </c>
      <c r="J54" s="1" t="s">
        <v>7</v>
      </c>
      <c r="K54" s="2">
        <v>46041.423437500001</v>
      </c>
      <c r="L54" s="2">
        <v>46041.499016203707</v>
      </c>
      <c r="M54" s="1">
        <v>1</v>
      </c>
      <c r="N54" s="1">
        <v>780</v>
      </c>
      <c r="O54" s="2">
        <v>46041.499016203707</v>
      </c>
      <c r="P54" s="1">
        <v>8</v>
      </c>
      <c r="Q54" s="1" t="s">
        <v>17</v>
      </c>
      <c r="R54" s="1" t="s">
        <v>165</v>
      </c>
    </row>
    <row r="55" spans="1:18" x14ac:dyDescent="0.3">
      <c r="A55" s="1">
        <v>3392</v>
      </c>
      <c r="B55" s="1"/>
      <c r="C55" s="1">
        <v>3651</v>
      </c>
      <c r="D55" s="1">
        <v>1</v>
      </c>
      <c r="E55" s="1">
        <v>-20000</v>
      </c>
      <c r="F55" s="1">
        <v>4867</v>
      </c>
      <c r="G55" s="1" t="s">
        <v>58</v>
      </c>
      <c r="H55" s="1">
        <v>1</v>
      </c>
      <c r="I55" s="1" t="s">
        <v>1</v>
      </c>
      <c r="J55" s="1" t="s">
        <v>7</v>
      </c>
      <c r="K55" s="2">
        <v>46041.42324074074</v>
      </c>
      <c r="L55" s="2">
        <v>46041.498969907407</v>
      </c>
      <c r="M55" s="1">
        <v>1</v>
      </c>
      <c r="N55" s="1">
        <v>780</v>
      </c>
      <c r="O55" s="2">
        <v>46041.498969907407</v>
      </c>
      <c r="P55" s="1"/>
      <c r="Q55" s="1"/>
      <c r="R55" s="1"/>
    </row>
    <row r="56" spans="1:18" x14ac:dyDescent="0.3">
      <c r="A56" s="1">
        <v>3391</v>
      </c>
      <c r="B56" s="1">
        <v>3216</v>
      </c>
      <c r="C56" s="1">
        <v>3734</v>
      </c>
      <c r="D56" s="1">
        <v>5</v>
      </c>
      <c r="E56" s="1">
        <v>-708</v>
      </c>
      <c r="F56" s="1">
        <v>4084</v>
      </c>
      <c r="G56" s="1" t="s">
        <v>59</v>
      </c>
      <c r="H56" s="1">
        <v>1</v>
      </c>
      <c r="I56" s="1" t="s">
        <v>1</v>
      </c>
      <c r="J56" s="1" t="s">
        <v>7</v>
      </c>
      <c r="K56" s="2">
        <v>46041.411354166667</v>
      </c>
      <c r="L56" s="2">
        <v>46041.647719907407</v>
      </c>
      <c r="M56" s="1">
        <v>1</v>
      </c>
      <c r="N56" s="1">
        <v>1</v>
      </c>
      <c r="O56" s="2">
        <v>46041.468148148146</v>
      </c>
      <c r="P56" s="1">
        <v>3</v>
      </c>
      <c r="Q56" s="1" t="s">
        <v>45</v>
      </c>
      <c r="R56" s="1" t="s">
        <v>166</v>
      </c>
    </row>
    <row r="57" spans="1:18" x14ac:dyDescent="0.3">
      <c r="A57" s="1">
        <v>3390</v>
      </c>
      <c r="B57" s="1"/>
      <c r="C57" s="1">
        <v>3606</v>
      </c>
      <c r="D57" s="1">
        <v>4</v>
      </c>
      <c r="E57" s="1">
        <v>-5900</v>
      </c>
      <c r="F57" s="1">
        <v>984</v>
      </c>
      <c r="G57" s="1" t="s">
        <v>60</v>
      </c>
      <c r="H57" s="1">
        <v>1</v>
      </c>
      <c r="I57" s="1" t="s">
        <v>1</v>
      </c>
      <c r="J57" s="1" t="s">
        <v>7</v>
      </c>
      <c r="K57" s="2">
        <v>46041.387013888889</v>
      </c>
      <c r="L57" s="2">
        <v>46041.402731481481</v>
      </c>
      <c r="M57" s="1">
        <v>1</v>
      </c>
      <c r="N57" s="1">
        <v>4084</v>
      </c>
      <c r="O57" s="2">
        <v>46041.402731481481</v>
      </c>
      <c r="P57" s="1">
        <v>4</v>
      </c>
      <c r="Q57" s="1" t="s">
        <v>21</v>
      </c>
      <c r="R57" s="1" t="s">
        <v>164</v>
      </c>
    </row>
    <row r="58" spans="1:18" x14ac:dyDescent="0.3">
      <c r="A58" s="1">
        <v>3389</v>
      </c>
      <c r="B58" s="1">
        <v>3223</v>
      </c>
      <c r="C58" s="1">
        <v>3704</v>
      </c>
      <c r="D58" s="1">
        <v>2</v>
      </c>
      <c r="E58" s="1">
        <v>-118</v>
      </c>
      <c r="F58" s="1">
        <v>4867</v>
      </c>
      <c r="G58" s="1" t="s">
        <v>17</v>
      </c>
      <c r="H58" s="1">
        <v>1</v>
      </c>
      <c r="I58" s="1" t="s">
        <v>1</v>
      </c>
      <c r="J58" s="1" t="s">
        <v>7</v>
      </c>
      <c r="K58" s="2">
        <v>46041.373576388891</v>
      </c>
      <c r="L58" s="2">
        <v>46041.709386574075</v>
      </c>
      <c r="M58" s="1">
        <v>1</v>
      </c>
      <c r="N58" s="1">
        <v>4084</v>
      </c>
      <c r="O58" s="2">
        <v>46041.693449074075</v>
      </c>
      <c r="P58" s="1">
        <v>8</v>
      </c>
      <c r="Q58" s="1" t="s">
        <v>17</v>
      </c>
      <c r="R58" s="1" t="s">
        <v>165</v>
      </c>
    </row>
    <row r="59" spans="1:18" x14ac:dyDescent="0.3">
      <c r="A59" s="1">
        <v>3388</v>
      </c>
      <c r="B59" s="1"/>
      <c r="C59" s="1">
        <v>3804</v>
      </c>
      <c r="D59" s="1">
        <v>26</v>
      </c>
      <c r="E59" s="1">
        <v>-59</v>
      </c>
      <c r="F59" s="1">
        <v>1141</v>
      </c>
      <c r="G59" s="1" t="s">
        <v>61</v>
      </c>
      <c r="H59" s="1" t="s">
        <v>62</v>
      </c>
      <c r="I59" s="1"/>
      <c r="J59" s="1"/>
      <c r="K59" s="2">
        <v>46041.361400462964</v>
      </c>
      <c r="L59" s="2">
        <v>46041.361400462964</v>
      </c>
      <c r="M59" s="1">
        <v>1</v>
      </c>
      <c r="N59" s="1">
        <v>1141</v>
      </c>
      <c r="O59" s="2">
        <v>46041.361400462964</v>
      </c>
      <c r="P59" s="1">
        <v>21</v>
      </c>
      <c r="Q59" s="1" t="s">
        <v>24</v>
      </c>
      <c r="R59" s="1" t="s">
        <v>167</v>
      </c>
    </row>
    <row r="60" spans="1:18" x14ac:dyDescent="0.3">
      <c r="A60" s="1">
        <v>3387</v>
      </c>
      <c r="B60" s="1">
        <v>3228</v>
      </c>
      <c r="C60" s="1">
        <v>3701</v>
      </c>
      <c r="D60" s="1">
        <v>7</v>
      </c>
      <c r="E60" s="1">
        <v>-11.8</v>
      </c>
      <c r="F60" s="1">
        <v>4668</v>
      </c>
      <c r="G60" s="1" t="s">
        <v>63</v>
      </c>
      <c r="H60" s="1">
        <v>1</v>
      </c>
      <c r="I60" s="1" t="s">
        <v>20</v>
      </c>
      <c r="J60" s="1"/>
      <c r="K60" s="2">
        <v>46040.546620370369</v>
      </c>
      <c r="L60" s="2">
        <v>46041.72252314815</v>
      </c>
      <c r="M60" s="1">
        <v>1</v>
      </c>
      <c r="N60" s="1">
        <v>4867</v>
      </c>
      <c r="O60" s="2">
        <v>46041.519050925926</v>
      </c>
      <c r="P60" s="1"/>
      <c r="Q60" s="1"/>
      <c r="R60" s="1"/>
    </row>
    <row r="61" spans="1:18" x14ac:dyDescent="0.3">
      <c r="A61" s="1">
        <v>3386</v>
      </c>
      <c r="B61" s="1"/>
      <c r="C61" s="1">
        <v>3812</v>
      </c>
      <c r="D61" s="1">
        <v>7</v>
      </c>
      <c r="E61" s="1">
        <v>-59</v>
      </c>
      <c r="F61" s="1">
        <v>1141</v>
      </c>
      <c r="G61" s="1" t="s">
        <v>64</v>
      </c>
      <c r="H61" s="1">
        <v>1</v>
      </c>
      <c r="I61" s="1" t="s">
        <v>20</v>
      </c>
      <c r="J61" s="1"/>
      <c r="K61" s="2">
        <v>46039.646215277775</v>
      </c>
      <c r="L61" s="2">
        <v>46040.440138888887</v>
      </c>
      <c r="M61" s="1">
        <v>1</v>
      </c>
      <c r="N61" s="1">
        <v>4867</v>
      </c>
      <c r="O61" s="2">
        <v>46040.440138888887</v>
      </c>
      <c r="P61" s="1"/>
      <c r="Q61" s="1"/>
      <c r="R61" s="1"/>
    </row>
    <row r="62" spans="1:18" x14ac:dyDescent="0.3">
      <c r="A62" s="1">
        <v>3385</v>
      </c>
      <c r="B62" s="1">
        <v>3223</v>
      </c>
      <c r="C62" s="1">
        <v>3704</v>
      </c>
      <c r="D62" s="1">
        <v>1</v>
      </c>
      <c r="E62" s="1">
        <v>-45000</v>
      </c>
      <c r="F62" s="1">
        <v>780</v>
      </c>
      <c r="G62" s="1" t="s">
        <v>65</v>
      </c>
      <c r="H62" s="1">
        <v>1</v>
      </c>
      <c r="I62" s="1" t="s">
        <v>1</v>
      </c>
      <c r="J62" s="1" t="s">
        <v>7</v>
      </c>
      <c r="K62" s="2">
        <v>46039.560370370367</v>
      </c>
      <c r="L62" s="2">
        <v>46041.709386574075</v>
      </c>
      <c r="M62" s="1">
        <v>1</v>
      </c>
      <c r="N62" s="1">
        <v>4867</v>
      </c>
      <c r="O62" s="2">
        <v>46041.373101851852</v>
      </c>
      <c r="P62" s="1"/>
      <c r="Q62" s="1"/>
      <c r="R62" s="1"/>
    </row>
    <row r="63" spans="1:18" x14ac:dyDescent="0.3">
      <c r="A63" s="1">
        <v>3384</v>
      </c>
      <c r="B63" s="1"/>
      <c r="C63" s="1">
        <v>3807</v>
      </c>
      <c r="D63" s="1">
        <v>7</v>
      </c>
      <c r="E63" s="1">
        <v>-59</v>
      </c>
      <c r="F63" s="1">
        <v>2584</v>
      </c>
      <c r="G63" s="1" t="s">
        <v>66</v>
      </c>
      <c r="H63" s="1" t="s">
        <v>67</v>
      </c>
      <c r="I63" s="1" t="s">
        <v>1</v>
      </c>
      <c r="J63" s="1" t="s">
        <v>2</v>
      </c>
      <c r="K63" s="2">
        <v>46039.451111111113</v>
      </c>
      <c r="L63" s="2">
        <v>46039.505254629628</v>
      </c>
      <c r="M63" s="1">
        <v>1</v>
      </c>
      <c r="N63" s="1">
        <v>4867</v>
      </c>
      <c r="O63" s="2">
        <v>46039.505254629628</v>
      </c>
      <c r="P63" s="1"/>
      <c r="Q63" s="1"/>
      <c r="R63" s="1"/>
    </row>
    <row r="64" spans="1:18" x14ac:dyDescent="0.3">
      <c r="A64" s="1">
        <v>3382</v>
      </c>
      <c r="B64" s="1">
        <v>3216</v>
      </c>
      <c r="C64" s="1">
        <v>3734</v>
      </c>
      <c r="D64" s="1">
        <v>19</v>
      </c>
      <c r="E64" s="1">
        <v>-849.6</v>
      </c>
      <c r="F64" s="1">
        <v>913</v>
      </c>
      <c r="G64" s="1" t="s">
        <v>68</v>
      </c>
      <c r="H64" s="1">
        <v>1</v>
      </c>
      <c r="I64" s="1" t="s">
        <v>1</v>
      </c>
      <c r="J64" s="1" t="s">
        <v>7</v>
      </c>
      <c r="K64" s="2">
        <v>46038.730428240742</v>
      </c>
      <c r="L64" s="2">
        <v>46041.647719907407</v>
      </c>
      <c r="M64" s="1">
        <v>1</v>
      </c>
      <c r="N64" s="1">
        <v>4084</v>
      </c>
      <c r="O64" s="2">
        <v>46041.374050925922</v>
      </c>
      <c r="P64" s="1">
        <v>14</v>
      </c>
      <c r="Q64" s="1" t="s">
        <v>8</v>
      </c>
      <c r="R64" s="1" t="s">
        <v>163</v>
      </c>
    </row>
    <row r="65" spans="1:18" x14ac:dyDescent="0.3">
      <c r="A65" s="1">
        <v>3381</v>
      </c>
      <c r="B65" s="1">
        <v>3216</v>
      </c>
      <c r="C65" s="1">
        <v>3734</v>
      </c>
      <c r="D65" s="1">
        <v>20</v>
      </c>
      <c r="E65" s="1">
        <v>-265.5</v>
      </c>
      <c r="F65" s="1">
        <v>913</v>
      </c>
      <c r="G65" s="1" t="s">
        <v>69</v>
      </c>
      <c r="H65" s="1">
        <v>1</v>
      </c>
      <c r="I65" s="1" t="s">
        <v>1</v>
      </c>
      <c r="J65" s="1" t="s">
        <v>7</v>
      </c>
      <c r="K65" s="2">
        <v>46038.729942129627</v>
      </c>
      <c r="L65" s="2">
        <v>46041.647719907407</v>
      </c>
      <c r="M65" s="1">
        <v>1</v>
      </c>
      <c r="N65" s="1">
        <v>4084</v>
      </c>
      <c r="O65" s="2">
        <v>46041.374432870369</v>
      </c>
      <c r="P65" s="1">
        <v>15</v>
      </c>
      <c r="Q65" s="1" t="s">
        <v>10</v>
      </c>
      <c r="R65" s="1" t="s">
        <v>163</v>
      </c>
    </row>
    <row r="66" spans="1:18" x14ac:dyDescent="0.3">
      <c r="A66" s="1">
        <v>3380</v>
      </c>
      <c r="B66" s="1">
        <v>3216</v>
      </c>
      <c r="C66" s="1">
        <v>3734</v>
      </c>
      <c r="D66" s="1">
        <v>20</v>
      </c>
      <c r="E66" s="1">
        <v>-796.5</v>
      </c>
      <c r="F66" s="1">
        <v>913</v>
      </c>
      <c r="G66" s="1" t="s">
        <v>70</v>
      </c>
      <c r="H66" s="1">
        <v>1</v>
      </c>
      <c r="I66" s="1" t="s">
        <v>1</v>
      </c>
      <c r="J66" s="1" t="s">
        <v>7</v>
      </c>
      <c r="K66" s="2">
        <v>46038.729571759257</v>
      </c>
      <c r="L66" s="2">
        <v>46041.647719907407</v>
      </c>
      <c r="M66" s="1">
        <v>1</v>
      </c>
      <c r="N66" s="1">
        <v>4084</v>
      </c>
      <c r="O66" s="2">
        <v>46041.374398148146</v>
      </c>
      <c r="P66" s="1">
        <v>15</v>
      </c>
      <c r="Q66" s="1" t="s">
        <v>10</v>
      </c>
      <c r="R66" s="1" t="s">
        <v>163</v>
      </c>
    </row>
    <row r="67" spans="1:18" x14ac:dyDescent="0.3">
      <c r="A67" s="1">
        <v>3379</v>
      </c>
      <c r="B67" s="1">
        <v>3244</v>
      </c>
      <c r="C67" s="1">
        <v>3585</v>
      </c>
      <c r="D67" s="1">
        <v>20</v>
      </c>
      <c r="E67" s="1">
        <v>-1416</v>
      </c>
      <c r="F67" s="1">
        <v>913</v>
      </c>
      <c r="G67" s="1" t="s">
        <v>71</v>
      </c>
      <c r="H67" s="1">
        <v>1</v>
      </c>
      <c r="I67" s="1" t="s">
        <v>1</v>
      </c>
      <c r="J67" s="1" t="s">
        <v>7</v>
      </c>
      <c r="K67" s="2">
        <v>46038.703182870369</v>
      </c>
      <c r="L67" s="2">
        <v>46045.496886574074</v>
      </c>
      <c r="M67" s="1">
        <v>1</v>
      </c>
      <c r="N67" s="1">
        <v>4084</v>
      </c>
      <c r="O67" s="2">
        <v>46038.706620370373</v>
      </c>
      <c r="P67" s="1">
        <v>15</v>
      </c>
      <c r="Q67" s="1" t="s">
        <v>10</v>
      </c>
      <c r="R67" s="1" t="s">
        <v>163</v>
      </c>
    </row>
    <row r="68" spans="1:18" x14ac:dyDescent="0.3">
      <c r="A68" s="1">
        <v>3378</v>
      </c>
      <c r="B68" s="1">
        <v>3246</v>
      </c>
      <c r="C68" s="1">
        <v>3487</v>
      </c>
      <c r="D68" s="1">
        <v>20</v>
      </c>
      <c r="E68" s="1">
        <v>-944</v>
      </c>
      <c r="F68" s="1">
        <v>913</v>
      </c>
      <c r="G68" s="1" t="s">
        <v>72</v>
      </c>
      <c r="H68" s="1">
        <v>1</v>
      </c>
      <c r="I68" s="1" t="s">
        <v>1</v>
      </c>
      <c r="J68" s="1" t="s">
        <v>2</v>
      </c>
      <c r="K68" s="2">
        <v>46038.650729166664</v>
      </c>
      <c r="L68" s="2">
        <v>46045.643993055557</v>
      </c>
      <c r="M68" s="1">
        <v>1</v>
      </c>
      <c r="N68" s="1">
        <v>4867</v>
      </c>
      <c r="O68" s="2">
        <v>46038.654108796298</v>
      </c>
      <c r="P68" s="1">
        <v>15</v>
      </c>
      <c r="Q68" s="1" t="s">
        <v>10</v>
      </c>
      <c r="R68" s="1" t="s">
        <v>163</v>
      </c>
    </row>
    <row r="69" spans="1:18" x14ac:dyDescent="0.3">
      <c r="A69" s="1">
        <v>3377</v>
      </c>
      <c r="B69" s="1">
        <v>3223</v>
      </c>
      <c r="C69" s="1">
        <v>3704</v>
      </c>
      <c r="D69" s="1">
        <v>14</v>
      </c>
      <c r="E69" s="1">
        <v>-35.4</v>
      </c>
      <c r="F69" s="1">
        <v>913</v>
      </c>
      <c r="G69" s="1" t="s">
        <v>73</v>
      </c>
      <c r="H69" s="1">
        <v>1</v>
      </c>
      <c r="I69" s="1" t="s">
        <v>1</v>
      </c>
      <c r="J69" s="1" t="s">
        <v>2</v>
      </c>
      <c r="K69" s="2">
        <v>46038.617256944446</v>
      </c>
      <c r="L69" s="2">
        <v>46041.709386574075</v>
      </c>
      <c r="M69" s="1">
        <v>1</v>
      </c>
      <c r="N69" s="1">
        <v>4867</v>
      </c>
      <c r="O69" s="2">
        <v>46038.636782407404</v>
      </c>
      <c r="P69" s="1">
        <v>5</v>
      </c>
      <c r="Q69" s="1" t="s">
        <v>3</v>
      </c>
      <c r="R69" s="1" t="s">
        <v>163</v>
      </c>
    </row>
    <row r="70" spans="1:18" x14ac:dyDescent="0.3">
      <c r="A70" s="1">
        <v>3376</v>
      </c>
      <c r="B70" s="1">
        <v>3223</v>
      </c>
      <c r="C70" s="1">
        <v>3704</v>
      </c>
      <c r="D70" s="1">
        <v>24</v>
      </c>
      <c r="E70" s="1">
        <v>-1062</v>
      </c>
      <c r="F70" s="1">
        <v>913</v>
      </c>
      <c r="G70" s="1" t="s">
        <v>74</v>
      </c>
      <c r="H70" s="1">
        <v>1</v>
      </c>
      <c r="I70" s="1" t="s">
        <v>1</v>
      </c>
      <c r="J70" s="1" t="s">
        <v>2</v>
      </c>
      <c r="K70" s="2">
        <v>46038.613946759258</v>
      </c>
      <c r="L70" s="2">
        <v>46041.709386574075</v>
      </c>
      <c r="M70" s="1">
        <v>1</v>
      </c>
      <c r="N70" s="1">
        <v>4867</v>
      </c>
      <c r="O70" s="2">
        <v>46038.636747685188</v>
      </c>
      <c r="P70" s="1">
        <v>19</v>
      </c>
      <c r="Q70" s="1" t="s">
        <v>5</v>
      </c>
      <c r="R70" s="1" t="s">
        <v>163</v>
      </c>
    </row>
    <row r="71" spans="1:18" x14ac:dyDescent="0.3">
      <c r="A71" s="1">
        <v>3375</v>
      </c>
      <c r="B71" s="1"/>
      <c r="C71" s="1">
        <v>3220</v>
      </c>
      <c r="D71" s="1">
        <v>4</v>
      </c>
      <c r="E71" s="1">
        <v>-1180</v>
      </c>
      <c r="F71" s="1">
        <v>984</v>
      </c>
      <c r="G71" s="1" t="s">
        <v>60</v>
      </c>
      <c r="H71" s="1">
        <v>1</v>
      </c>
      <c r="I71" s="1" t="s">
        <v>1</v>
      </c>
      <c r="J71" s="1" t="s">
        <v>7</v>
      </c>
      <c r="K71" s="2">
        <v>46038.528483796297</v>
      </c>
      <c r="L71" s="2">
        <v>46038.531053240738</v>
      </c>
      <c r="M71" s="1">
        <v>1</v>
      </c>
      <c r="N71" s="1">
        <v>4084</v>
      </c>
      <c r="O71" s="2">
        <v>46038.531053240738</v>
      </c>
      <c r="P71" s="1">
        <v>4</v>
      </c>
      <c r="Q71" s="1" t="s">
        <v>21</v>
      </c>
      <c r="R71" s="1" t="s">
        <v>164</v>
      </c>
    </row>
    <row r="72" spans="1:18" x14ac:dyDescent="0.3">
      <c r="A72" s="1">
        <v>3374</v>
      </c>
      <c r="B72" s="1"/>
      <c r="C72" s="1">
        <v>3455</v>
      </c>
      <c r="D72" s="1">
        <v>4</v>
      </c>
      <c r="E72" s="1">
        <v>-1180</v>
      </c>
      <c r="F72" s="1">
        <v>984</v>
      </c>
      <c r="G72" s="1" t="s">
        <v>60</v>
      </c>
      <c r="H72" s="1">
        <v>1</v>
      </c>
      <c r="I72" s="1" t="s">
        <v>1</v>
      </c>
      <c r="J72" s="1" t="s">
        <v>7</v>
      </c>
      <c r="K72" s="2">
        <v>46038.52789351852</v>
      </c>
      <c r="L72" s="2">
        <v>46038.530752314815</v>
      </c>
      <c r="M72" s="1">
        <v>1</v>
      </c>
      <c r="N72" s="1">
        <v>4084</v>
      </c>
      <c r="O72" s="2">
        <v>46038.530752314815</v>
      </c>
      <c r="P72" s="1">
        <v>4</v>
      </c>
      <c r="Q72" s="1" t="s">
        <v>21</v>
      </c>
      <c r="R72" s="1" t="s">
        <v>164</v>
      </c>
    </row>
    <row r="73" spans="1:18" x14ac:dyDescent="0.3">
      <c r="A73" s="1">
        <v>3373</v>
      </c>
      <c r="B73" s="1">
        <v>3246</v>
      </c>
      <c r="C73" s="1">
        <v>3487</v>
      </c>
      <c r="D73" s="1">
        <v>4</v>
      </c>
      <c r="E73" s="1">
        <v>-1180</v>
      </c>
      <c r="F73" s="1">
        <v>984</v>
      </c>
      <c r="G73" s="1" t="s">
        <v>60</v>
      </c>
      <c r="H73" s="1">
        <v>1</v>
      </c>
      <c r="I73" s="1" t="s">
        <v>1</v>
      </c>
      <c r="J73" s="1" t="s">
        <v>7</v>
      </c>
      <c r="K73" s="2">
        <v>46038.527384259258</v>
      </c>
      <c r="L73" s="2">
        <v>46045.643993055557</v>
      </c>
      <c r="M73" s="1">
        <v>1</v>
      </c>
      <c r="N73" s="1">
        <v>4084</v>
      </c>
      <c r="O73" s="2">
        <v>46038.530451388891</v>
      </c>
      <c r="P73" s="1">
        <v>4</v>
      </c>
      <c r="Q73" s="1" t="s">
        <v>21</v>
      </c>
      <c r="R73" s="1" t="s">
        <v>164</v>
      </c>
    </row>
    <row r="74" spans="1:18" x14ac:dyDescent="0.3">
      <c r="A74" s="1">
        <v>3370</v>
      </c>
      <c r="B74" s="1"/>
      <c r="C74" s="1">
        <v>3754</v>
      </c>
      <c r="D74" s="1">
        <v>2</v>
      </c>
      <c r="E74" s="1">
        <v>-118</v>
      </c>
      <c r="F74" s="1">
        <v>4867</v>
      </c>
      <c r="G74" s="1" t="s">
        <v>17</v>
      </c>
      <c r="H74" s="1">
        <v>1</v>
      </c>
      <c r="I74" s="1" t="s">
        <v>20</v>
      </c>
      <c r="J74" s="1"/>
      <c r="K74" s="2">
        <v>46038.486354166664</v>
      </c>
      <c r="L74" s="2">
        <v>46038.486631944441</v>
      </c>
      <c r="M74" s="1">
        <v>1</v>
      </c>
      <c r="N74" s="1">
        <v>780</v>
      </c>
      <c r="O74" s="2">
        <v>46038.486631944441</v>
      </c>
      <c r="P74" s="1">
        <v>8</v>
      </c>
      <c r="Q74" s="1" t="s">
        <v>17</v>
      </c>
      <c r="R74" s="1" t="s">
        <v>165</v>
      </c>
    </row>
    <row r="75" spans="1:18" x14ac:dyDescent="0.3">
      <c r="A75" s="1">
        <v>3369</v>
      </c>
      <c r="B75" s="1"/>
      <c r="C75" s="1">
        <v>3754</v>
      </c>
      <c r="D75" s="1">
        <v>1</v>
      </c>
      <c r="E75" s="1">
        <v>-24500</v>
      </c>
      <c r="F75" s="1">
        <v>4867</v>
      </c>
      <c r="G75" s="1" t="s">
        <v>75</v>
      </c>
      <c r="H75" s="1">
        <v>1</v>
      </c>
      <c r="I75" s="1" t="s">
        <v>20</v>
      </c>
      <c r="J75" s="1"/>
      <c r="K75" s="2">
        <v>46038.486122685186</v>
      </c>
      <c r="L75" s="2">
        <v>46038.486585648148</v>
      </c>
      <c r="M75" s="1">
        <v>1</v>
      </c>
      <c r="N75" s="1">
        <v>780</v>
      </c>
      <c r="O75" s="2">
        <v>46038.486585648148</v>
      </c>
      <c r="P75" s="1"/>
      <c r="Q75" s="1"/>
      <c r="R75" s="1"/>
    </row>
    <row r="76" spans="1:18" x14ac:dyDescent="0.3">
      <c r="A76" s="1">
        <v>3368</v>
      </c>
      <c r="B76" s="1"/>
      <c r="C76" s="1">
        <v>3753</v>
      </c>
      <c r="D76" s="1">
        <v>2</v>
      </c>
      <c r="E76" s="1">
        <v>-118</v>
      </c>
      <c r="F76" s="1">
        <v>4867</v>
      </c>
      <c r="G76" s="1" t="s">
        <v>17</v>
      </c>
      <c r="H76" s="1">
        <v>1</v>
      </c>
      <c r="I76" s="1" t="s">
        <v>20</v>
      </c>
      <c r="J76" s="1"/>
      <c r="K76" s="2">
        <v>46038.48537037037</v>
      </c>
      <c r="L76" s="2">
        <v>46038.485706018517</v>
      </c>
      <c r="M76" s="1">
        <v>1</v>
      </c>
      <c r="N76" s="1">
        <v>780</v>
      </c>
      <c r="O76" s="2">
        <v>46038.485706018517</v>
      </c>
      <c r="P76" s="1">
        <v>8</v>
      </c>
      <c r="Q76" s="1" t="s">
        <v>17</v>
      </c>
      <c r="R76" s="1" t="s">
        <v>165</v>
      </c>
    </row>
    <row r="77" spans="1:18" x14ac:dyDescent="0.3">
      <c r="A77" s="1">
        <v>3367</v>
      </c>
      <c r="B77" s="1"/>
      <c r="C77" s="1">
        <v>3753</v>
      </c>
      <c r="D77" s="1">
        <v>1</v>
      </c>
      <c r="E77" s="1">
        <v>-150000</v>
      </c>
      <c r="F77" s="1">
        <v>4867</v>
      </c>
      <c r="G77" s="1" t="s">
        <v>76</v>
      </c>
      <c r="H77" s="1">
        <v>1</v>
      </c>
      <c r="I77" s="1" t="s">
        <v>20</v>
      </c>
      <c r="J77" s="1"/>
      <c r="K77" s="2">
        <v>46038.485092592593</v>
      </c>
      <c r="L77" s="2">
        <v>46038.485636574071</v>
      </c>
      <c r="M77" s="1">
        <v>1</v>
      </c>
      <c r="N77" s="1">
        <v>780</v>
      </c>
      <c r="O77" s="2">
        <v>46038.485636574071</v>
      </c>
      <c r="P77" s="1"/>
      <c r="Q77" s="1"/>
      <c r="R77" s="1"/>
    </row>
    <row r="78" spans="1:18" x14ac:dyDescent="0.3">
      <c r="A78" s="1">
        <v>3366</v>
      </c>
      <c r="B78" s="1">
        <v>3214</v>
      </c>
      <c r="C78" s="1">
        <v>3742</v>
      </c>
      <c r="D78" s="1">
        <v>4</v>
      </c>
      <c r="E78" s="1">
        <v>-590</v>
      </c>
      <c r="F78" s="1">
        <v>984</v>
      </c>
      <c r="G78" s="1" t="s">
        <v>77</v>
      </c>
      <c r="H78" s="1">
        <v>1</v>
      </c>
      <c r="I78" s="1" t="s">
        <v>1</v>
      </c>
      <c r="J78" s="1" t="s">
        <v>2</v>
      </c>
      <c r="K78" s="2">
        <v>46038.415497685186</v>
      </c>
      <c r="L78" s="2">
        <v>46041.642916666664</v>
      </c>
      <c r="M78" s="1">
        <v>1</v>
      </c>
      <c r="N78" s="1">
        <v>4867</v>
      </c>
      <c r="O78" s="2">
        <v>46038.41914351852</v>
      </c>
      <c r="P78" s="1">
        <v>4</v>
      </c>
      <c r="Q78" s="1" t="s">
        <v>21</v>
      </c>
      <c r="R78" s="1" t="s">
        <v>164</v>
      </c>
    </row>
    <row r="79" spans="1:18" x14ac:dyDescent="0.3">
      <c r="A79" s="1">
        <v>3365</v>
      </c>
      <c r="B79" s="1"/>
      <c r="C79" s="1">
        <v>3784</v>
      </c>
      <c r="D79" s="1">
        <v>4</v>
      </c>
      <c r="E79" s="1">
        <v>-590</v>
      </c>
      <c r="F79" s="1">
        <v>984</v>
      </c>
      <c r="G79" s="1" t="s">
        <v>77</v>
      </c>
      <c r="H79" s="1">
        <v>1</v>
      </c>
      <c r="I79" s="1" t="s">
        <v>1</v>
      </c>
      <c r="J79" s="1" t="s">
        <v>7</v>
      </c>
      <c r="K79" s="2">
        <v>46037.619629629633</v>
      </c>
      <c r="L79" s="2">
        <v>46037.642418981479</v>
      </c>
      <c r="M79" s="1">
        <v>1</v>
      </c>
      <c r="N79" s="1">
        <v>4084</v>
      </c>
      <c r="O79" s="2">
        <v>46037.642418981479</v>
      </c>
      <c r="P79" s="1">
        <v>4</v>
      </c>
      <c r="Q79" s="1" t="s">
        <v>21</v>
      </c>
      <c r="R79" s="1" t="s">
        <v>164</v>
      </c>
    </row>
    <row r="80" spans="1:18" x14ac:dyDescent="0.3">
      <c r="A80" s="1">
        <v>3364</v>
      </c>
      <c r="B80" s="1"/>
      <c r="C80" s="1">
        <v>3783</v>
      </c>
      <c r="D80" s="1">
        <v>4</v>
      </c>
      <c r="E80" s="1">
        <v>-200</v>
      </c>
      <c r="F80" s="1">
        <v>984</v>
      </c>
      <c r="G80" s="1" t="s">
        <v>78</v>
      </c>
      <c r="H80" s="1">
        <v>1</v>
      </c>
      <c r="I80" s="1" t="s">
        <v>1</v>
      </c>
      <c r="J80" s="1" t="s">
        <v>2</v>
      </c>
      <c r="K80" s="2">
        <v>46037.413680555554</v>
      </c>
      <c r="L80" s="2">
        <v>46037.423379629632</v>
      </c>
      <c r="M80" s="1">
        <v>1</v>
      </c>
      <c r="N80" s="1">
        <v>4867</v>
      </c>
      <c r="O80" s="2">
        <v>46037.423379629632</v>
      </c>
      <c r="P80" s="1">
        <v>4</v>
      </c>
      <c r="Q80" s="1" t="s">
        <v>21</v>
      </c>
      <c r="R80" s="1" t="s">
        <v>164</v>
      </c>
    </row>
    <row r="81" spans="1:18" x14ac:dyDescent="0.3">
      <c r="A81" s="1">
        <v>3363</v>
      </c>
      <c r="B81" s="1">
        <v>3188</v>
      </c>
      <c r="C81" s="1">
        <v>3407</v>
      </c>
      <c r="D81" s="1">
        <v>1</v>
      </c>
      <c r="E81" s="1">
        <v>-2005</v>
      </c>
      <c r="F81" s="1">
        <v>4084</v>
      </c>
      <c r="G81" s="1" t="s">
        <v>65</v>
      </c>
      <c r="H81" s="1">
        <v>1</v>
      </c>
      <c r="I81" s="1" t="s">
        <v>1</v>
      </c>
      <c r="J81" s="1" t="s">
        <v>7</v>
      </c>
      <c r="K81" s="2">
        <v>46036.732094907406</v>
      </c>
      <c r="L81" s="2">
        <v>46037.520405092589</v>
      </c>
      <c r="M81" s="1">
        <v>1</v>
      </c>
      <c r="N81" s="1">
        <v>1141</v>
      </c>
      <c r="O81" s="2">
        <v>46037.519687499997</v>
      </c>
      <c r="P81" s="1"/>
      <c r="Q81" s="1"/>
      <c r="R81" s="1"/>
    </row>
    <row r="82" spans="1:18" x14ac:dyDescent="0.3">
      <c r="A82" s="1">
        <v>3362</v>
      </c>
      <c r="B82" s="1"/>
      <c r="C82" s="1">
        <v>3786</v>
      </c>
      <c r="D82" s="1">
        <v>26</v>
      </c>
      <c r="E82" s="1">
        <v>-59</v>
      </c>
      <c r="F82" s="1">
        <v>2584</v>
      </c>
      <c r="G82" s="1" t="s">
        <v>79</v>
      </c>
      <c r="H82" s="1" t="s">
        <v>62</v>
      </c>
      <c r="I82" s="1"/>
      <c r="J82" s="1"/>
      <c r="K82" s="2">
        <v>46036.691990740743</v>
      </c>
      <c r="L82" s="2">
        <v>46036.691990740743</v>
      </c>
      <c r="M82" s="1">
        <v>1</v>
      </c>
      <c r="N82" s="1">
        <v>2584</v>
      </c>
      <c r="O82" s="2">
        <v>46036.691990740743</v>
      </c>
      <c r="P82" s="1">
        <v>21</v>
      </c>
      <c r="Q82" s="1" t="s">
        <v>24</v>
      </c>
      <c r="R82" s="1" t="s">
        <v>167</v>
      </c>
    </row>
    <row r="83" spans="1:18" x14ac:dyDescent="0.3">
      <c r="A83" s="1">
        <v>3361</v>
      </c>
      <c r="B83" s="1">
        <v>3233</v>
      </c>
      <c r="C83" s="1">
        <v>3740</v>
      </c>
      <c r="D83" s="1">
        <v>4</v>
      </c>
      <c r="E83" s="1">
        <v>-500</v>
      </c>
      <c r="F83" s="1">
        <v>984</v>
      </c>
      <c r="G83" s="1" t="s">
        <v>80</v>
      </c>
      <c r="H83" s="1">
        <v>1</v>
      </c>
      <c r="I83" s="1" t="s">
        <v>20</v>
      </c>
      <c r="J83" s="1"/>
      <c r="K83" s="2">
        <v>46036.635578703703</v>
      </c>
      <c r="L83" s="2">
        <v>46043.664305555554</v>
      </c>
      <c r="M83" s="1">
        <v>1</v>
      </c>
      <c r="N83" s="1">
        <v>4084</v>
      </c>
      <c r="O83" s="2">
        <v>46043.661192129628</v>
      </c>
      <c r="P83" s="1">
        <v>4</v>
      </c>
      <c r="Q83" s="1" t="s">
        <v>21</v>
      </c>
      <c r="R83" s="1" t="s">
        <v>164</v>
      </c>
    </row>
    <row r="84" spans="1:18" x14ac:dyDescent="0.3">
      <c r="A84" s="1">
        <v>3360</v>
      </c>
      <c r="B84" s="1"/>
      <c r="C84" s="1">
        <v>3760</v>
      </c>
      <c r="D84" s="1">
        <v>4</v>
      </c>
      <c r="E84" s="1">
        <v>-500</v>
      </c>
      <c r="F84" s="1">
        <v>984</v>
      </c>
      <c r="G84" s="1" t="s">
        <v>81</v>
      </c>
      <c r="H84" s="1">
        <v>1</v>
      </c>
      <c r="I84" s="1" t="s">
        <v>20</v>
      </c>
      <c r="J84" s="1"/>
      <c r="K84" s="2">
        <v>46036.634351851855</v>
      </c>
      <c r="L84" s="2">
        <v>46036.638854166667</v>
      </c>
      <c r="M84" s="1">
        <v>1</v>
      </c>
      <c r="N84" s="1">
        <v>5</v>
      </c>
      <c r="O84" s="2">
        <v>46036.638854166667</v>
      </c>
      <c r="P84" s="1">
        <v>4</v>
      </c>
      <c r="Q84" s="1" t="s">
        <v>21</v>
      </c>
      <c r="R84" s="1" t="s">
        <v>164</v>
      </c>
    </row>
    <row r="85" spans="1:18" x14ac:dyDescent="0.3">
      <c r="A85" s="1">
        <v>3359</v>
      </c>
      <c r="B85" s="1"/>
      <c r="C85" s="1">
        <v>3783</v>
      </c>
      <c r="D85" s="1">
        <v>26</v>
      </c>
      <c r="E85" s="1">
        <v>-59</v>
      </c>
      <c r="F85" s="1">
        <v>2584</v>
      </c>
      <c r="G85" s="1" t="s">
        <v>79</v>
      </c>
      <c r="H85" s="1" t="s">
        <v>62</v>
      </c>
      <c r="I85" s="1"/>
      <c r="J85" s="1"/>
      <c r="K85" s="2">
        <v>46036.489907407406</v>
      </c>
      <c r="L85" s="2">
        <v>46036.489907407406</v>
      </c>
      <c r="M85" s="1">
        <v>1</v>
      </c>
      <c r="N85" s="1">
        <v>2584</v>
      </c>
      <c r="O85" s="2">
        <v>46036.489907407406</v>
      </c>
      <c r="P85" s="1">
        <v>21</v>
      </c>
      <c r="Q85" s="1" t="s">
        <v>24</v>
      </c>
      <c r="R85" s="1" t="s">
        <v>167</v>
      </c>
    </row>
    <row r="86" spans="1:18" x14ac:dyDescent="0.3">
      <c r="A86" s="1">
        <v>3358</v>
      </c>
      <c r="B86" s="1">
        <v>3233</v>
      </c>
      <c r="C86" s="1">
        <v>3740</v>
      </c>
      <c r="D86" s="1">
        <v>14</v>
      </c>
      <c r="E86" s="1">
        <v>-64.900000000000006</v>
      </c>
      <c r="F86" s="1">
        <v>2584</v>
      </c>
      <c r="G86" s="1" t="s">
        <v>82</v>
      </c>
      <c r="H86" s="1">
        <v>0</v>
      </c>
      <c r="I86" s="1"/>
      <c r="J86" s="1"/>
      <c r="K86" s="2">
        <v>46036.434652777774</v>
      </c>
      <c r="L86" s="2">
        <v>46043.664305555554</v>
      </c>
      <c r="M86" s="1">
        <v>1</v>
      </c>
      <c r="N86" s="1">
        <v>2584</v>
      </c>
      <c r="O86" s="2">
        <v>46036.434652777774</v>
      </c>
      <c r="P86" s="1">
        <v>5</v>
      </c>
      <c r="Q86" s="1" t="s">
        <v>3</v>
      </c>
      <c r="R86" s="1" t="s">
        <v>163</v>
      </c>
    </row>
    <row r="87" spans="1:18" x14ac:dyDescent="0.3">
      <c r="A87" s="1">
        <v>3357</v>
      </c>
      <c r="B87" s="1">
        <v>3233</v>
      </c>
      <c r="C87" s="1">
        <v>3740</v>
      </c>
      <c r="D87" s="1">
        <v>21</v>
      </c>
      <c r="E87" s="1">
        <v>-810</v>
      </c>
      <c r="F87" s="1">
        <v>2584</v>
      </c>
      <c r="G87" s="1" t="s">
        <v>83</v>
      </c>
      <c r="H87" s="1">
        <v>1</v>
      </c>
      <c r="I87" s="1" t="s">
        <v>1</v>
      </c>
      <c r="J87" s="1" t="s">
        <v>7</v>
      </c>
      <c r="K87" s="2">
        <v>46036.434247685182</v>
      </c>
      <c r="L87" s="2">
        <v>46043.664305555554</v>
      </c>
      <c r="M87" s="1">
        <v>1</v>
      </c>
      <c r="N87" s="1">
        <v>4084</v>
      </c>
      <c r="O87" s="2">
        <v>46038.707604166666</v>
      </c>
      <c r="P87" s="1">
        <v>16</v>
      </c>
      <c r="Q87" s="1" t="s">
        <v>84</v>
      </c>
      <c r="R87" s="1" t="s">
        <v>163</v>
      </c>
    </row>
    <row r="88" spans="1:18" x14ac:dyDescent="0.3">
      <c r="A88" s="1">
        <v>3356</v>
      </c>
      <c r="B88" s="1">
        <v>3233</v>
      </c>
      <c r="C88" s="1">
        <v>3740</v>
      </c>
      <c r="D88" s="1">
        <v>21</v>
      </c>
      <c r="E88" s="1">
        <v>-810</v>
      </c>
      <c r="F88" s="1">
        <v>2584</v>
      </c>
      <c r="G88" s="1" t="s">
        <v>85</v>
      </c>
      <c r="H88" s="1">
        <v>1</v>
      </c>
      <c r="I88" s="1" t="s">
        <v>1</v>
      </c>
      <c r="J88" s="1" t="s">
        <v>7</v>
      </c>
      <c r="K88" s="2">
        <v>46036.433807870373</v>
      </c>
      <c r="L88" s="2">
        <v>46043.664305555554</v>
      </c>
      <c r="M88" s="1">
        <v>1</v>
      </c>
      <c r="N88" s="1">
        <v>4084</v>
      </c>
      <c r="O88" s="2">
        <v>46038.707557870373</v>
      </c>
      <c r="P88" s="1">
        <v>16</v>
      </c>
      <c r="Q88" s="1" t="s">
        <v>84</v>
      </c>
      <c r="R88" s="1" t="s">
        <v>163</v>
      </c>
    </row>
    <row r="89" spans="1:18" x14ac:dyDescent="0.3">
      <c r="A89" s="1">
        <v>3355</v>
      </c>
      <c r="B89" s="1">
        <v>3233</v>
      </c>
      <c r="C89" s="1">
        <v>3740</v>
      </c>
      <c r="D89" s="1">
        <v>21</v>
      </c>
      <c r="E89" s="1">
        <v>-45</v>
      </c>
      <c r="F89" s="1">
        <v>2584</v>
      </c>
      <c r="G89" s="1" t="s">
        <v>86</v>
      </c>
      <c r="H89" s="1">
        <v>1</v>
      </c>
      <c r="I89" s="1" t="s">
        <v>1</v>
      </c>
      <c r="J89" s="1" t="s">
        <v>7</v>
      </c>
      <c r="K89" s="2">
        <v>46036.433333333334</v>
      </c>
      <c r="L89" s="2">
        <v>46043.664305555554</v>
      </c>
      <c r="M89" s="1">
        <v>1</v>
      </c>
      <c r="N89" s="1">
        <v>4084</v>
      </c>
      <c r="O89" s="2">
        <v>46038.707499999997</v>
      </c>
      <c r="P89" s="1">
        <v>16</v>
      </c>
      <c r="Q89" s="1" t="s">
        <v>84</v>
      </c>
      <c r="R89" s="1" t="s">
        <v>163</v>
      </c>
    </row>
    <row r="90" spans="1:18" x14ac:dyDescent="0.3">
      <c r="A90" s="1">
        <v>3354</v>
      </c>
      <c r="B90" s="1">
        <v>3233</v>
      </c>
      <c r="C90" s="1">
        <v>3740</v>
      </c>
      <c r="D90" s="1">
        <v>21</v>
      </c>
      <c r="E90" s="1">
        <v>-45</v>
      </c>
      <c r="F90" s="1">
        <v>2584</v>
      </c>
      <c r="G90" s="1" t="s">
        <v>87</v>
      </c>
      <c r="H90" s="1">
        <v>1</v>
      </c>
      <c r="I90" s="1" t="s">
        <v>1</v>
      </c>
      <c r="J90" s="1" t="s">
        <v>7</v>
      </c>
      <c r="K90" s="2">
        <v>46036.432754629626</v>
      </c>
      <c r="L90" s="2">
        <v>46043.664305555554</v>
      </c>
      <c r="M90" s="1">
        <v>1</v>
      </c>
      <c r="N90" s="1">
        <v>4084</v>
      </c>
      <c r="O90" s="2">
        <v>46038.707442129627</v>
      </c>
      <c r="P90" s="1">
        <v>16</v>
      </c>
      <c r="Q90" s="1" t="s">
        <v>84</v>
      </c>
      <c r="R90" s="1" t="s">
        <v>163</v>
      </c>
    </row>
    <row r="91" spans="1:18" x14ac:dyDescent="0.3">
      <c r="A91" s="1">
        <v>3353</v>
      </c>
      <c r="B91" s="1">
        <v>3233</v>
      </c>
      <c r="C91" s="1">
        <v>3740</v>
      </c>
      <c r="D91" s="1">
        <v>21</v>
      </c>
      <c r="E91" s="1">
        <v>-45</v>
      </c>
      <c r="F91" s="1">
        <v>2584</v>
      </c>
      <c r="G91" s="1" t="s">
        <v>88</v>
      </c>
      <c r="H91" s="1">
        <v>1</v>
      </c>
      <c r="I91" s="1" t="s">
        <v>1</v>
      </c>
      <c r="J91" s="1" t="s">
        <v>7</v>
      </c>
      <c r="K91" s="2">
        <v>46036.432291666664</v>
      </c>
      <c r="L91" s="2">
        <v>46043.664305555554</v>
      </c>
      <c r="M91" s="1">
        <v>1</v>
      </c>
      <c r="N91" s="1">
        <v>4084</v>
      </c>
      <c r="O91" s="2">
        <v>46038.707361111112</v>
      </c>
      <c r="P91" s="1">
        <v>16</v>
      </c>
      <c r="Q91" s="1" t="s">
        <v>84</v>
      </c>
      <c r="R91" s="1" t="s">
        <v>163</v>
      </c>
    </row>
    <row r="92" spans="1:18" x14ac:dyDescent="0.3">
      <c r="A92" s="1">
        <v>3352</v>
      </c>
      <c r="B92" s="1"/>
      <c r="C92" s="1">
        <v>3697</v>
      </c>
      <c r="D92" s="1">
        <v>4</v>
      </c>
      <c r="E92" s="1">
        <v>-1180</v>
      </c>
      <c r="F92" s="1">
        <v>984</v>
      </c>
      <c r="G92" s="1" t="s">
        <v>89</v>
      </c>
      <c r="H92" s="1">
        <v>1</v>
      </c>
      <c r="I92" s="1" t="s">
        <v>1</v>
      </c>
      <c r="J92" s="1" t="s">
        <v>7</v>
      </c>
      <c r="K92" s="2">
        <v>46036.384641203702</v>
      </c>
      <c r="L92" s="2">
        <v>46036.395127314812</v>
      </c>
      <c r="M92" s="1">
        <v>1</v>
      </c>
      <c r="N92" s="1">
        <v>5</v>
      </c>
      <c r="O92" s="2">
        <v>46036.395127314812</v>
      </c>
      <c r="P92" s="1">
        <v>4</v>
      </c>
      <c r="Q92" s="1" t="s">
        <v>21</v>
      </c>
      <c r="R92" s="1" t="s">
        <v>164</v>
      </c>
    </row>
    <row r="93" spans="1:18" x14ac:dyDescent="0.3">
      <c r="A93" s="1">
        <v>3351</v>
      </c>
      <c r="B93" s="1">
        <v>3186</v>
      </c>
      <c r="C93" s="1">
        <v>3663</v>
      </c>
      <c r="D93" s="1">
        <v>5</v>
      </c>
      <c r="E93" s="1">
        <v>-35.4</v>
      </c>
      <c r="F93" s="1">
        <v>4084</v>
      </c>
      <c r="G93" s="1" t="s">
        <v>90</v>
      </c>
      <c r="H93" s="1">
        <v>1</v>
      </c>
      <c r="I93" s="1" t="s">
        <v>1</v>
      </c>
      <c r="J93" s="1" t="s">
        <v>7</v>
      </c>
      <c r="K93" s="2">
        <v>46035.506099537037</v>
      </c>
      <c r="L93" s="2">
        <v>46035.530127314814</v>
      </c>
      <c r="M93" s="1">
        <v>1</v>
      </c>
      <c r="N93" s="1">
        <v>1141</v>
      </c>
      <c r="O93" s="2">
        <v>46035.518564814818</v>
      </c>
      <c r="P93" s="1">
        <v>3</v>
      </c>
      <c r="Q93" s="1" t="s">
        <v>45</v>
      </c>
      <c r="R93" s="1" t="s">
        <v>166</v>
      </c>
    </row>
    <row r="94" spans="1:18" x14ac:dyDescent="0.3">
      <c r="A94" s="1">
        <v>3350</v>
      </c>
      <c r="B94" s="1">
        <v>3194</v>
      </c>
      <c r="C94" s="1">
        <v>3161</v>
      </c>
      <c r="D94" s="1">
        <v>7</v>
      </c>
      <c r="E94" s="1">
        <v>-3776</v>
      </c>
      <c r="F94" s="1">
        <v>4867</v>
      </c>
      <c r="G94" s="1" t="s">
        <v>91</v>
      </c>
      <c r="H94" s="1">
        <v>1</v>
      </c>
      <c r="I94" s="1" t="s">
        <v>1</v>
      </c>
      <c r="J94" s="1" t="s">
        <v>2</v>
      </c>
      <c r="K94" s="2">
        <v>46034.714236111111</v>
      </c>
      <c r="L94" s="2">
        <v>46041.494363425925</v>
      </c>
      <c r="M94" s="1">
        <v>1</v>
      </c>
      <c r="N94" s="1">
        <v>4084</v>
      </c>
      <c r="O94" s="2">
        <v>46041.491168981483</v>
      </c>
      <c r="P94" s="1"/>
      <c r="Q94" s="1"/>
      <c r="R94" s="1"/>
    </row>
    <row r="95" spans="1:18" x14ac:dyDescent="0.3">
      <c r="A95" s="1">
        <v>3349</v>
      </c>
      <c r="B95" s="1">
        <v>3180</v>
      </c>
      <c r="C95" s="1">
        <v>3498</v>
      </c>
      <c r="D95" s="1">
        <v>9</v>
      </c>
      <c r="E95" s="1">
        <v>0</v>
      </c>
      <c r="F95" s="1">
        <v>4084</v>
      </c>
      <c r="G95" s="1" t="s">
        <v>92</v>
      </c>
      <c r="H95" s="1">
        <v>0</v>
      </c>
      <c r="I95" s="1"/>
      <c r="J95" s="1"/>
      <c r="K95" s="2">
        <v>46034.580300925925</v>
      </c>
      <c r="L95" s="2">
        <v>46034.59175925926</v>
      </c>
      <c r="M95" s="1">
        <v>1</v>
      </c>
      <c r="N95" s="1">
        <v>4084</v>
      </c>
      <c r="O95" s="2">
        <v>46034.580300925925</v>
      </c>
      <c r="P95" s="1">
        <v>13</v>
      </c>
      <c r="Q95" s="1" t="s">
        <v>32</v>
      </c>
      <c r="R95" s="1" t="s">
        <v>165</v>
      </c>
    </row>
    <row r="96" spans="1:18" x14ac:dyDescent="0.3">
      <c r="A96" s="1">
        <v>3348</v>
      </c>
      <c r="B96" s="1">
        <v>3184</v>
      </c>
      <c r="C96" s="1">
        <v>3679</v>
      </c>
      <c r="D96" s="1">
        <v>4</v>
      </c>
      <c r="E96" s="1">
        <v>-330.4</v>
      </c>
      <c r="F96" s="1">
        <v>4084</v>
      </c>
      <c r="G96" s="1" t="s">
        <v>43</v>
      </c>
      <c r="H96" s="1">
        <v>1</v>
      </c>
      <c r="I96" s="1" t="s">
        <v>1</v>
      </c>
      <c r="J96" s="1" t="s">
        <v>7</v>
      </c>
      <c r="K96" s="2">
        <v>46034.519687499997</v>
      </c>
      <c r="L96" s="2">
        <v>46035.353252314817</v>
      </c>
      <c r="M96" s="1">
        <v>1</v>
      </c>
      <c r="N96" s="1">
        <v>5</v>
      </c>
      <c r="O96" s="2">
        <v>46034.799432870372</v>
      </c>
      <c r="P96" s="1">
        <v>4</v>
      </c>
      <c r="Q96" s="1" t="s">
        <v>21</v>
      </c>
      <c r="R96" s="1" t="s">
        <v>164</v>
      </c>
    </row>
    <row r="97" spans="1:18" x14ac:dyDescent="0.3">
      <c r="A97" s="1">
        <v>3347</v>
      </c>
      <c r="B97" s="1">
        <v>3184</v>
      </c>
      <c r="C97" s="1">
        <v>3679</v>
      </c>
      <c r="D97" s="1">
        <v>4</v>
      </c>
      <c r="E97" s="1">
        <v>-354</v>
      </c>
      <c r="F97" s="1">
        <v>4084</v>
      </c>
      <c r="G97" s="1" t="s">
        <v>43</v>
      </c>
      <c r="H97" s="1">
        <v>1</v>
      </c>
      <c r="I97" s="1" t="s">
        <v>1</v>
      </c>
      <c r="J97" s="1" t="s">
        <v>7</v>
      </c>
      <c r="K97" s="2">
        <v>46034.518842592595</v>
      </c>
      <c r="L97" s="2">
        <v>46035.353252314817</v>
      </c>
      <c r="M97" s="1">
        <v>1</v>
      </c>
      <c r="N97" s="1">
        <v>5</v>
      </c>
      <c r="O97" s="2">
        <v>46034.799305555556</v>
      </c>
      <c r="P97" s="1">
        <v>4</v>
      </c>
      <c r="Q97" s="1" t="s">
        <v>21</v>
      </c>
      <c r="R97" s="1" t="s">
        <v>164</v>
      </c>
    </row>
    <row r="98" spans="1:18" x14ac:dyDescent="0.3">
      <c r="A98" s="1">
        <v>3346</v>
      </c>
      <c r="B98" s="1">
        <v>3183</v>
      </c>
      <c r="C98" s="1">
        <v>3706</v>
      </c>
      <c r="D98" s="1">
        <v>4</v>
      </c>
      <c r="E98" s="1">
        <v>-1000</v>
      </c>
      <c r="F98" s="1">
        <v>4084</v>
      </c>
      <c r="G98" s="1" t="s">
        <v>43</v>
      </c>
      <c r="H98" s="1">
        <v>1</v>
      </c>
      <c r="I98" s="1" t="s">
        <v>20</v>
      </c>
      <c r="J98" s="1"/>
      <c r="K98" s="2">
        <v>46034.482534722221</v>
      </c>
      <c r="L98" s="2">
        <v>46035.351006944446</v>
      </c>
      <c r="M98" s="1">
        <v>1</v>
      </c>
      <c r="N98" s="1">
        <v>5</v>
      </c>
      <c r="O98" s="2">
        <v>46034.798703703702</v>
      </c>
      <c r="P98" s="1">
        <v>4</v>
      </c>
      <c r="Q98" s="1" t="s">
        <v>21</v>
      </c>
      <c r="R98" s="1" t="s">
        <v>164</v>
      </c>
    </row>
    <row r="99" spans="1:18" x14ac:dyDescent="0.3">
      <c r="A99" s="1">
        <v>3345</v>
      </c>
      <c r="B99" s="1">
        <v>3186</v>
      </c>
      <c r="C99" s="1">
        <v>3663</v>
      </c>
      <c r="D99" s="1">
        <v>5</v>
      </c>
      <c r="E99" s="1">
        <v>-885</v>
      </c>
      <c r="F99" s="1">
        <v>4084</v>
      </c>
      <c r="G99" s="1" t="s">
        <v>93</v>
      </c>
      <c r="H99" s="1">
        <v>1</v>
      </c>
      <c r="I99" s="1" t="s">
        <v>1</v>
      </c>
      <c r="J99" s="1" t="s">
        <v>7</v>
      </c>
      <c r="K99" s="2">
        <v>46034.471597222226</v>
      </c>
      <c r="L99" s="2">
        <v>46035.530127314814</v>
      </c>
      <c r="M99" s="1">
        <v>1</v>
      </c>
      <c r="N99" s="1">
        <v>1141</v>
      </c>
      <c r="O99" s="2">
        <v>46034.503946759258</v>
      </c>
      <c r="P99" s="1">
        <v>3</v>
      </c>
      <c r="Q99" s="1" t="s">
        <v>45</v>
      </c>
      <c r="R99" s="1" t="s">
        <v>166</v>
      </c>
    </row>
    <row r="100" spans="1:18" x14ac:dyDescent="0.3">
      <c r="A100" s="1">
        <v>3344</v>
      </c>
      <c r="B100" s="1">
        <v>3182</v>
      </c>
      <c r="C100" s="1">
        <v>3434</v>
      </c>
      <c r="D100" s="1">
        <v>4</v>
      </c>
      <c r="E100" s="1">
        <v>-1180</v>
      </c>
      <c r="F100" s="1">
        <v>4084</v>
      </c>
      <c r="G100" s="1" t="s">
        <v>43</v>
      </c>
      <c r="H100" s="1">
        <v>1</v>
      </c>
      <c r="I100" s="1" t="s">
        <v>1</v>
      </c>
      <c r="J100" s="1" t="s">
        <v>7</v>
      </c>
      <c r="K100" s="2">
        <v>46034.451979166668</v>
      </c>
      <c r="L100" s="2">
        <v>46035.349594907406</v>
      </c>
      <c r="M100" s="1">
        <v>1</v>
      </c>
      <c r="N100" s="1">
        <v>5</v>
      </c>
      <c r="O100" s="2">
        <v>46034.798333333332</v>
      </c>
      <c r="P100" s="1">
        <v>4</v>
      </c>
      <c r="Q100" s="1" t="s">
        <v>21</v>
      </c>
      <c r="R100" s="1" t="s">
        <v>164</v>
      </c>
    </row>
    <row r="101" spans="1:18" x14ac:dyDescent="0.3">
      <c r="A101" s="1">
        <v>3343</v>
      </c>
      <c r="B101" s="1"/>
      <c r="C101" s="1">
        <v>3696</v>
      </c>
      <c r="D101" s="1">
        <v>7</v>
      </c>
      <c r="E101" s="1">
        <v>-295</v>
      </c>
      <c r="F101" s="1">
        <v>1141</v>
      </c>
      <c r="G101" s="1" t="s">
        <v>94</v>
      </c>
      <c r="H101" s="1">
        <v>1</v>
      </c>
      <c r="I101" s="1" t="s">
        <v>1</v>
      </c>
      <c r="J101" s="1" t="s">
        <v>2</v>
      </c>
      <c r="K101" s="2">
        <v>46034.382881944446</v>
      </c>
      <c r="L101" s="2">
        <v>46034.383587962962</v>
      </c>
      <c r="M101" s="1">
        <v>1</v>
      </c>
      <c r="N101" s="1">
        <v>4867</v>
      </c>
      <c r="O101" s="2">
        <v>46034.383587962962</v>
      </c>
      <c r="P101" s="1"/>
      <c r="Q101" s="1"/>
      <c r="R101" s="1"/>
    </row>
    <row r="102" spans="1:18" x14ac:dyDescent="0.3">
      <c r="A102" s="1">
        <v>3342</v>
      </c>
      <c r="B102" s="1">
        <v>3186</v>
      </c>
      <c r="C102" s="1">
        <v>3663</v>
      </c>
      <c r="D102" s="1">
        <v>20</v>
      </c>
      <c r="E102" s="1">
        <v>-472</v>
      </c>
      <c r="F102" s="1">
        <v>2584</v>
      </c>
      <c r="G102" s="1" t="s">
        <v>95</v>
      </c>
      <c r="H102" s="1">
        <v>0</v>
      </c>
      <c r="I102" s="1"/>
      <c r="J102" s="1"/>
      <c r="K102" s="2">
        <v>46031.506516203706</v>
      </c>
      <c r="L102" s="2">
        <v>46035.530127314814</v>
      </c>
      <c r="M102" s="1">
        <v>1</v>
      </c>
      <c r="N102" s="1">
        <v>2584</v>
      </c>
      <c r="O102" s="2">
        <v>46031.506516203706</v>
      </c>
      <c r="P102" s="1">
        <v>15</v>
      </c>
      <c r="Q102" s="1" t="s">
        <v>10</v>
      </c>
      <c r="R102" s="1" t="s">
        <v>163</v>
      </c>
    </row>
    <row r="103" spans="1:18" x14ac:dyDescent="0.3">
      <c r="A103" s="1">
        <v>3341</v>
      </c>
      <c r="B103" s="1">
        <v>3186</v>
      </c>
      <c r="C103" s="1">
        <v>3663</v>
      </c>
      <c r="D103" s="1">
        <v>20</v>
      </c>
      <c r="E103" s="1">
        <v>-944</v>
      </c>
      <c r="F103" s="1">
        <v>2584</v>
      </c>
      <c r="G103" s="1" t="s">
        <v>96</v>
      </c>
      <c r="H103" s="1">
        <v>0</v>
      </c>
      <c r="I103" s="1"/>
      <c r="J103" s="1"/>
      <c r="K103" s="2">
        <v>46031.506203703706</v>
      </c>
      <c r="L103" s="2">
        <v>46035.530127314814</v>
      </c>
      <c r="M103" s="1">
        <v>1</v>
      </c>
      <c r="N103" s="1">
        <v>2584</v>
      </c>
      <c r="O103" s="2">
        <v>46031.506203703706</v>
      </c>
      <c r="P103" s="1">
        <v>15</v>
      </c>
      <c r="Q103" s="1" t="s">
        <v>10</v>
      </c>
      <c r="R103" s="1" t="s">
        <v>163</v>
      </c>
    </row>
    <row r="104" spans="1:18" x14ac:dyDescent="0.3">
      <c r="A104" s="1">
        <v>3340</v>
      </c>
      <c r="B104" s="1">
        <v>3186</v>
      </c>
      <c r="C104" s="1">
        <v>3663</v>
      </c>
      <c r="D104" s="1">
        <v>19</v>
      </c>
      <c r="E104" s="1">
        <v>-1203.5999999999999</v>
      </c>
      <c r="F104" s="1">
        <v>2584</v>
      </c>
      <c r="G104" s="1" t="s">
        <v>97</v>
      </c>
      <c r="H104" s="1">
        <v>0</v>
      </c>
      <c r="I104" s="1"/>
      <c r="J104" s="1"/>
      <c r="K104" s="2">
        <v>46031.505289351851</v>
      </c>
      <c r="L104" s="2">
        <v>46035.530127314814</v>
      </c>
      <c r="M104" s="1">
        <v>1</v>
      </c>
      <c r="N104" s="1">
        <v>2584</v>
      </c>
      <c r="O104" s="2">
        <v>46031.505289351851</v>
      </c>
      <c r="P104" s="1">
        <v>14</v>
      </c>
      <c r="Q104" s="1" t="s">
        <v>8</v>
      </c>
      <c r="R104" s="1" t="s">
        <v>163</v>
      </c>
    </row>
    <row r="105" spans="1:18" x14ac:dyDescent="0.3">
      <c r="A105" s="1">
        <v>3339</v>
      </c>
      <c r="B105" s="1">
        <v>3147</v>
      </c>
      <c r="C105" s="1">
        <v>3633</v>
      </c>
      <c r="D105" s="1">
        <v>6</v>
      </c>
      <c r="E105" s="1">
        <v>-2599.09</v>
      </c>
      <c r="F105" s="1">
        <v>1</v>
      </c>
      <c r="G105" s="1" t="s">
        <v>98</v>
      </c>
      <c r="H105" s="1">
        <v>1</v>
      </c>
      <c r="I105" s="1"/>
      <c r="J105" s="1"/>
      <c r="K105" s="2">
        <v>46030.746365740742</v>
      </c>
      <c r="L105" s="2">
        <v>46030.746504629627</v>
      </c>
      <c r="M105" s="1"/>
      <c r="N105" s="1"/>
      <c r="O105" s="1"/>
      <c r="P105" s="1"/>
      <c r="Q105" s="1"/>
      <c r="R105" s="1"/>
    </row>
    <row r="106" spans="1:18" x14ac:dyDescent="0.3">
      <c r="A106" s="1">
        <v>3338</v>
      </c>
      <c r="B106" s="1">
        <v>3228</v>
      </c>
      <c r="C106" s="1">
        <v>3701</v>
      </c>
      <c r="D106" s="1">
        <v>26</v>
      </c>
      <c r="E106" s="1">
        <v>-59</v>
      </c>
      <c r="F106" s="1">
        <v>1141</v>
      </c>
      <c r="G106" s="1" t="s">
        <v>99</v>
      </c>
      <c r="H106" s="1" t="s">
        <v>67</v>
      </c>
      <c r="I106" s="1"/>
      <c r="J106" s="1"/>
      <c r="K106" s="2">
        <v>46029.398773148147</v>
      </c>
      <c r="L106" s="2">
        <v>46041.72252314815</v>
      </c>
      <c r="M106" s="1">
        <v>1</v>
      </c>
      <c r="N106" s="1">
        <v>4084</v>
      </c>
      <c r="O106" s="2">
        <v>46041.713969907411</v>
      </c>
      <c r="P106" s="1">
        <v>21</v>
      </c>
      <c r="Q106" s="1" t="s">
        <v>24</v>
      </c>
      <c r="R106" s="1" t="s">
        <v>167</v>
      </c>
    </row>
    <row r="107" spans="1:18" x14ac:dyDescent="0.3">
      <c r="A107" s="1">
        <v>3337</v>
      </c>
      <c r="B107" s="1">
        <v>3161</v>
      </c>
      <c r="C107" s="1">
        <v>3619</v>
      </c>
      <c r="D107" s="1">
        <v>20</v>
      </c>
      <c r="E107" s="1">
        <v>-944</v>
      </c>
      <c r="F107" s="1">
        <v>1141</v>
      </c>
      <c r="G107" s="1" t="s">
        <v>100</v>
      </c>
      <c r="H107" s="1">
        <v>1</v>
      </c>
      <c r="I107" s="1"/>
      <c r="J107" s="1"/>
      <c r="K107" s="2">
        <v>46029.380937499998</v>
      </c>
      <c r="L107" s="2">
        <v>46032.535196759258</v>
      </c>
      <c r="M107" s="1">
        <v>1</v>
      </c>
      <c r="N107" s="1">
        <v>1</v>
      </c>
      <c r="O107" s="2">
        <v>46032.53261574074</v>
      </c>
      <c r="P107" s="1">
        <v>15</v>
      </c>
      <c r="Q107" s="1" t="s">
        <v>10</v>
      </c>
      <c r="R107" s="1" t="s">
        <v>163</v>
      </c>
    </row>
    <row r="108" spans="1:18" x14ac:dyDescent="0.3">
      <c r="A108" s="1">
        <v>3336</v>
      </c>
      <c r="B108" s="1">
        <v>3161</v>
      </c>
      <c r="C108" s="1">
        <v>3619</v>
      </c>
      <c r="D108" s="1">
        <v>20</v>
      </c>
      <c r="E108" s="1">
        <v>-944</v>
      </c>
      <c r="F108" s="1">
        <v>1141</v>
      </c>
      <c r="G108" s="1" t="s">
        <v>101</v>
      </c>
      <c r="H108" s="1">
        <v>1</v>
      </c>
      <c r="I108" s="1"/>
      <c r="J108" s="1"/>
      <c r="K108" s="2">
        <v>46029.380682870367</v>
      </c>
      <c r="L108" s="2">
        <v>46032.535196759258</v>
      </c>
      <c r="M108" s="1">
        <v>1</v>
      </c>
      <c r="N108" s="1">
        <v>1</v>
      </c>
      <c r="O108" s="2">
        <v>46032.532650462963</v>
      </c>
      <c r="P108" s="1">
        <v>15</v>
      </c>
      <c r="Q108" s="1" t="s">
        <v>10</v>
      </c>
      <c r="R108" s="1" t="s">
        <v>163</v>
      </c>
    </row>
    <row r="109" spans="1:18" x14ac:dyDescent="0.3">
      <c r="A109" s="1">
        <v>3335</v>
      </c>
      <c r="B109" s="1">
        <v>3161</v>
      </c>
      <c r="C109" s="1">
        <v>3619</v>
      </c>
      <c r="D109" s="1">
        <v>14</v>
      </c>
      <c r="E109" s="1">
        <v>-35.4</v>
      </c>
      <c r="F109" s="1">
        <v>1141</v>
      </c>
      <c r="G109" s="1" t="s">
        <v>102</v>
      </c>
      <c r="H109" s="1">
        <v>1</v>
      </c>
      <c r="I109" s="1"/>
      <c r="J109" s="1"/>
      <c r="K109" s="2">
        <v>46029.380324074074</v>
      </c>
      <c r="L109" s="2">
        <v>46032.535196759258</v>
      </c>
      <c r="M109" s="1">
        <v>1</v>
      </c>
      <c r="N109" s="1">
        <v>1</v>
      </c>
      <c r="O109" s="2">
        <v>46032.532685185186</v>
      </c>
      <c r="P109" s="1">
        <v>5</v>
      </c>
      <c r="Q109" s="1" t="s">
        <v>3</v>
      </c>
      <c r="R109" s="1" t="s">
        <v>163</v>
      </c>
    </row>
    <row r="110" spans="1:18" x14ac:dyDescent="0.3">
      <c r="A110" s="1">
        <v>3334</v>
      </c>
      <c r="B110" s="1">
        <v>3161</v>
      </c>
      <c r="C110" s="1">
        <v>3619</v>
      </c>
      <c r="D110" s="1">
        <v>20</v>
      </c>
      <c r="E110" s="1">
        <v>-472</v>
      </c>
      <c r="F110" s="1">
        <v>1141</v>
      </c>
      <c r="G110" s="1" t="s">
        <v>103</v>
      </c>
      <c r="H110" s="1">
        <v>1</v>
      </c>
      <c r="I110" s="1"/>
      <c r="J110" s="1"/>
      <c r="K110" s="2">
        <v>46029.380011574074</v>
      </c>
      <c r="L110" s="2">
        <v>46032.535196759258</v>
      </c>
      <c r="M110" s="1">
        <v>1</v>
      </c>
      <c r="N110" s="1">
        <v>1</v>
      </c>
      <c r="O110" s="2">
        <v>46032.532719907409</v>
      </c>
      <c r="P110" s="1">
        <v>15</v>
      </c>
      <c r="Q110" s="1" t="s">
        <v>10</v>
      </c>
      <c r="R110" s="1" t="s">
        <v>163</v>
      </c>
    </row>
    <row r="111" spans="1:18" x14ac:dyDescent="0.3">
      <c r="A111" s="1">
        <v>3333</v>
      </c>
      <c r="B111" s="1">
        <v>3161</v>
      </c>
      <c r="C111" s="1">
        <v>3619</v>
      </c>
      <c r="D111" s="1">
        <v>14</v>
      </c>
      <c r="E111" s="1">
        <v>-59</v>
      </c>
      <c r="F111" s="1">
        <v>1141</v>
      </c>
      <c r="G111" s="1" t="s">
        <v>104</v>
      </c>
      <c r="H111" s="1">
        <v>1</v>
      </c>
      <c r="I111" s="1"/>
      <c r="J111" s="1"/>
      <c r="K111" s="2">
        <v>46029.372696759259</v>
      </c>
      <c r="L111" s="2">
        <v>46032.535196759258</v>
      </c>
      <c r="M111" s="1">
        <v>1</v>
      </c>
      <c r="N111" s="1">
        <v>1</v>
      </c>
      <c r="O111" s="2">
        <v>46032.532743055555</v>
      </c>
      <c r="P111" s="1">
        <v>5</v>
      </c>
      <c r="Q111" s="1" t="s">
        <v>3</v>
      </c>
      <c r="R111" s="1" t="s">
        <v>163</v>
      </c>
    </row>
    <row r="112" spans="1:18" x14ac:dyDescent="0.3">
      <c r="A112" s="1">
        <v>3332</v>
      </c>
      <c r="B112" s="1">
        <v>3161</v>
      </c>
      <c r="C112" s="1">
        <v>3619</v>
      </c>
      <c r="D112" s="1">
        <v>20</v>
      </c>
      <c r="E112" s="1">
        <v>-944</v>
      </c>
      <c r="F112" s="1">
        <v>1141</v>
      </c>
      <c r="G112" s="1" t="s">
        <v>105</v>
      </c>
      <c r="H112" s="1">
        <v>1</v>
      </c>
      <c r="I112" s="1"/>
      <c r="J112" s="1"/>
      <c r="K112" s="2">
        <v>46029.372361111113</v>
      </c>
      <c r="L112" s="2">
        <v>46032.535196759258</v>
      </c>
      <c r="M112" s="1">
        <v>1</v>
      </c>
      <c r="N112" s="1">
        <v>1</v>
      </c>
      <c r="O112" s="2">
        <v>46032.532766203702</v>
      </c>
      <c r="P112" s="1">
        <v>15</v>
      </c>
      <c r="Q112" s="1" t="s">
        <v>10</v>
      </c>
      <c r="R112" s="1" t="s">
        <v>163</v>
      </c>
    </row>
    <row r="113" spans="1:18" x14ac:dyDescent="0.3">
      <c r="A113" s="1">
        <v>3331</v>
      </c>
      <c r="B113" s="1"/>
      <c r="C113" s="1">
        <v>3607</v>
      </c>
      <c r="D113" s="1">
        <v>21</v>
      </c>
      <c r="E113" s="1">
        <v>-88.5</v>
      </c>
      <c r="F113" s="1">
        <v>2584</v>
      </c>
      <c r="G113" s="1" t="s">
        <v>106</v>
      </c>
      <c r="H113" s="1">
        <v>1</v>
      </c>
      <c r="I113" s="1"/>
      <c r="J113" s="1"/>
      <c r="K113" s="2">
        <v>46028.711631944447</v>
      </c>
      <c r="L113" s="2">
        <v>46028.711631944447</v>
      </c>
      <c r="M113" s="1"/>
      <c r="N113" s="1"/>
      <c r="O113" s="1"/>
      <c r="P113" s="1">
        <v>16</v>
      </c>
      <c r="Q113" s="1" t="s">
        <v>84</v>
      </c>
      <c r="R113" s="1" t="s">
        <v>163</v>
      </c>
    </row>
    <row r="114" spans="1:18" x14ac:dyDescent="0.3">
      <c r="A114" s="1">
        <v>3330</v>
      </c>
      <c r="B114" s="1"/>
      <c r="C114" s="1">
        <v>3607</v>
      </c>
      <c r="D114" s="1">
        <v>21</v>
      </c>
      <c r="E114" s="1">
        <v>-88.5</v>
      </c>
      <c r="F114" s="1">
        <v>2584</v>
      </c>
      <c r="G114" s="1" t="s">
        <v>107</v>
      </c>
      <c r="H114" s="1">
        <v>1</v>
      </c>
      <c r="I114" s="1"/>
      <c r="J114" s="1"/>
      <c r="K114" s="2">
        <v>46028.711458333331</v>
      </c>
      <c r="L114" s="2">
        <v>46028.711458333331</v>
      </c>
      <c r="M114" s="1"/>
      <c r="N114" s="1"/>
      <c r="O114" s="1"/>
      <c r="P114" s="1">
        <v>16</v>
      </c>
      <c r="Q114" s="1" t="s">
        <v>84</v>
      </c>
      <c r="R114" s="1" t="s">
        <v>163</v>
      </c>
    </row>
    <row r="115" spans="1:18" x14ac:dyDescent="0.3">
      <c r="A115" s="1">
        <v>3329</v>
      </c>
      <c r="B115" s="1"/>
      <c r="C115" s="1">
        <v>3608</v>
      </c>
      <c r="D115" s="1">
        <v>14</v>
      </c>
      <c r="E115" s="1">
        <v>-35.4</v>
      </c>
      <c r="F115" s="1">
        <v>2584</v>
      </c>
      <c r="G115" s="1" t="s">
        <v>108</v>
      </c>
      <c r="H115" s="1">
        <v>1</v>
      </c>
      <c r="I115" s="1"/>
      <c r="J115" s="1"/>
      <c r="K115" s="2">
        <v>46028.711006944446</v>
      </c>
      <c r="L115" s="2">
        <v>46028.711006944446</v>
      </c>
      <c r="M115" s="1"/>
      <c r="N115" s="1"/>
      <c r="O115" s="1"/>
      <c r="P115" s="1">
        <v>5</v>
      </c>
      <c r="Q115" s="1" t="s">
        <v>3</v>
      </c>
      <c r="R115" s="1" t="s">
        <v>163</v>
      </c>
    </row>
    <row r="116" spans="1:18" x14ac:dyDescent="0.3">
      <c r="A116" s="1">
        <v>3328</v>
      </c>
      <c r="B116" s="1"/>
      <c r="C116" s="1">
        <v>3608</v>
      </c>
      <c r="D116" s="1">
        <v>21</v>
      </c>
      <c r="E116" s="1">
        <v>-88.5</v>
      </c>
      <c r="F116" s="1">
        <v>2584</v>
      </c>
      <c r="G116" s="1" t="s">
        <v>109</v>
      </c>
      <c r="H116" s="1">
        <v>1</v>
      </c>
      <c r="I116" s="1"/>
      <c r="J116" s="1"/>
      <c r="K116" s="2">
        <v>46028.710706018515</v>
      </c>
      <c r="L116" s="2">
        <v>46028.710706018515</v>
      </c>
      <c r="M116" s="1"/>
      <c r="N116" s="1"/>
      <c r="O116" s="1"/>
      <c r="P116" s="1">
        <v>16</v>
      </c>
      <c r="Q116" s="1" t="s">
        <v>84</v>
      </c>
      <c r="R116" s="1" t="s">
        <v>163</v>
      </c>
    </row>
    <row r="117" spans="1:18" x14ac:dyDescent="0.3">
      <c r="A117" s="1">
        <v>3327</v>
      </c>
      <c r="B117" s="1"/>
      <c r="C117" s="1">
        <v>3608</v>
      </c>
      <c r="D117" s="1">
        <v>21</v>
      </c>
      <c r="E117" s="1">
        <v>-88.5</v>
      </c>
      <c r="F117" s="1">
        <v>2584</v>
      </c>
      <c r="G117" s="1" t="s">
        <v>110</v>
      </c>
      <c r="H117" s="1">
        <v>1</v>
      </c>
      <c r="I117" s="1"/>
      <c r="J117" s="1"/>
      <c r="K117" s="2">
        <v>46028.710428240738</v>
      </c>
      <c r="L117" s="2">
        <v>46028.710428240738</v>
      </c>
      <c r="M117" s="1"/>
      <c r="N117" s="1"/>
      <c r="O117" s="1"/>
      <c r="P117" s="1">
        <v>16</v>
      </c>
      <c r="Q117" s="1" t="s">
        <v>84</v>
      </c>
      <c r="R117" s="1" t="s">
        <v>163</v>
      </c>
    </row>
    <row r="118" spans="1:18" x14ac:dyDescent="0.3">
      <c r="A118" s="1">
        <v>3326</v>
      </c>
      <c r="B118" s="1"/>
      <c r="C118" s="1">
        <v>3693</v>
      </c>
      <c r="D118" s="1">
        <v>7</v>
      </c>
      <c r="E118" s="1">
        <v>-59</v>
      </c>
      <c r="F118" s="1">
        <v>2584</v>
      </c>
      <c r="G118" s="1" t="s">
        <v>111</v>
      </c>
      <c r="H118" s="1">
        <v>1</v>
      </c>
      <c r="I118" s="1"/>
      <c r="J118" s="1"/>
      <c r="K118" s="2">
        <v>46028.530532407407</v>
      </c>
      <c r="L118" s="2">
        <v>46028.530532407407</v>
      </c>
      <c r="M118" s="1"/>
      <c r="N118" s="1"/>
      <c r="O118" s="1"/>
      <c r="P118" s="1"/>
      <c r="Q118" s="1"/>
      <c r="R118" s="1"/>
    </row>
    <row r="119" spans="1:18" x14ac:dyDescent="0.3">
      <c r="A119" s="1">
        <v>3323</v>
      </c>
      <c r="B119" s="1">
        <v>3188</v>
      </c>
      <c r="C119" s="1">
        <v>3407</v>
      </c>
      <c r="D119" s="1">
        <v>7</v>
      </c>
      <c r="E119" s="1">
        <v>-295</v>
      </c>
      <c r="F119" s="1">
        <v>1141</v>
      </c>
      <c r="G119" s="1" t="s">
        <v>112</v>
      </c>
      <c r="H119" s="1">
        <v>1</v>
      </c>
      <c r="I119" s="1" t="s">
        <v>1</v>
      </c>
      <c r="J119" s="1" t="s">
        <v>2</v>
      </c>
      <c r="K119" s="2">
        <v>46027.668564814812</v>
      </c>
      <c r="L119" s="2">
        <v>46037.520405092589</v>
      </c>
      <c r="M119" s="1">
        <v>1</v>
      </c>
      <c r="N119" s="1">
        <v>4867</v>
      </c>
      <c r="O119" s="2">
        <v>46035.371921296297</v>
      </c>
      <c r="P119" s="1"/>
      <c r="Q119" s="1"/>
      <c r="R119" s="1"/>
    </row>
    <row r="120" spans="1:18" x14ac:dyDescent="0.3">
      <c r="A120" s="1">
        <v>3322</v>
      </c>
      <c r="B120" s="1"/>
      <c r="C120" s="1">
        <v>3439</v>
      </c>
      <c r="D120" s="1">
        <v>9</v>
      </c>
      <c r="E120" s="1">
        <v>-236</v>
      </c>
      <c r="F120" s="1">
        <v>4084</v>
      </c>
      <c r="G120" s="1" t="s">
        <v>113</v>
      </c>
      <c r="H120" s="1">
        <v>1</v>
      </c>
      <c r="I120" s="1"/>
      <c r="J120" s="1"/>
      <c r="K120" s="2">
        <v>46027.499895833331</v>
      </c>
      <c r="L120" s="2">
        <v>46027.499895833331</v>
      </c>
      <c r="M120" s="1"/>
      <c r="N120" s="1"/>
      <c r="O120" s="1"/>
      <c r="P120" s="1">
        <v>13</v>
      </c>
      <c r="Q120" s="1" t="s">
        <v>32</v>
      </c>
      <c r="R120" s="1" t="s">
        <v>165</v>
      </c>
    </row>
    <row r="121" spans="1:18" x14ac:dyDescent="0.3">
      <c r="A121" s="1">
        <v>3321</v>
      </c>
      <c r="B121" s="1">
        <v>3141</v>
      </c>
      <c r="C121" s="1">
        <v>3630</v>
      </c>
      <c r="D121" s="1">
        <v>5</v>
      </c>
      <c r="E121" s="1">
        <v>-885</v>
      </c>
      <c r="F121" s="1">
        <v>4084</v>
      </c>
      <c r="G121" s="1" t="s">
        <v>93</v>
      </c>
      <c r="H121" s="1">
        <v>1</v>
      </c>
      <c r="I121" s="1"/>
      <c r="J121" s="1"/>
      <c r="K121" s="2">
        <v>46027.452800925923</v>
      </c>
      <c r="L121" s="2">
        <v>46027.510682870372</v>
      </c>
      <c r="M121" s="1"/>
      <c r="N121" s="1"/>
      <c r="O121" s="1"/>
      <c r="P121" s="1">
        <v>3</v>
      </c>
      <c r="Q121" s="1" t="s">
        <v>45</v>
      </c>
      <c r="R121" s="1" t="s">
        <v>166</v>
      </c>
    </row>
    <row r="122" spans="1:18" x14ac:dyDescent="0.3">
      <c r="A122" s="1">
        <v>3320</v>
      </c>
      <c r="B122" s="1">
        <v>3141</v>
      </c>
      <c r="C122" s="1">
        <v>3630</v>
      </c>
      <c r="D122" s="1">
        <v>20</v>
      </c>
      <c r="E122" s="1">
        <v>-472</v>
      </c>
      <c r="F122" s="1">
        <v>2584</v>
      </c>
      <c r="G122" s="1" t="s">
        <v>114</v>
      </c>
      <c r="H122" s="1">
        <v>1</v>
      </c>
      <c r="I122" s="1"/>
      <c r="J122" s="1"/>
      <c r="K122" s="2">
        <v>46027.380115740743</v>
      </c>
      <c r="L122" s="2">
        <v>46027.510682870372</v>
      </c>
      <c r="M122" s="1"/>
      <c r="N122" s="1"/>
      <c r="O122" s="1"/>
      <c r="P122" s="1">
        <v>15</v>
      </c>
      <c r="Q122" s="1" t="s">
        <v>10</v>
      </c>
      <c r="R122" s="1" t="s">
        <v>163</v>
      </c>
    </row>
    <row r="123" spans="1:18" x14ac:dyDescent="0.3">
      <c r="A123" s="1">
        <v>3319</v>
      </c>
      <c r="B123" s="1">
        <v>3141</v>
      </c>
      <c r="C123" s="1">
        <v>3630</v>
      </c>
      <c r="D123" s="1">
        <v>19</v>
      </c>
      <c r="E123" s="1">
        <v>-849</v>
      </c>
      <c r="F123" s="1">
        <v>2584</v>
      </c>
      <c r="G123" s="1" t="s">
        <v>115</v>
      </c>
      <c r="H123" s="1">
        <v>1</v>
      </c>
      <c r="I123" s="1"/>
      <c r="J123" s="1"/>
      <c r="K123" s="2">
        <v>46027.379745370374</v>
      </c>
      <c r="L123" s="2">
        <v>46027.510682870372</v>
      </c>
      <c r="M123" s="1"/>
      <c r="N123" s="1"/>
      <c r="O123" s="1"/>
      <c r="P123" s="1">
        <v>14</v>
      </c>
      <c r="Q123" s="1" t="s">
        <v>8</v>
      </c>
      <c r="R123" s="1" t="s">
        <v>163</v>
      </c>
    </row>
    <row r="124" spans="1:18" x14ac:dyDescent="0.3">
      <c r="A124" s="1">
        <v>3318</v>
      </c>
      <c r="B124" s="1"/>
      <c r="C124" s="1">
        <v>3608</v>
      </c>
      <c r="D124" s="1">
        <v>4</v>
      </c>
      <c r="E124" s="1">
        <v>-3540</v>
      </c>
      <c r="F124" s="1">
        <v>4084</v>
      </c>
      <c r="G124" s="1" t="s">
        <v>116</v>
      </c>
      <c r="H124" s="1">
        <v>1</v>
      </c>
      <c r="I124" s="1"/>
      <c r="J124" s="1"/>
      <c r="K124" s="2">
        <v>46025.490844907406</v>
      </c>
      <c r="L124" s="2">
        <v>46025.490844907406</v>
      </c>
      <c r="M124" s="1"/>
      <c r="N124" s="1"/>
      <c r="O124" s="1"/>
      <c r="P124" s="1">
        <v>4</v>
      </c>
      <c r="Q124" s="1" t="s">
        <v>21</v>
      </c>
      <c r="R124" s="1" t="s">
        <v>164</v>
      </c>
    </row>
    <row r="125" spans="1:18" x14ac:dyDescent="0.3">
      <c r="A125" s="1">
        <v>3317</v>
      </c>
      <c r="B125" s="1"/>
      <c r="C125" s="1">
        <v>3608</v>
      </c>
      <c r="D125" s="1">
        <v>4</v>
      </c>
      <c r="E125" s="1">
        <v>-3540</v>
      </c>
      <c r="F125" s="1">
        <v>4084</v>
      </c>
      <c r="G125" s="1" t="s">
        <v>117</v>
      </c>
      <c r="H125" s="1">
        <v>1</v>
      </c>
      <c r="I125" s="1"/>
      <c r="J125" s="1"/>
      <c r="K125" s="2">
        <v>46025.490115740744</v>
      </c>
      <c r="L125" s="2">
        <v>46025.490115740744</v>
      </c>
      <c r="M125" s="1"/>
      <c r="N125" s="1"/>
      <c r="O125" s="1"/>
      <c r="P125" s="1">
        <v>4</v>
      </c>
      <c r="Q125" s="1" t="s">
        <v>21</v>
      </c>
      <c r="R125" s="1" t="s">
        <v>164</v>
      </c>
    </row>
    <row r="126" spans="1:18" x14ac:dyDescent="0.3">
      <c r="A126" s="1">
        <v>3316</v>
      </c>
      <c r="B126" s="1">
        <v>3189</v>
      </c>
      <c r="C126" s="1">
        <v>3502</v>
      </c>
      <c r="D126" s="1">
        <v>7</v>
      </c>
      <c r="E126" s="1">
        <v>-23845</v>
      </c>
      <c r="F126" s="1">
        <v>780</v>
      </c>
      <c r="G126" s="1" t="s">
        <v>118</v>
      </c>
      <c r="H126" s="1">
        <v>1</v>
      </c>
      <c r="I126" s="1"/>
      <c r="J126" s="1"/>
      <c r="K126" s="2">
        <v>46024.729375000003</v>
      </c>
      <c r="L126" s="2">
        <v>46037.728888888887</v>
      </c>
      <c r="M126" s="1">
        <v>1</v>
      </c>
      <c r="N126" s="1">
        <v>4084</v>
      </c>
      <c r="O126" s="2">
        <v>46037.72724537037</v>
      </c>
      <c r="P126" s="1"/>
      <c r="Q126" s="1"/>
      <c r="R126" s="1"/>
    </row>
    <row r="127" spans="1:18" x14ac:dyDescent="0.3">
      <c r="A127" s="1">
        <v>3315</v>
      </c>
      <c r="B127" s="1">
        <v>3189</v>
      </c>
      <c r="C127" s="1">
        <v>3502</v>
      </c>
      <c r="D127" s="1">
        <v>18</v>
      </c>
      <c r="E127" s="1">
        <v>-1055.1400000000001</v>
      </c>
      <c r="F127" s="1">
        <v>780</v>
      </c>
      <c r="G127" s="1" t="s">
        <v>119</v>
      </c>
      <c r="H127" s="1">
        <v>1</v>
      </c>
      <c r="I127" s="1"/>
      <c r="J127" s="1"/>
      <c r="K127" s="2">
        <v>46024.728298611109</v>
      </c>
      <c r="L127" s="2">
        <v>46037.728888888887</v>
      </c>
      <c r="M127" s="1">
        <v>1</v>
      </c>
      <c r="N127" s="1">
        <v>4084</v>
      </c>
      <c r="O127" s="2">
        <v>46037.727175925924</v>
      </c>
      <c r="P127" s="1">
        <v>12</v>
      </c>
      <c r="Q127" s="1" t="s">
        <v>120</v>
      </c>
      <c r="R127" s="1" t="s">
        <v>165</v>
      </c>
    </row>
    <row r="128" spans="1:18" x14ac:dyDescent="0.3">
      <c r="A128" s="1">
        <v>3314</v>
      </c>
      <c r="B128" s="1">
        <v>3133</v>
      </c>
      <c r="C128" s="1">
        <v>3522</v>
      </c>
      <c r="D128" s="1">
        <v>4</v>
      </c>
      <c r="E128" s="1">
        <v>-590</v>
      </c>
      <c r="F128" s="1">
        <v>4084</v>
      </c>
      <c r="G128" s="1" t="s">
        <v>43</v>
      </c>
      <c r="H128" s="1">
        <v>1</v>
      </c>
      <c r="I128" s="1"/>
      <c r="J128" s="1"/>
      <c r="K128" s="2">
        <v>46024.612453703703</v>
      </c>
      <c r="L128" s="2">
        <v>46025.445590277777</v>
      </c>
      <c r="M128" s="1"/>
      <c r="N128" s="1"/>
      <c r="O128" s="1"/>
      <c r="P128" s="1">
        <v>4</v>
      </c>
      <c r="Q128" s="1" t="s">
        <v>21</v>
      </c>
      <c r="R128" s="1" t="s">
        <v>164</v>
      </c>
    </row>
    <row r="129" spans="1:18" x14ac:dyDescent="0.3">
      <c r="A129" s="1">
        <v>3313</v>
      </c>
      <c r="B129" s="1">
        <v>3147</v>
      </c>
      <c r="C129" s="1">
        <v>3633</v>
      </c>
      <c r="D129" s="1">
        <v>14</v>
      </c>
      <c r="E129" s="1">
        <v>-28.91</v>
      </c>
      <c r="F129" s="1">
        <v>4084</v>
      </c>
      <c r="G129" s="1" t="s">
        <v>121</v>
      </c>
      <c r="H129" s="1">
        <v>1</v>
      </c>
      <c r="I129" s="1"/>
      <c r="J129" s="1"/>
      <c r="K129" s="2">
        <v>46024.600046296298</v>
      </c>
      <c r="L129" s="2">
        <v>46030.746504629627</v>
      </c>
      <c r="M129" s="1"/>
      <c r="N129" s="1"/>
      <c r="O129" s="1"/>
      <c r="P129" s="1">
        <v>5</v>
      </c>
      <c r="Q129" s="1" t="s">
        <v>3</v>
      </c>
      <c r="R129" s="1" t="s">
        <v>163</v>
      </c>
    </row>
    <row r="130" spans="1:18" x14ac:dyDescent="0.3">
      <c r="A130" s="1">
        <v>3310</v>
      </c>
      <c r="B130" s="1">
        <v>3108</v>
      </c>
      <c r="C130" s="1">
        <v>3592</v>
      </c>
      <c r="D130" s="1">
        <v>4</v>
      </c>
      <c r="E130" s="1">
        <v>-590</v>
      </c>
      <c r="F130" s="1">
        <v>4084</v>
      </c>
      <c r="G130" s="1" t="s">
        <v>43</v>
      </c>
      <c r="H130" s="1">
        <v>1</v>
      </c>
      <c r="I130" s="1"/>
      <c r="J130" s="1"/>
      <c r="K130" s="2">
        <v>46024.563564814816</v>
      </c>
      <c r="L130" s="2">
        <v>46024.564965277779</v>
      </c>
      <c r="M130" s="1"/>
      <c r="N130" s="1"/>
      <c r="O130" s="1"/>
      <c r="P130" s="1">
        <v>4</v>
      </c>
      <c r="Q130" s="1" t="s">
        <v>21</v>
      </c>
      <c r="R130" s="1" t="s">
        <v>164</v>
      </c>
    </row>
    <row r="131" spans="1:18" x14ac:dyDescent="0.3">
      <c r="A131" s="1">
        <v>3307</v>
      </c>
      <c r="B131" s="1">
        <v>3145</v>
      </c>
      <c r="C131" s="1">
        <v>3500</v>
      </c>
      <c r="D131" s="1">
        <v>4</v>
      </c>
      <c r="E131" s="1">
        <v>-590</v>
      </c>
      <c r="F131" s="1">
        <v>4084</v>
      </c>
      <c r="G131" s="1" t="s">
        <v>43</v>
      </c>
      <c r="H131" s="1">
        <v>1</v>
      </c>
      <c r="I131" s="1"/>
      <c r="J131" s="1"/>
      <c r="K131" s="2">
        <v>46024.531712962962</v>
      </c>
      <c r="L131" s="2">
        <v>46029.504513888889</v>
      </c>
      <c r="M131" s="1"/>
      <c r="N131" s="1"/>
      <c r="O131" s="1"/>
      <c r="P131" s="1">
        <v>4</v>
      </c>
      <c r="Q131" s="1" t="s">
        <v>21</v>
      </c>
      <c r="R131" s="1" t="s">
        <v>164</v>
      </c>
    </row>
    <row r="132" spans="1:18" x14ac:dyDescent="0.3">
      <c r="A132" s="1">
        <v>3306</v>
      </c>
      <c r="B132" s="1">
        <v>3145</v>
      </c>
      <c r="C132" s="1">
        <v>3500</v>
      </c>
      <c r="D132" s="1">
        <v>4</v>
      </c>
      <c r="E132" s="1">
        <v>-7080</v>
      </c>
      <c r="F132" s="1">
        <v>4084</v>
      </c>
      <c r="G132" s="1" t="s">
        <v>43</v>
      </c>
      <c r="H132" s="1">
        <v>1</v>
      </c>
      <c r="I132" s="1"/>
      <c r="J132" s="1"/>
      <c r="K132" s="2">
        <v>46024.531435185185</v>
      </c>
      <c r="L132" s="2">
        <v>46029.504513888889</v>
      </c>
      <c r="M132" s="1"/>
      <c r="N132" s="1"/>
      <c r="O132" s="1"/>
      <c r="P132" s="1">
        <v>4</v>
      </c>
      <c r="Q132" s="1" t="s">
        <v>21</v>
      </c>
      <c r="R132" s="1" t="s">
        <v>164</v>
      </c>
    </row>
    <row r="133" spans="1:18" x14ac:dyDescent="0.3">
      <c r="A133" s="1">
        <v>3305</v>
      </c>
      <c r="B133" s="1">
        <v>3145</v>
      </c>
      <c r="C133" s="1">
        <v>3500</v>
      </c>
      <c r="D133" s="1">
        <v>4</v>
      </c>
      <c r="E133" s="1">
        <v>-1770</v>
      </c>
      <c r="F133" s="1">
        <v>4084</v>
      </c>
      <c r="G133" s="1" t="s">
        <v>43</v>
      </c>
      <c r="H133" s="1">
        <v>1</v>
      </c>
      <c r="I133" s="1"/>
      <c r="J133" s="1"/>
      <c r="K133" s="2">
        <v>46024.531064814815</v>
      </c>
      <c r="L133" s="2">
        <v>46029.504513888889</v>
      </c>
      <c r="M133" s="1"/>
      <c r="N133" s="1"/>
      <c r="O133" s="1"/>
      <c r="P133" s="1">
        <v>4</v>
      </c>
      <c r="Q133" s="1" t="s">
        <v>21</v>
      </c>
      <c r="R133" s="1" t="s">
        <v>164</v>
      </c>
    </row>
    <row r="134" spans="1:18" x14ac:dyDescent="0.3">
      <c r="A134" s="1">
        <v>3304</v>
      </c>
      <c r="B134" s="1"/>
      <c r="C134" s="1">
        <v>3539</v>
      </c>
      <c r="D134" s="1">
        <v>7</v>
      </c>
      <c r="E134" s="1">
        <v>-59</v>
      </c>
      <c r="F134" s="1">
        <v>1141</v>
      </c>
      <c r="G134" s="1" t="s">
        <v>122</v>
      </c>
      <c r="H134" s="1">
        <v>1</v>
      </c>
      <c r="I134" s="1"/>
      <c r="J134" s="1"/>
      <c r="K134" s="2">
        <v>46024.516585648147</v>
      </c>
      <c r="L134" s="2">
        <v>46024.516585648147</v>
      </c>
      <c r="M134" s="1"/>
      <c r="N134" s="1"/>
      <c r="O134" s="1"/>
      <c r="P134" s="1"/>
      <c r="Q134" s="1"/>
      <c r="R134" s="1"/>
    </row>
    <row r="135" spans="1:18" x14ac:dyDescent="0.3">
      <c r="A135" s="1">
        <v>3303</v>
      </c>
      <c r="B135" s="1">
        <v>3133</v>
      </c>
      <c r="C135" s="1">
        <v>3522</v>
      </c>
      <c r="D135" s="1">
        <v>5</v>
      </c>
      <c r="E135" s="1">
        <v>-177</v>
      </c>
      <c r="F135" s="1">
        <v>4084</v>
      </c>
      <c r="G135" s="1" t="s">
        <v>123</v>
      </c>
      <c r="H135" s="1">
        <v>1</v>
      </c>
      <c r="I135" s="1"/>
      <c r="J135" s="1"/>
      <c r="K135" s="2">
        <v>46024.493113425924</v>
      </c>
      <c r="L135" s="2">
        <v>46025.445590277777</v>
      </c>
      <c r="M135" s="1"/>
      <c r="N135" s="1"/>
      <c r="O135" s="1"/>
      <c r="P135" s="1">
        <v>3</v>
      </c>
      <c r="Q135" s="1" t="s">
        <v>45</v>
      </c>
      <c r="R135" s="1" t="s">
        <v>166</v>
      </c>
    </row>
    <row r="136" spans="1:18" x14ac:dyDescent="0.3">
      <c r="A136" s="1">
        <v>3302</v>
      </c>
      <c r="B136" s="1">
        <v>3135</v>
      </c>
      <c r="C136" s="1">
        <v>3588</v>
      </c>
      <c r="D136" s="1">
        <v>5</v>
      </c>
      <c r="E136" s="1">
        <v>-531</v>
      </c>
      <c r="F136" s="1">
        <v>4084</v>
      </c>
      <c r="G136" s="1" t="s">
        <v>124</v>
      </c>
      <c r="H136" s="1">
        <v>1</v>
      </c>
      <c r="I136" s="1"/>
      <c r="J136" s="1"/>
      <c r="K136" s="2">
        <v>46024.469976851855</v>
      </c>
      <c r="L136" s="2">
        <v>46025.559525462966</v>
      </c>
      <c r="M136" s="1"/>
      <c r="N136" s="1"/>
      <c r="O136" s="1"/>
      <c r="P136" s="1">
        <v>3</v>
      </c>
      <c r="Q136" s="1" t="s">
        <v>45</v>
      </c>
      <c r="R136" s="1" t="s">
        <v>166</v>
      </c>
    </row>
    <row r="137" spans="1:18" x14ac:dyDescent="0.3">
      <c r="A137" s="1">
        <v>3301</v>
      </c>
      <c r="B137" s="1">
        <v>3108</v>
      </c>
      <c r="C137" s="1">
        <v>3592</v>
      </c>
      <c r="D137" s="1">
        <v>5</v>
      </c>
      <c r="E137" s="1">
        <v>-177</v>
      </c>
      <c r="F137" s="1">
        <v>4084</v>
      </c>
      <c r="G137" s="1" t="s">
        <v>123</v>
      </c>
      <c r="H137" s="1">
        <v>1</v>
      </c>
      <c r="I137" s="1"/>
      <c r="J137" s="1"/>
      <c r="K137" s="2">
        <v>46024.469293981485</v>
      </c>
      <c r="L137" s="2">
        <v>46024.564965277779</v>
      </c>
      <c r="M137" s="1"/>
      <c r="N137" s="1"/>
      <c r="O137" s="1"/>
      <c r="P137" s="1">
        <v>3</v>
      </c>
      <c r="Q137" s="1" t="s">
        <v>45</v>
      </c>
      <c r="R137" s="1" t="s">
        <v>166</v>
      </c>
    </row>
    <row r="138" spans="1:18" x14ac:dyDescent="0.3">
      <c r="A138" s="1">
        <v>3300</v>
      </c>
      <c r="B138" s="1">
        <v>3131</v>
      </c>
      <c r="C138" s="1">
        <v>3599</v>
      </c>
      <c r="D138" s="1">
        <v>5</v>
      </c>
      <c r="E138" s="1">
        <v>-885</v>
      </c>
      <c r="F138" s="1">
        <v>4084</v>
      </c>
      <c r="G138" s="1" t="s">
        <v>93</v>
      </c>
      <c r="H138" s="1">
        <v>1</v>
      </c>
      <c r="I138" s="1"/>
      <c r="J138" s="1"/>
      <c r="K138" s="2">
        <v>46024.4684837963</v>
      </c>
      <c r="L138" s="2">
        <v>46025.398182870369</v>
      </c>
      <c r="M138" s="1"/>
      <c r="N138" s="1"/>
      <c r="O138" s="1"/>
      <c r="P138" s="1">
        <v>3</v>
      </c>
      <c r="Q138" s="1" t="s">
        <v>45</v>
      </c>
      <c r="R138" s="1" t="s">
        <v>166</v>
      </c>
    </row>
    <row r="139" spans="1:18" x14ac:dyDescent="0.3">
      <c r="A139" s="1">
        <v>3299</v>
      </c>
      <c r="B139" s="1">
        <v>3189</v>
      </c>
      <c r="C139" s="1">
        <v>3502</v>
      </c>
      <c r="D139" s="1">
        <v>16</v>
      </c>
      <c r="E139" s="1">
        <v>-472</v>
      </c>
      <c r="F139" s="1">
        <v>4084</v>
      </c>
      <c r="G139" s="1" t="s">
        <v>125</v>
      </c>
      <c r="H139" s="1">
        <v>1</v>
      </c>
      <c r="I139" s="1"/>
      <c r="J139" s="1"/>
      <c r="K139" s="2">
        <v>46024.467280092591</v>
      </c>
      <c r="L139" s="2">
        <v>46037.728888888887</v>
      </c>
      <c r="M139" s="1">
        <v>1</v>
      </c>
      <c r="N139" s="1">
        <v>780</v>
      </c>
      <c r="O139" s="2">
        <v>46037.727881944447</v>
      </c>
      <c r="P139" s="1">
        <v>10</v>
      </c>
      <c r="Q139" s="1" t="s">
        <v>126</v>
      </c>
      <c r="R139" s="1" t="s">
        <v>166</v>
      </c>
    </row>
    <row r="140" spans="1:18" x14ac:dyDescent="0.3">
      <c r="A140" s="1">
        <v>3298</v>
      </c>
      <c r="B140" s="1">
        <v>3145</v>
      </c>
      <c r="C140" s="1">
        <v>3500</v>
      </c>
      <c r="D140" s="1">
        <v>5</v>
      </c>
      <c r="E140" s="1">
        <v>-708</v>
      </c>
      <c r="F140" s="1">
        <v>4084</v>
      </c>
      <c r="G140" s="1" t="s">
        <v>59</v>
      </c>
      <c r="H140" s="1">
        <v>1</v>
      </c>
      <c r="I140" s="1"/>
      <c r="J140" s="1"/>
      <c r="K140" s="2">
        <v>46024.464988425927</v>
      </c>
      <c r="L140" s="2">
        <v>46029.504513888889</v>
      </c>
      <c r="M140" s="1"/>
      <c r="N140" s="1"/>
      <c r="O140" s="1"/>
      <c r="P140" s="1">
        <v>3</v>
      </c>
      <c r="Q140" s="1" t="s">
        <v>45</v>
      </c>
      <c r="R140" s="1" t="s">
        <v>166</v>
      </c>
    </row>
    <row r="141" spans="1:18" x14ac:dyDescent="0.3">
      <c r="A141" s="1">
        <v>3297</v>
      </c>
      <c r="B141" s="1">
        <v>3136</v>
      </c>
      <c r="C141" s="1">
        <v>3547</v>
      </c>
      <c r="D141" s="1">
        <v>5</v>
      </c>
      <c r="E141" s="1">
        <v>-354</v>
      </c>
      <c r="F141" s="1">
        <v>4084</v>
      </c>
      <c r="G141" s="1" t="s">
        <v>127</v>
      </c>
      <c r="H141" s="1">
        <v>1</v>
      </c>
      <c r="I141" s="1"/>
      <c r="J141" s="1"/>
      <c r="K141" s="2">
        <v>46024.464317129627</v>
      </c>
      <c r="L141" s="2">
        <v>46027.442673611113</v>
      </c>
      <c r="M141" s="1"/>
      <c r="N141" s="1"/>
      <c r="O141" s="1"/>
      <c r="P141" s="1">
        <v>3</v>
      </c>
      <c r="Q141" s="1" t="s">
        <v>45</v>
      </c>
      <c r="R141" s="1" t="s">
        <v>166</v>
      </c>
    </row>
    <row r="142" spans="1:18" x14ac:dyDescent="0.3">
      <c r="A142" s="1">
        <v>3296</v>
      </c>
      <c r="B142" s="1">
        <v>3090</v>
      </c>
      <c r="C142" s="1">
        <v>3540</v>
      </c>
      <c r="D142" s="1">
        <v>5</v>
      </c>
      <c r="E142" s="1">
        <v>-177</v>
      </c>
      <c r="F142" s="1">
        <v>4084</v>
      </c>
      <c r="G142" s="1" t="s">
        <v>128</v>
      </c>
      <c r="H142" s="1">
        <v>1</v>
      </c>
      <c r="I142" s="1"/>
      <c r="J142" s="1"/>
      <c r="K142" s="2">
        <v>46024.462233796294</v>
      </c>
      <c r="L142" s="2">
        <v>46024.51059027778</v>
      </c>
      <c r="M142" s="1"/>
      <c r="N142" s="1"/>
      <c r="O142" s="1"/>
      <c r="P142" s="1">
        <v>3</v>
      </c>
      <c r="Q142" s="1" t="s">
        <v>45</v>
      </c>
      <c r="R142" s="1" t="s">
        <v>166</v>
      </c>
    </row>
    <row r="143" spans="1:18" x14ac:dyDescent="0.3">
      <c r="A143" s="1">
        <v>3295</v>
      </c>
      <c r="B143" s="1">
        <v>3134</v>
      </c>
      <c r="C143" s="1">
        <v>3537</v>
      </c>
      <c r="D143" s="1">
        <v>1</v>
      </c>
      <c r="E143" s="1">
        <v>-25000</v>
      </c>
      <c r="F143" s="1">
        <v>780</v>
      </c>
      <c r="G143" s="1" t="s">
        <v>129</v>
      </c>
      <c r="H143" s="1">
        <v>1</v>
      </c>
      <c r="I143" s="1"/>
      <c r="J143" s="1"/>
      <c r="K143" s="2">
        <v>46024.443888888891</v>
      </c>
      <c r="L143" s="2">
        <v>46025.516064814816</v>
      </c>
      <c r="M143" s="1"/>
      <c r="N143" s="1"/>
      <c r="O143" s="1"/>
      <c r="P143" s="1"/>
      <c r="Q143" s="1"/>
      <c r="R143" s="1"/>
    </row>
    <row r="144" spans="1:18" x14ac:dyDescent="0.3">
      <c r="A144" s="1">
        <v>3294</v>
      </c>
      <c r="B144" s="1">
        <v>3096</v>
      </c>
      <c r="C144" s="1">
        <v>3503</v>
      </c>
      <c r="D144" s="1">
        <v>5</v>
      </c>
      <c r="E144" s="1">
        <v>-177</v>
      </c>
      <c r="F144" s="1">
        <v>4084</v>
      </c>
      <c r="G144" s="1" t="s">
        <v>128</v>
      </c>
      <c r="H144" s="1">
        <v>1</v>
      </c>
      <c r="I144" s="1"/>
      <c r="J144" s="1"/>
      <c r="K144" s="2">
        <v>46024.440347222226</v>
      </c>
      <c r="L144" s="2">
        <v>46024.529039351852</v>
      </c>
      <c r="M144" s="1"/>
      <c r="N144" s="1"/>
      <c r="O144" s="1"/>
      <c r="P144" s="1">
        <v>3</v>
      </c>
      <c r="Q144" s="1" t="s">
        <v>45</v>
      </c>
      <c r="R144" s="1" t="s">
        <v>166</v>
      </c>
    </row>
    <row r="145" spans="1:18" x14ac:dyDescent="0.3">
      <c r="A145" s="1">
        <v>3293</v>
      </c>
      <c r="B145" s="1">
        <v>3100</v>
      </c>
      <c r="C145" s="1">
        <v>3474</v>
      </c>
      <c r="D145" s="1">
        <v>5</v>
      </c>
      <c r="E145" s="1">
        <v>-708</v>
      </c>
      <c r="F145" s="1">
        <v>4084</v>
      </c>
      <c r="G145" s="1" t="s">
        <v>59</v>
      </c>
      <c r="H145" s="1">
        <v>1</v>
      </c>
      <c r="I145" s="1"/>
      <c r="J145" s="1"/>
      <c r="K145" s="2">
        <v>46024.439108796294</v>
      </c>
      <c r="L145" s="2">
        <v>46024.539826388886</v>
      </c>
      <c r="M145" s="1"/>
      <c r="N145" s="1"/>
      <c r="O145" s="1"/>
      <c r="P145" s="1">
        <v>3</v>
      </c>
      <c r="Q145" s="1" t="s">
        <v>45</v>
      </c>
      <c r="R145" s="1" t="s">
        <v>166</v>
      </c>
    </row>
    <row r="146" spans="1:18" x14ac:dyDescent="0.3">
      <c r="A146" s="1">
        <v>3292</v>
      </c>
      <c r="B146" s="1">
        <v>3088</v>
      </c>
      <c r="C146" s="1">
        <v>3550</v>
      </c>
      <c r="D146" s="1">
        <v>5</v>
      </c>
      <c r="E146" s="1">
        <v>-354</v>
      </c>
      <c r="F146" s="1">
        <v>4084</v>
      </c>
      <c r="G146" s="1" t="s">
        <v>127</v>
      </c>
      <c r="H146" s="1">
        <v>1</v>
      </c>
      <c r="I146" s="1"/>
      <c r="J146" s="1"/>
      <c r="K146" s="2">
        <v>46024.437905092593</v>
      </c>
      <c r="L146" s="2">
        <v>46024.503460648149</v>
      </c>
      <c r="M146" s="1"/>
      <c r="N146" s="1"/>
      <c r="O146" s="1"/>
      <c r="P146" s="1">
        <v>3</v>
      </c>
      <c r="Q146" s="1" t="s">
        <v>45</v>
      </c>
      <c r="R146" s="1" t="s">
        <v>166</v>
      </c>
    </row>
    <row r="147" spans="1:18" x14ac:dyDescent="0.3">
      <c r="A147" s="1">
        <v>3291</v>
      </c>
      <c r="B147" s="1">
        <v>3189</v>
      </c>
      <c r="C147" s="1">
        <v>3502</v>
      </c>
      <c r="D147" s="1">
        <v>14</v>
      </c>
      <c r="E147" s="1">
        <v>-53.1</v>
      </c>
      <c r="F147" s="1">
        <v>2584</v>
      </c>
      <c r="G147" s="1" t="s">
        <v>130</v>
      </c>
      <c r="H147" s="1">
        <v>1</v>
      </c>
      <c r="I147" s="1"/>
      <c r="J147" s="1"/>
      <c r="K147" s="2">
        <v>46024.424328703702</v>
      </c>
      <c r="L147" s="2">
        <v>46037.728888888887</v>
      </c>
      <c r="M147" s="1">
        <v>1</v>
      </c>
      <c r="N147" s="1">
        <v>4084</v>
      </c>
      <c r="O147" s="2">
        <v>46037.727071759262</v>
      </c>
      <c r="P147" s="1">
        <v>5</v>
      </c>
      <c r="Q147" s="1" t="s">
        <v>3</v>
      </c>
      <c r="R147" s="1" t="s">
        <v>163</v>
      </c>
    </row>
    <row r="148" spans="1:18" x14ac:dyDescent="0.3">
      <c r="A148" s="1">
        <v>3290</v>
      </c>
      <c r="B148" s="1">
        <v>3189</v>
      </c>
      <c r="C148" s="1">
        <v>3502</v>
      </c>
      <c r="D148" s="1">
        <v>19</v>
      </c>
      <c r="E148" s="1">
        <v>-1062</v>
      </c>
      <c r="F148" s="1">
        <v>2584</v>
      </c>
      <c r="G148" s="1" t="s">
        <v>131</v>
      </c>
      <c r="H148" s="1">
        <v>1</v>
      </c>
      <c r="I148" s="1"/>
      <c r="J148" s="1"/>
      <c r="K148" s="2">
        <v>46024.424027777779</v>
      </c>
      <c r="L148" s="2">
        <v>46037.728888888887</v>
      </c>
      <c r="M148" s="1">
        <v>1</v>
      </c>
      <c r="N148" s="1">
        <v>4084</v>
      </c>
      <c r="O148" s="2">
        <v>46037.727013888885</v>
      </c>
      <c r="P148" s="1">
        <v>14</v>
      </c>
      <c r="Q148" s="1" t="s">
        <v>8</v>
      </c>
      <c r="R148" s="1" t="s">
        <v>163</v>
      </c>
    </row>
    <row r="149" spans="1:18" x14ac:dyDescent="0.3">
      <c r="A149" s="1">
        <v>3289</v>
      </c>
      <c r="B149" s="1">
        <v>3189</v>
      </c>
      <c r="C149" s="1">
        <v>3502</v>
      </c>
      <c r="D149" s="1">
        <v>19</v>
      </c>
      <c r="E149" s="1">
        <v>-590</v>
      </c>
      <c r="F149" s="1">
        <v>2584</v>
      </c>
      <c r="G149" s="1" t="s">
        <v>132</v>
      </c>
      <c r="H149" s="1">
        <v>1</v>
      </c>
      <c r="I149" s="1"/>
      <c r="J149" s="1"/>
      <c r="K149" s="2">
        <v>46024.418240740742</v>
      </c>
      <c r="L149" s="2">
        <v>46037.728888888887</v>
      </c>
      <c r="M149" s="1">
        <v>1</v>
      </c>
      <c r="N149" s="1">
        <v>4084</v>
      </c>
      <c r="O149" s="2">
        <v>46037.726921296293</v>
      </c>
      <c r="P149" s="1">
        <v>14</v>
      </c>
      <c r="Q149" s="1" t="s">
        <v>8</v>
      </c>
      <c r="R149" s="1" t="s">
        <v>163</v>
      </c>
    </row>
    <row r="150" spans="1:18" x14ac:dyDescent="0.3">
      <c r="A150" s="1">
        <v>3288</v>
      </c>
      <c r="B150" s="1">
        <v>3189</v>
      </c>
      <c r="C150" s="1">
        <v>3502</v>
      </c>
      <c r="D150" s="1">
        <v>20</v>
      </c>
      <c r="E150" s="1">
        <v>-472</v>
      </c>
      <c r="F150" s="1">
        <v>2584</v>
      </c>
      <c r="G150" s="1" t="s">
        <v>133</v>
      </c>
      <c r="H150" s="1">
        <v>1</v>
      </c>
      <c r="I150" s="1"/>
      <c r="J150" s="1"/>
      <c r="K150" s="2">
        <v>46024.418043981481</v>
      </c>
      <c r="L150" s="2">
        <v>46037.728888888887</v>
      </c>
      <c r="M150" s="1">
        <v>1</v>
      </c>
      <c r="N150" s="1">
        <v>4084</v>
      </c>
      <c r="O150" s="2">
        <v>46037.726863425924</v>
      </c>
      <c r="P150" s="1">
        <v>15</v>
      </c>
      <c r="Q150" s="1" t="s">
        <v>10</v>
      </c>
      <c r="R150" s="1" t="s">
        <v>163</v>
      </c>
    </row>
    <row r="151" spans="1:18" x14ac:dyDescent="0.3">
      <c r="A151" s="1">
        <v>3287</v>
      </c>
      <c r="B151" s="1">
        <v>3100</v>
      </c>
      <c r="C151" s="1">
        <v>3474</v>
      </c>
      <c r="D151" s="1">
        <v>1</v>
      </c>
      <c r="E151" s="1">
        <v>-2640</v>
      </c>
      <c r="F151" s="1">
        <v>1141</v>
      </c>
      <c r="G151" s="1" t="s">
        <v>134</v>
      </c>
      <c r="H151" s="1">
        <v>1</v>
      </c>
      <c r="I151" s="1"/>
      <c r="J151" s="1"/>
      <c r="K151" s="2">
        <v>46024.388599537036</v>
      </c>
      <c r="L151" s="2">
        <v>46024.539826388886</v>
      </c>
      <c r="M151" s="1"/>
      <c r="N151" s="1"/>
      <c r="O151" s="1"/>
      <c r="P151" s="1"/>
      <c r="Q151" s="1"/>
      <c r="R151" s="1"/>
    </row>
    <row r="152" spans="1:18" x14ac:dyDescent="0.3">
      <c r="A152" s="1">
        <v>3286</v>
      </c>
      <c r="B152" s="1">
        <v>3120</v>
      </c>
      <c r="C152" s="1">
        <v>3604</v>
      </c>
      <c r="D152" s="1">
        <v>19</v>
      </c>
      <c r="E152" s="1">
        <v>-708</v>
      </c>
      <c r="F152" s="1">
        <v>1141</v>
      </c>
      <c r="G152" s="1" t="s">
        <v>135</v>
      </c>
      <c r="H152" s="1">
        <v>1</v>
      </c>
      <c r="I152" s="1"/>
      <c r="J152" s="1"/>
      <c r="K152" s="2">
        <v>46024.385949074072</v>
      </c>
      <c r="L152" s="2">
        <v>46024.634826388887</v>
      </c>
      <c r="M152" s="1"/>
      <c r="N152" s="1"/>
      <c r="O152" s="1"/>
      <c r="P152" s="1">
        <v>14</v>
      </c>
      <c r="Q152" s="1" t="s">
        <v>8</v>
      </c>
      <c r="R152" s="1" t="s">
        <v>163</v>
      </c>
    </row>
    <row r="153" spans="1:18" x14ac:dyDescent="0.3">
      <c r="A153" s="1">
        <v>3285</v>
      </c>
      <c r="B153" s="1">
        <v>3120</v>
      </c>
      <c r="C153" s="1">
        <v>3604</v>
      </c>
      <c r="D153" s="1">
        <v>20</v>
      </c>
      <c r="E153" s="1">
        <v>-1888</v>
      </c>
      <c r="F153" s="1">
        <v>1141</v>
      </c>
      <c r="G153" s="1" t="s">
        <v>136</v>
      </c>
      <c r="H153" s="1">
        <v>1</v>
      </c>
      <c r="I153" s="1"/>
      <c r="J153" s="1"/>
      <c r="K153" s="2">
        <v>46024.385682870372</v>
      </c>
      <c r="L153" s="2">
        <v>46024.634826388887</v>
      </c>
      <c r="M153" s="1"/>
      <c r="N153" s="1"/>
      <c r="O153" s="1"/>
      <c r="P153" s="1">
        <v>15</v>
      </c>
      <c r="Q153" s="1" t="s">
        <v>10</v>
      </c>
      <c r="R153" s="1" t="s">
        <v>163</v>
      </c>
    </row>
    <row r="154" spans="1:18" x14ac:dyDescent="0.3">
      <c r="A154" s="1">
        <v>3284</v>
      </c>
      <c r="B154" s="1">
        <v>3147</v>
      </c>
      <c r="C154" s="1">
        <v>3633</v>
      </c>
      <c r="D154" s="1">
        <v>20</v>
      </c>
      <c r="E154" s="1">
        <v>-944</v>
      </c>
      <c r="F154" s="1">
        <v>1141</v>
      </c>
      <c r="G154" s="1" t="s">
        <v>137</v>
      </c>
      <c r="H154" s="1">
        <v>1</v>
      </c>
      <c r="I154" s="1"/>
      <c r="J154" s="1"/>
      <c r="K154" s="2">
        <v>46024.375659722224</v>
      </c>
      <c r="L154" s="2">
        <v>46030.746504629627</v>
      </c>
      <c r="M154" s="1"/>
      <c r="N154" s="1"/>
      <c r="O154" s="1"/>
      <c r="P154" s="1">
        <v>15</v>
      </c>
      <c r="Q154" s="1" t="s">
        <v>10</v>
      </c>
      <c r="R154" s="1" t="s">
        <v>163</v>
      </c>
    </row>
    <row r="155" spans="1:18" x14ac:dyDescent="0.3">
      <c r="A155" s="1">
        <v>3283</v>
      </c>
      <c r="B155" s="1">
        <v>3147</v>
      </c>
      <c r="C155" s="1">
        <v>3633</v>
      </c>
      <c r="D155" s="1">
        <v>19</v>
      </c>
      <c r="E155" s="1">
        <v>-708</v>
      </c>
      <c r="F155" s="1">
        <v>1141</v>
      </c>
      <c r="G155" s="1" t="s">
        <v>138</v>
      </c>
      <c r="H155" s="1">
        <v>1</v>
      </c>
      <c r="I155" s="1"/>
      <c r="J155" s="1"/>
      <c r="K155" s="2">
        <v>46024.3753125</v>
      </c>
      <c r="L155" s="2">
        <v>46030.746504629627</v>
      </c>
      <c r="M155" s="1"/>
      <c r="N155" s="1"/>
      <c r="O155" s="1"/>
      <c r="P155" s="1">
        <v>14</v>
      </c>
      <c r="Q155" s="1" t="s">
        <v>8</v>
      </c>
      <c r="R155" s="1" t="s">
        <v>163</v>
      </c>
    </row>
    <row r="156" spans="1:18" x14ac:dyDescent="0.3">
      <c r="A156" s="1">
        <v>2775</v>
      </c>
      <c r="B156" s="1">
        <v>3134</v>
      </c>
      <c r="C156" s="1">
        <v>3537</v>
      </c>
      <c r="D156" s="1">
        <v>1</v>
      </c>
      <c r="E156" s="1">
        <v>-30000</v>
      </c>
      <c r="F156" s="1">
        <v>780</v>
      </c>
      <c r="G156" s="1" t="s">
        <v>139</v>
      </c>
      <c r="H156" s="1">
        <v>1</v>
      </c>
      <c r="I156" s="1"/>
      <c r="J156" s="1"/>
      <c r="K156" s="2">
        <v>46024.443888888891</v>
      </c>
      <c r="L156" s="2">
        <v>46025.516064814816</v>
      </c>
      <c r="M156" s="1"/>
      <c r="N156" s="1"/>
      <c r="O156" s="1"/>
      <c r="P156" s="1"/>
      <c r="Q156" s="1"/>
      <c r="R156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u201823368 (Zuñiga Cordova, Johan Poul Hugo)</dc:creator>
  <cp:lastModifiedBy>u201823368 (Zuñiga Cordova, Johan Poul Hugo)</cp:lastModifiedBy>
  <dcterms:created xsi:type="dcterms:W3CDTF">2026-02-05T23:55:58Z</dcterms:created>
  <dcterms:modified xsi:type="dcterms:W3CDTF">2026-02-06T05:14:41Z</dcterms:modified>
</cp:coreProperties>
</file>