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Informe Ventas y Egresos\"/>
    </mc:Choice>
  </mc:AlternateContent>
  <xr:revisionPtr revIDLastSave="0" documentId="8_{4D60192B-931F-4E45-969D-0A453BB26C51}" xr6:coauthVersionLast="47" xr6:coauthVersionMax="47" xr10:uidLastSave="{00000000-0000-0000-0000-000000000000}"/>
  <bookViews>
    <workbookView xWindow="20370" yWindow="-1485" windowWidth="29040" windowHeight="15720" xr2:uid="{B408284F-770A-49EB-A698-B9CBFC918E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8" i="1"/>
  <c r="C2" i="1"/>
</calcChain>
</file>

<file path=xl/sharedStrings.xml><?xml version="1.0" encoding="utf-8"?>
<sst xmlns="http://schemas.openxmlformats.org/spreadsheetml/2006/main" count="10" uniqueCount="10">
  <si>
    <t>costovent</t>
  </si>
  <si>
    <t>ventas si</t>
  </si>
  <si>
    <t>margen bruto</t>
  </si>
  <si>
    <t>margen ope</t>
  </si>
  <si>
    <t>pers</t>
  </si>
  <si>
    <t>adm</t>
  </si>
  <si>
    <t>mark</t>
  </si>
  <si>
    <t>comer</t>
  </si>
  <si>
    <t>oper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</si>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</sst>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AE0A-ABB9-4864-B762-EDC1A1A638F8}">
  <dimension ref="B2:C17"/>
  <sheetViews>
    <sheetView tabSelected="1" workbookViewId="0">
      <selection activeCell="E12" sqref="E12"/>
    </sheetView>
  </sheetViews>
  <sheetFormatPr baseColWidth="10" defaultRowHeight="15" x14ac:dyDescent="0.25"/>
  <cols>
    <col min="2" max="2" width="12.85546875" bestFit="1" customWidth="1"/>
    <col min="3" max="3" width="11.7109375" bestFit="1" customWidth="1"/>
  </cols>
  <sheetData>
    <row r="2" spans="2:3" x14ac:dyDescent="0.25">
      <c r="B2" t="s">
        <v>1</v>
      </c>
      <c r="C2">
        <f>+SUM(C3:C7)</f>
        <v>361701.8</v>
      </c>
    </row>
    <row r="3" spans="2:3" x14ac:dyDescent="0.25">
      <c r="C3">
        <v>198130.9</v>
      </c>
    </row>
    <row r="4" spans="2:3" x14ac:dyDescent="0.25">
      <c r="C4">
        <v>5550</v>
      </c>
    </row>
    <row r="5" spans="2:3" x14ac:dyDescent="0.25">
      <c r="C5">
        <v>69454.7</v>
      </c>
    </row>
    <row r="6" spans="2:3" x14ac:dyDescent="0.25">
      <c r="C6">
        <v>6507.4</v>
      </c>
    </row>
    <row r="7" spans="2:3" x14ac:dyDescent="0.25">
      <c r="C7">
        <v>82058.8</v>
      </c>
    </row>
    <row r="8" spans="2:3" x14ac:dyDescent="0.25">
      <c r="B8" t="s">
        <v>2</v>
      </c>
      <c r="C8">
        <f>+C2-C9</f>
        <v>-42534.299999999988</v>
      </c>
    </row>
    <row r="9" spans="2:3" x14ac:dyDescent="0.25">
      <c r="B9" t="s">
        <v>0</v>
      </c>
      <c r="C9">
        <v>404236.1</v>
      </c>
    </row>
    <row r="11" spans="2:3" x14ac:dyDescent="0.25">
      <c r="B11" t="s">
        <v>3</v>
      </c>
      <c r="C11" s="1">
        <f>+C8-SUM(C12:C17)</f>
        <v>-309399</v>
      </c>
    </row>
    <row r="12" spans="2:3" x14ac:dyDescent="0.25">
      <c r="B12" t="s">
        <v>4</v>
      </c>
      <c r="C12">
        <v>0</v>
      </c>
    </row>
    <row r="13" spans="2:3" x14ac:dyDescent="0.25">
      <c r="B13" t="s">
        <v>5</v>
      </c>
      <c r="C13">
        <v>85110.7</v>
      </c>
    </row>
    <row r="14" spans="2:3" x14ac:dyDescent="0.25">
      <c r="B14" t="s">
        <v>6</v>
      </c>
      <c r="C14">
        <v>4954.7</v>
      </c>
    </row>
    <row r="15" spans="2:3" x14ac:dyDescent="0.25">
      <c r="B15" t="s">
        <v>7</v>
      </c>
      <c r="C15">
        <v>15257.5</v>
      </c>
    </row>
    <row r="16" spans="2:3" x14ac:dyDescent="0.25">
      <c r="B16" t="s">
        <v>8</v>
      </c>
      <c r="C16">
        <v>4314.6000000000004</v>
      </c>
    </row>
    <row r="17" spans="2:3" x14ac:dyDescent="0.25">
      <c r="B17" t="s">
        <v>9</v>
      </c>
      <c r="C17">
        <v>157227.20000000001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2025-11-04T16:04:34Z</dcterms:created>
  <dcterms:modified xsi:type="dcterms:W3CDTF">2025-11-04T16:08:18Z</dcterms:modified>
</cp:coreProperties>
</file>