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OPORTE\Desktop\vaope-bi\4_Validaciones\Informe Ventas y Egresos\Nomina\"/>
    </mc:Choice>
  </mc:AlternateContent>
  <xr:revisionPtr revIDLastSave="0" documentId="13_ncr:1_{9AB6E1DC-45E2-4F85-8F41-49DEF0B79256}" xr6:coauthVersionLast="47" xr6:coauthVersionMax="47" xr10:uidLastSave="{00000000-0000-0000-0000-000000000000}"/>
  <bookViews>
    <workbookView xWindow="20370" yWindow="-1485" windowWidth="29040" windowHeight="15720" activeTab="2" xr2:uid="{00000000-000D-0000-FFFF-FFFF00000000}"/>
  </bookViews>
  <sheets>
    <sheet name="Sheet1" sheetId="1" r:id="rId1"/>
    <sheet name="slips" sheetId="3" r:id="rId2"/>
    <sheet name="validacion" sheetId="2" r:id="rId3"/>
  </sheets>
  <calcPr calcId="191029"/>
  <pivotCaches>
    <pivotCache cacheId="0" r:id="rId4"/>
    <pivotCache cacheId="1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<sst xmlns="http://schemas.openxmlformats.org/spreadsheetml/2006/main" count="623" uniqueCount="131">
  <si>
    <t>Empleado</t>
  </si>
  <si>
    <t>Nombre del lote</t>
  </si>
  <si>
    <t>Estructura</t>
  </si>
  <si>
    <t>Desde</t>
  </si>
  <si>
    <t>Hasta</t>
  </si>
  <si>
    <t>Salario básico</t>
  </si>
  <si>
    <t>Salario bruto</t>
  </si>
  <si>
    <t>Salario neto</t>
  </si>
  <si>
    <t>Estado</t>
  </si>
  <si>
    <t>Oscar Alhdhair Vasquez Roncal</t>
  </si>
  <si>
    <t>Octubre</t>
  </si>
  <si>
    <t>Regular Pay</t>
  </si>
  <si>
    <t>En espera</t>
  </si>
  <si>
    <t>Listo</t>
  </si>
  <si>
    <t>Johan Poul Hugo Zuñiga Cordova</t>
  </si>
  <si>
    <t>Víctor Arturo Sánchez Coronado</t>
  </si>
  <si>
    <t>Jesús Alexander García Flores</t>
  </si>
  <si>
    <t>Setiembre 2025</t>
  </si>
  <si>
    <t>Cancelada</t>
  </si>
  <si>
    <t>Angie Nicole Flores Romero</t>
  </si>
  <si>
    <t>Junio2025</t>
  </si>
  <si>
    <t>Pagado</t>
  </si>
  <si>
    <t>NATHALY GIOVANNA PALACIOS YNGAR DE LA VEGA</t>
  </si>
  <si>
    <t>Christian Jesus Jara Zegarra</t>
  </si>
  <si>
    <t>SAMUEL CHUQUISTA ALCARRAZ</t>
  </si>
  <si>
    <t>Dany Toshiro Tsukamoto Yncio</t>
  </si>
  <si>
    <t>Nelson Kojy Giura Mori</t>
  </si>
  <si>
    <t>Bruno Gianni Banchero Abensur</t>
  </si>
  <si>
    <t>Dante Alberto Pineda Reategui</t>
  </si>
  <si>
    <t>Junio 2025</t>
  </si>
  <si>
    <t>Andrea Kamila Torres Rodriguez</t>
  </si>
  <si>
    <t>Ariana Valeria Del Aguila Pazos</t>
  </si>
  <si>
    <t>CAMILA ROSA MARIA PUMA DIAZ</t>
  </si>
  <si>
    <t>Claudia Rocío de Fátima Rodríguez Gamarra</t>
  </si>
  <si>
    <t>Kristell Cecilia Flores Nuñez</t>
  </si>
  <si>
    <t>Delia Rashida Soto Mejia</t>
  </si>
  <si>
    <t>Dajhana Katherine Díaz Lizarme</t>
  </si>
  <si>
    <t>Borrador</t>
  </si>
  <si>
    <t>Worker Pay</t>
  </si>
  <si>
    <t>Marzo 2025</t>
  </si>
  <si>
    <t>Leonardo Fabian Castro Chuan</t>
  </si>
  <si>
    <t>Karla Maria del Rosario Gonzales Larrea</t>
  </si>
  <si>
    <t>Marzo 3</t>
  </si>
  <si>
    <t>Marzo 2</t>
  </si>
  <si>
    <t>feb 2</t>
  </si>
  <si>
    <t>feb</t>
  </si>
  <si>
    <t>Febrero 2025</t>
  </si>
  <si>
    <t>enere</t>
  </si>
  <si>
    <t>Etiquetas de fila</t>
  </si>
  <si>
    <t>Total general</t>
  </si>
  <si>
    <t>Exportado Nomina ODOO</t>
  </si>
  <si>
    <t>boletaID</t>
  </si>
  <si>
    <t>nomEmpleado</t>
  </si>
  <si>
    <t>areaID</t>
  </si>
  <si>
    <t>nomArea</t>
  </si>
  <si>
    <t>centroCosto</t>
  </si>
  <si>
    <t>tipoContrato</t>
  </si>
  <si>
    <t>sede</t>
  </si>
  <si>
    <t>fechaPago</t>
  </si>
  <si>
    <t>sueldoBasico</t>
  </si>
  <si>
    <t>sueldoBruto</t>
  </si>
  <si>
    <t>sueldoNeto</t>
  </si>
  <si>
    <t>totalSeguros</t>
  </si>
  <si>
    <t>estadoBoleta</t>
  </si>
  <si>
    <t>producto</t>
  </si>
  <si>
    <t>nomEmpresa</t>
  </si>
  <si>
    <t>pagoHE</t>
  </si>
  <si>
    <t>sistemaPension</t>
  </si>
  <si>
    <t>bonos</t>
  </si>
  <si>
    <t>beneficiosLey</t>
  </si>
  <si>
    <t>totalDscctos</t>
  </si>
  <si>
    <t>estadoID</t>
  </si>
  <si>
    <t>productoID</t>
  </si>
  <si>
    <t>TI</t>
  </si>
  <si>
    <t>Full-Time</t>
  </si>
  <si>
    <t>COLABORATIVA S.A.C.</t>
  </si>
  <si>
    <t>Confirmado</t>
  </si>
  <si>
    <t>boletadePago</t>
  </si>
  <si>
    <t>AFP</t>
  </si>
  <si>
    <t>SLIP/001</t>
  </si>
  <si>
    <t>AdministraciÃ³n y Finanzas</t>
  </si>
  <si>
    <t>SLIP/083</t>
  </si>
  <si>
    <t>Comercial</t>
  </si>
  <si>
    <t>SLIP/088</t>
  </si>
  <si>
    <t>Gerencia General / Impresos</t>
  </si>
  <si>
    <t>SLIP/089</t>
  </si>
  <si>
    <t>DiseÃ±o GrÃ¡fico</t>
  </si>
  <si>
    <t>SLIP/090</t>
  </si>
  <si>
    <t>SLIP/091</t>
  </si>
  <si>
    <t>Kristell Cecilia Flores NuÃ±ez</t>
  </si>
  <si>
    <t>Marketing</t>
  </si>
  <si>
    <t>SLIP/093</t>
  </si>
  <si>
    <t>SLIP/095</t>
  </si>
  <si>
    <t>Gerencia General</t>
  </si>
  <si>
    <t>SLIP/094</t>
  </si>
  <si>
    <t>SLIP/097</t>
  </si>
  <si>
    <t>SLIP/092</t>
  </si>
  <si>
    <t>Impresos</t>
  </si>
  <si>
    <t>SLIP/087</t>
  </si>
  <si>
    <t>SLIP/085</t>
  </si>
  <si>
    <t>SLIP/038</t>
  </si>
  <si>
    <t>SLIP/025</t>
  </si>
  <si>
    <t>SLIP/037</t>
  </si>
  <si>
    <t>SLIP/036</t>
  </si>
  <si>
    <t>Feb</t>
  </si>
  <si>
    <t>Mar</t>
  </si>
  <si>
    <t>Set</t>
  </si>
  <si>
    <t>Oct</t>
  </si>
  <si>
    <t>Nov</t>
  </si>
  <si>
    <t xml:space="preserve"> Salario básico</t>
  </si>
  <si>
    <t xml:space="preserve"> Salario bruto</t>
  </si>
  <si>
    <t xml:space="preserve"> Salario neto</t>
  </si>
  <si>
    <t xml:space="preserve"> sueldoBasico</t>
  </si>
  <si>
    <t xml:space="preserve"> sueldoBruto</t>
  </si>
  <si>
    <t xml:space="preserve"> totalDscctos</t>
  </si>
  <si>
    <t xml:space="preserve"> sueldoNeto</t>
  </si>
  <si>
    <t xml:space="preserve"> totalSeguros</t>
  </si>
  <si>
    <t xml:space="preserve"> pagoHE</t>
  </si>
  <si>
    <t xml:space="preserve"> beneficiosLey</t>
  </si>
  <si>
    <t xml:space="preserve"> Empleado</t>
  </si>
  <si>
    <t xml:space="preserve"> boletaID</t>
  </si>
  <si>
    <t>Consulta API Nomina</t>
  </si>
  <si>
    <t>Abr</t>
  </si>
  <si>
    <t>Ene</t>
  </si>
  <si>
    <t>Jun</t>
  </si>
  <si>
    <t>SLIP/099</t>
  </si>
  <si>
    <t>SLIP/101</t>
  </si>
  <si>
    <t>Johan Poul Hugo ZuÃ±iga Cordova</t>
  </si>
  <si>
    <t>SLIP/104</t>
  </si>
  <si>
    <t>Arianna Lucia Bazan Pajares</t>
  </si>
  <si>
    <t xml:space="preserve"> bonos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</si>
</sst>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12">
    <dxf>
      <numFmt numFmtId="19" formatCode="d/mm/yyyy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164" formatCode="yyyy\-mm\-dd"/>
      <alignment horizontal="general" vertical="bottom" textRotation="0" wrapText="1" indent="0" justifyLastLine="0" shrinkToFit="0" readingOrder="0"/>
    </dxf>
    <dxf>
      <numFmt numFmtId="164" formatCode="yyyy\-mm\-dd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61.502578009262" createdVersion="8" refreshedVersion="8" minRefreshableVersion="3" recordCount="20" xr:uid="{F58C111B-BF15-4845-A523-9F0BF456812D}">
  <cacheSource type="worksheet">
    <worksheetSource name="Tabla3"/>
  </cacheSource>
  <cacheFields count="24">
    <cacheField name="boletaID" numFmtId="0">
      <sharedItems/>
    </cacheField>
    <cacheField name="nomEmpleado" numFmtId="0">
      <sharedItems/>
    </cacheField>
    <cacheField name="areaID" numFmtId="0">
      <sharedItems containsSemiMixedTypes="0" containsString="0" containsNumber="1" containsInteger="1" minValue="1" maxValue="21"/>
    </cacheField>
    <cacheField name="nomArea" numFmtId="0">
      <sharedItems/>
    </cacheField>
    <cacheField name="centroCosto" numFmtId="0">
      <sharedItems/>
    </cacheField>
    <cacheField name="tipoContrato" numFmtId="0">
      <sharedItems/>
    </cacheField>
    <cacheField name="sede" numFmtId="0">
      <sharedItems/>
    </cacheField>
    <cacheField name="fechaPago" numFmtId="14">
      <sharedItems containsSemiMixedTypes="0" containsNonDate="0" containsDate="1" containsString="0" minDate="2025-02-26T00:00:00" maxDate="2025-11-03T00:00:00" count="5">
        <d v="2025-11-02T00:00:00"/>
        <d v="2025-10-31T00:00:00"/>
        <d v="2025-09-30T00:00:00"/>
        <d v="2025-03-26T00:00:00"/>
        <d v="2025-02-26T00:00:00"/>
      </sharedItems>
      <fieldGroup par="23"/>
    </cacheField>
    <cacheField name="sueldoBasico" numFmtId="0">
      <sharedItems containsSemiMixedTypes="0" containsString="0" containsNumber="1" minValue="166.67" maxValue="5135.25"/>
    </cacheField>
    <cacheField name="sueldoBruto" numFmtId="0">
      <sharedItems containsSemiMixedTypes="0" containsString="0" containsNumber="1" minValue="166.67" maxValue="5135.25"/>
    </cacheField>
    <cacheField name="sueldoNeto" numFmtId="0">
      <sharedItems containsSemiMixedTypes="0" containsString="0" containsNumber="1" minValue="166.67" maxValue="4537.03"/>
    </cacheField>
    <cacheField name="totalSeguros" numFmtId="0">
      <sharedItems containsSemiMixedTypes="0" containsString="0" containsNumber="1" minValue="0" maxValue="21211.42"/>
    </cacheField>
    <cacheField name="estadoBoleta" numFmtId="0">
      <sharedItems count="2">
        <s v="Confirmado"/>
        <s v="Pagado"/>
      </sharedItems>
    </cacheField>
    <cacheField name="producto" numFmtId="0">
      <sharedItems/>
    </cacheField>
    <cacheField name="nomEmpresa" numFmtId="0">
      <sharedItems/>
    </cacheField>
    <cacheField name="pagoHE" numFmtId="0">
      <sharedItems containsSemiMixedTypes="0" containsString="0" containsNumber="1" minValue="0" maxValue="5564.92"/>
    </cacheField>
    <cacheField name="sistemaPension" numFmtId="0">
      <sharedItems containsBlank="1"/>
    </cacheField>
    <cacheField name="bonos" numFmtId="0">
      <sharedItems containsSemiMixedTypes="0" containsString="0" containsNumber="1" containsInteger="1" minValue="0" maxValue="0"/>
    </cacheField>
    <cacheField name="beneficiosLey" numFmtId="0">
      <sharedItems containsSemiMixedTypes="0" containsString="0" containsNumber="1" minValue="0" maxValue="27774.81"/>
    </cacheField>
    <cacheField name="totalDscctos" numFmtId="0">
      <sharedItems containsSemiMixedTypes="0" containsString="0" containsNumber="1" minValue="0" maxValue="635.25"/>
    </cacheField>
    <cacheField name="estadoID" numFmtId="0">
      <sharedItems containsSemiMixedTypes="0" containsString="0" containsNumber="1" containsInteger="1" minValue="2" maxValue="3"/>
    </cacheField>
    <cacheField name="productoID" numFmtId="0">
      <sharedItems containsSemiMixedTypes="0" containsString="0" containsNumber="1" containsInteger="1" minValue="9999999" maxValue="9999999"/>
    </cacheField>
    <cacheField name="Días (fechaPago)" numFmtId="0" databaseField="0">
      <fieldGroup base="7">
        <rangePr groupBy="days" startDate="2025-02-26T00:00:00" endDate="2025-11-03T00:00:00"/>
        <groupItems count="368">
          <s v="&lt;26/02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3/11/2025"/>
        </groupItems>
      </fieldGroup>
    </cacheField>
    <cacheField name="Meses (fechaPago)" numFmtId="0" databaseField="0">
      <fieldGroup base="7">
        <rangePr groupBy="months" startDate="2025-02-26T00:00:00" endDate="2025-11-03T00:00:00"/>
        <groupItems count="14">
          <s v="&lt;26/02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3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61.503867824074" createdVersion="8" refreshedVersion="8" minRefreshableVersion="3" recordCount="89" xr:uid="{E0C50D85-9757-42CD-A967-5C5E4D172D9A}">
  <cacheSource type="worksheet">
    <worksheetSource name="Tabla4"/>
  </cacheSource>
  <cacheFields count="11">
    <cacheField name="Empleado" numFmtId="4">
      <sharedItems/>
    </cacheField>
    <cacheField name="Nombre del lote" numFmtId="4">
      <sharedItems containsBlank="1"/>
    </cacheField>
    <cacheField name="Estructura" numFmtId="4">
      <sharedItems/>
    </cacheField>
    <cacheField name="Desde" numFmtId="164">
      <sharedItems containsSemiMixedTypes="0" containsNonDate="0" containsDate="1" containsString="0" minDate="2024-12-27T00:00:00" maxDate="2025-10-04T00:00:00"/>
    </cacheField>
    <cacheField name="Hasta" numFmtId="164">
      <sharedItems containsSemiMixedTypes="0" containsNonDate="0" containsDate="1" containsString="0" minDate="2025-01-26T00:00:00" maxDate="2025-11-03T00:00:00" count="9">
        <d v="2025-11-02T00:00:00"/>
        <d v="2025-10-31T00:00:00"/>
        <d v="2025-09-30T00:00:00"/>
        <d v="2025-06-26T00:00:00"/>
        <d v="2025-04-30T00:00:00"/>
        <d v="2025-03-26T00:00:00"/>
        <d v="2025-02-28T00:00:00"/>
        <d v="2025-02-26T00:00:00"/>
        <d v="2025-01-26T00:00:00"/>
      </sharedItems>
      <fieldGroup par="10"/>
    </cacheField>
    <cacheField name="Salario básico" numFmtId="4">
      <sharedItems containsString="0" containsBlank="1" containsNumber="1" containsInteger="1" minValue="1800" maxValue="1800"/>
    </cacheField>
    <cacheField name="Salario bruto" numFmtId="4">
      <sharedItems containsString="0" containsBlank="1" containsNumber="1" minValue="-3021.2" maxValue="7595.62"/>
    </cacheField>
    <cacheField name="Salario neto" numFmtId="4">
      <sharedItems containsString="0" containsBlank="1" containsNumber="1" minValue="-2670.2" maxValue="7595.62"/>
    </cacheField>
    <cacheField name="Estado" numFmtId="4">
      <sharedItems count="5">
        <s v="Listo"/>
        <s v="En espera"/>
        <s v="Cancelada"/>
        <s v="Pagado"/>
        <s v="Borrador"/>
      </sharedItems>
    </cacheField>
    <cacheField name="Días (Hasta)" numFmtId="0" databaseField="0">
      <fieldGroup base="4">
        <rangePr groupBy="days" startDate="2025-01-26T00:00:00" endDate="2025-11-03T00:00:00"/>
        <groupItems count="368">
          <s v="&lt;26/01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3/11/2025"/>
        </groupItems>
      </fieldGroup>
    </cacheField>
    <cacheField name="Meses (Hasta)" numFmtId="0" databaseField="0">
      <fieldGroup base="4">
        <rangePr groupBy="months" startDate="2025-01-26T00:00:00" endDate="2025-11-03T00:00:00"/>
        <groupItems count="14">
          <s v="&lt;26/01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3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SLIP/099"/>
    <s v="Oscar Alhdhair Vasquez Roncal"/>
    <n v="15"/>
    <s v="TI"/>
    <s v="TI"/>
    <s v="Full-Time"/>
    <s v="COLABORATIVA S.A.C."/>
    <x v="0"/>
    <n v="166.67"/>
    <n v="166.67"/>
    <n v="166.67"/>
    <n v="166.67"/>
    <x v="0"/>
    <s v="boletadePago"/>
    <s v="COLABORATIVA S.A.C."/>
    <n v="2562.42"/>
    <s v="AFP"/>
    <n v="0"/>
    <n v="12891.75"/>
    <n v="0"/>
    <n v="2"/>
    <n v="9999999"/>
  </r>
  <r>
    <s v="SLIP/101"/>
    <s v="Johan Poul Hugo ZuÃ±iga Cordova"/>
    <n v="15"/>
    <s v="TI"/>
    <s v="TI"/>
    <s v="Full-Time"/>
    <s v="COLABORATIVA S.A.C."/>
    <x v="1"/>
    <n v="3021.2"/>
    <n v="3021.2"/>
    <n v="2670.2"/>
    <n v="12458.11"/>
    <x v="0"/>
    <s v="boletadePago"/>
    <s v="COLABORATIVA S.A.C."/>
    <n v="3059.5"/>
    <s v="AFP"/>
    <n v="0"/>
    <n v="15210.22"/>
    <n v="351"/>
    <n v="2"/>
    <n v="9999999"/>
  </r>
  <r>
    <s v="SLIP/104"/>
    <s v="Arianna Lucia Bazan Pajares"/>
    <n v="5"/>
    <s v="Marketing"/>
    <s v="Marketing"/>
    <s v="Full-Time"/>
    <s v="COLABORATIVA S.A.C."/>
    <x v="1"/>
    <n v="1614.73"/>
    <n v="1614.73"/>
    <n v="1493.63"/>
    <n v="1614.73"/>
    <x v="0"/>
    <s v="boletadePago"/>
    <s v="COLABORATIVA S.A.C."/>
    <n v="1653.67"/>
    <s v="AFP"/>
    <n v="0"/>
    <n v="8163.4"/>
    <n v="121.1"/>
    <n v="2"/>
    <n v="9999999"/>
  </r>
  <r>
    <s v="SLIP/001"/>
    <s v="Angie Nicole Flores Romero"/>
    <n v="3"/>
    <s v="AdministraciÃ³n y Finanzas"/>
    <s v="AdministraciÃ³n y Finanzas"/>
    <s v="Full-Time"/>
    <s v="COLABORATIVA S.A.C."/>
    <x v="1"/>
    <n v="1800"/>
    <n v="1800"/>
    <n v="1800"/>
    <n v="0"/>
    <x v="1"/>
    <s v="boletadePago"/>
    <s v="COLABORATIVA S.A.C."/>
    <n v="0"/>
    <m/>
    <n v="0"/>
    <n v="0"/>
    <n v="0"/>
    <n v="3"/>
    <n v="9999999"/>
  </r>
  <r>
    <s v="SLIP/083"/>
    <s v="Bruno Gianni Banchero Abensur"/>
    <n v="17"/>
    <s v="Comercial"/>
    <s v="Comercial"/>
    <s v="Full-Time"/>
    <s v="COLABORATIVA S.A.C."/>
    <x v="2"/>
    <n v="4051.02"/>
    <n v="4051.02"/>
    <n v="3415.77"/>
    <n v="21137.439999999999"/>
    <x v="0"/>
    <s v="boletadePago"/>
    <s v="COLABORATIVA S.A.C."/>
    <n v="5564.92"/>
    <s v="AFP"/>
    <n v="0"/>
    <n v="27774.81"/>
    <n v="635.25"/>
    <n v="2"/>
    <n v="9999999"/>
  </r>
  <r>
    <s v="SLIP/090"/>
    <s v="Leonardo Fabian Castro Chuan"/>
    <n v="6"/>
    <s v="Gerencia General / Impresos"/>
    <s v="Gerencia General / Impresos"/>
    <s v="Full-Time"/>
    <s v="COLABORATIVA S.A.C."/>
    <x v="3"/>
    <n v="2240"/>
    <n v="2240"/>
    <n v="2240"/>
    <n v="2240"/>
    <x v="0"/>
    <s v="boletadePago"/>
    <s v="COLABORATIVA S.A.C."/>
    <n v="1247"/>
    <s v="AFP"/>
    <n v="0"/>
    <n v="6135.07"/>
    <n v="0"/>
    <n v="2"/>
    <n v="9999999"/>
  </r>
  <r>
    <s v="SLIP/092"/>
    <s v="Karla Maria del Rosario Gonzales Larrea"/>
    <n v="16"/>
    <s v="Impresos"/>
    <s v="Impresos"/>
    <s v="Full-Time"/>
    <s v="COLABORATIVA S.A.C."/>
    <x v="3"/>
    <n v="2500"/>
    <n v="2500"/>
    <n v="2207.5"/>
    <n v="10362.5"/>
    <x v="0"/>
    <s v="boletadePago"/>
    <s v="COLABORATIVA S.A.C."/>
    <n v="2552.42"/>
    <s v="AFP"/>
    <n v="0"/>
    <n v="12678.55"/>
    <n v="292.5"/>
    <n v="2"/>
    <n v="9999999"/>
  </r>
  <r>
    <s v="SLIP/093"/>
    <s v="Nelson Kojy Giura Mori"/>
    <n v="3"/>
    <s v="AdministraciÃ³n y Finanzas"/>
    <s v="AdministraciÃ³n y Finanzas"/>
    <s v="Full-Time"/>
    <s v="COLABORATIVA S.A.C."/>
    <x v="3"/>
    <n v="5022.25"/>
    <n v="5022.25"/>
    <n v="4437.25"/>
    <n v="20749.25"/>
    <x v="0"/>
    <s v="boletadePago"/>
    <s v="COLABORATIVA S.A.C."/>
    <n v="5062.83"/>
    <s v="AFP"/>
    <n v="0"/>
    <n v="25261.88"/>
    <n v="585"/>
    <n v="2"/>
    <n v="9999999"/>
  </r>
  <r>
    <s v="SLIP/095"/>
    <s v="SAMUEL CHUQUISTA ALCARRAZ"/>
    <n v="1"/>
    <s v="Gerencia General"/>
    <s v="Gerencia General"/>
    <s v="Full-Time"/>
    <s v="COLABORATIVA S.A.C."/>
    <x v="3"/>
    <n v="5135.25"/>
    <n v="5135.25"/>
    <n v="4537.03"/>
    <n v="21211.42"/>
    <x v="0"/>
    <s v="boletadePago"/>
    <s v="COLABORATIVA S.A.C."/>
    <n v="5176.3"/>
    <s v="AFP"/>
    <n v="0"/>
    <n v="25830.65"/>
    <n v="598.22"/>
    <n v="2"/>
    <n v="9999999"/>
  </r>
  <r>
    <s v="SLIP/094"/>
    <s v="Dany Toshiro Tsukamoto Yncio"/>
    <n v="5"/>
    <s v="Marketing"/>
    <s v="Marketing"/>
    <s v="Full-Time"/>
    <s v="COLABORATIVA S.A.C."/>
    <x v="3"/>
    <n v="5135.25"/>
    <n v="5135.25"/>
    <n v="4537.03"/>
    <n v="21211.42"/>
    <x v="0"/>
    <s v="boletadePago"/>
    <s v="COLABORATIVA S.A.C."/>
    <n v="5176.3"/>
    <s v="AFP"/>
    <n v="0"/>
    <n v="25830.65"/>
    <n v="598.22"/>
    <n v="2"/>
    <n v="9999999"/>
  </r>
  <r>
    <s v="SLIP/097"/>
    <s v="Kristell Cecilia Flores NuÃ±ez"/>
    <n v="5"/>
    <s v="Marketing"/>
    <s v="Marketing"/>
    <s v="Full-Time"/>
    <s v="COLABORATIVA S.A.C."/>
    <x v="3"/>
    <n v="1800"/>
    <n v="1800"/>
    <n v="1538.16"/>
    <n v="7215.6"/>
    <x v="1"/>
    <s v="boletadePago"/>
    <s v="COLABORATIVA S.A.C."/>
    <n v="1849.5"/>
    <s v="AFP"/>
    <n v="0"/>
    <n v="9155.2199999999993"/>
    <n v="261.83999999999997"/>
    <n v="3"/>
    <n v="9999999"/>
  </r>
  <r>
    <s v="SLIP/091"/>
    <s v="Kristell Cecilia Flores NuÃ±ez"/>
    <n v="5"/>
    <s v="Marketing"/>
    <s v="Marketing"/>
    <s v="Full-Time"/>
    <s v="COLABORATIVA S.A.C."/>
    <x v="3"/>
    <n v="1800"/>
    <n v="1800"/>
    <n v="1800"/>
    <n v="1800"/>
    <x v="0"/>
    <s v="boletadePago"/>
    <s v="COLABORATIVA S.A.C."/>
    <n v="1849.5"/>
    <s v="AFP"/>
    <n v="0"/>
    <n v="9155.07"/>
    <n v="0"/>
    <n v="2"/>
    <n v="9999999"/>
  </r>
  <r>
    <s v="SLIP/087"/>
    <s v="Christian Jesus Jara Zegarra"/>
    <n v="21"/>
    <s v="DiseÃ±o GrÃ¡fico"/>
    <s v="DiseÃ±o GrÃ¡fico"/>
    <s v="Full-Time"/>
    <s v="COLABORATIVA S.A.C."/>
    <x v="3"/>
    <n v="2520"/>
    <n v="2520"/>
    <n v="2362.0500000000002"/>
    <n v="6935.4"/>
    <x v="0"/>
    <s v="boletadePago"/>
    <s v="COLABORATIVA S.A.C."/>
    <n v="1397.63"/>
    <s v="AFP"/>
    <n v="0"/>
    <n v="6890.22"/>
    <n v="157.94999999999999"/>
    <n v="2"/>
    <n v="9999999"/>
  </r>
  <r>
    <s v="SLIP/085"/>
    <s v="Dante Alberto Pineda Reategui"/>
    <n v="5"/>
    <s v="Marketing"/>
    <s v="Marketing"/>
    <s v="Full-Time"/>
    <s v="COLABORATIVA S.A.C."/>
    <x v="3"/>
    <n v="4069.08"/>
    <n v="4069.08"/>
    <n v="4069.08"/>
    <n v="4069.08"/>
    <x v="0"/>
    <s v="boletadePago"/>
    <s v="COLABORATIVA S.A.C."/>
    <n v="4128.03"/>
    <s v="AFP"/>
    <n v="0"/>
    <n v="20576.099999999999"/>
    <n v="0"/>
    <n v="2"/>
    <n v="9999999"/>
  </r>
  <r>
    <s v="SLIP/088"/>
    <s v="Leonardo Fabian Castro Chuan"/>
    <n v="6"/>
    <s v="Gerencia General / Impresos"/>
    <s v="Gerencia General / Impresos"/>
    <s v="Full-Time"/>
    <s v="COLABORATIVA S.A.C."/>
    <x v="3"/>
    <n v="1200"/>
    <n v="1200"/>
    <n v="1200"/>
    <n v="1200"/>
    <x v="0"/>
    <s v="boletadePago"/>
    <s v="COLABORATIVA S.A.C."/>
    <n v="1247"/>
    <s v="AFP"/>
    <n v="0"/>
    <n v="6135.07"/>
    <n v="0"/>
    <n v="2"/>
    <n v="9999999"/>
  </r>
  <r>
    <s v="SLIP/089"/>
    <s v="NATHALY GIOVANNA PALACIOS YNGAR DE LA VEGA"/>
    <n v="21"/>
    <s v="DiseÃ±o GrÃ¡fico"/>
    <s v="DiseÃ±o GrÃ¡fico"/>
    <s v="Full-Time"/>
    <s v="COLABORATIVA S.A.C."/>
    <x v="3"/>
    <n v="1522.25"/>
    <n v="1522.25"/>
    <n v="1346.75"/>
    <n v="6241.75"/>
    <x v="0"/>
    <s v="boletadePago"/>
    <s v="COLABORATIVA S.A.C."/>
    <n v="1548.25"/>
    <s v="AFP"/>
    <n v="0"/>
    <n v="7645.22"/>
    <n v="175.5"/>
    <n v="2"/>
    <n v="9999999"/>
  </r>
  <r>
    <s v="SLIP/038"/>
    <s v="SAMUEL CHUQUISTA ALCARRAZ"/>
    <n v="1"/>
    <s v="Gerencia General"/>
    <s v="Gerencia General"/>
    <s v="Full-Time"/>
    <s v="COLABORATIVA S.A.C."/>
    <x v="4"/>
    <n v="5113"/>
    <n v="5113"/>
    <n v="4514.78"/>
    <n v="21187.17"/>
    <x v="1"/>
    <s v="boletadePago"/>
    <s v="COLABORATIVA S.A.C."/>
    <n v="5171.3"/>
    <s v="AFP"/>
    <n v="0"/>
    <n v="25811.91"/>
    <n v="598.22"/>
    <n v="3"/>
    <n v="9999999"/>
  </r>
  <r>
    <s v="SLIP/025"/>
    <s v="Dante Alberto Pineda Reategui"/>
    <n v="5"/>
    <s v="Marketing"/>
    <s v="Marketing"/>
    <s v="Full-Time"/>
    <s v="COLABORATIVA S.A.C."/>
    <x v="4"/>
    <n v="4069.08"/>
    <n v="4069.08"/>
    <n v="4069.08"/>
    <n v="0"/>
    <x v="1"/>
    <s v="boletadePago"/>
    <s v="COLABORATIVA S.A.C."/>
    <n v="4122.03"/>
    <s v="AFP"/>
    <n v="0"/>
    <n v="8192.49"/>
    <n v="0"/>
    <n v="3"/>
    <n v="9999999"/>
  </r>
  <r>
    <s v="SLIP/037"/>
    <s v="Dany Toshiro Tsukamoto Yncio"/>
    <n v="5"/>
    <s v="Marketing"/>
    <s v="Marketing"/>
    <s v="Full-Time"/>
    <s v="COLABORATIVA S.A.C."/>
    <x v="4"/>
    <n v="5113"/>
    <n v="5113"/>
    <n v="4514.78"/>
    <n v="21187.17"/>
    <x v="1"/>
    <s v="boletadePago"/>
    <s v="COLABORATIVA S.A.C."/>
    <n v="5171.3"/>
    <s v="AFP"/>
    <n v="0"/>
    <n v="25811.91"/>
    <n v="598.22"/>
    <n v="3"/>
    <n v="9999999"/>
  </r>
  <r>
    <s v="SLIP/036"/>
    <s v="Nelson Kojy Giura Mori"/>
    <n v="3"/>
    <s v="AdministraciÃ³n y Finanzas"/>
    <s v="AdministraciÃ³n y Finanzas"/>
    <s v="Full-Time"/>
    <s v="COLABORATIVA S.A.C."/>
    <x v="4"/>
    <n v="5000"/>
    <n v="5000"/>
    <n v="4415"/>
    <n v="20725"/>
    <x v="1"/>
    <s v="boletadePago"/>
    <s v="COLABORATIVA S.A.C."/>
    <n v="5057.83"/>
    <s v="AFP"/>
    <n v="0"/>
    <n v="25243.14"/>
    <n v="585"/>
    <n v="3"/>
    <n v="9999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Oscar Alhdhair Vasquez Roncal"/>
    <m/>
    <s v="Regular Pay"/>
    <d v="2025-10-03T00:00:00"/>
    <x v="0"/>
    <m/>
    <n v="166.67"/>
    <n v="166.67"/>
    <x v="0"/>
  </r>
  <r>
    <s v="Oscar Alhdhair Vasquez Roncal"/>
    <s v="Octubre"/>
    <s v="Regular Pay"/>
    <d v="2025-10-03T00:00:00"/>
    <x v="0"/>
    <m/>
    <n v="166.67"/>
    <n v="166.67"/>
    <x v="1"/>
  </r>
  <r>
    <s v="Jesús Alexander García Flores"/>
    <m/>
    <s v="Regular Pay"/>
    <d v="2025-10-01T00:00:00"/>
    <x v="1"/>
    <m/>
    <n v="3613"/>
    <n v="3190.28"/>
    <x v="1"/>
  </r>
  <r>
    <s v="Angie Nicole Flores Romero"/>
    <m/>
    <s v="Regular Pay"/>
    <d v="2025-10-01T00:00:00"/>
    <x v="1"/>
    <m/>
    <n v="1800"/>
    <n v="1665"/>
    <x v="1"/>
  </r>
  <r>
    <s v="Johan Poul Hugo Zuñiga Cordova"/>
    <m/>
    <s v="Regular Pay"/>
    <d v="2025-10-01T00:00:00"/>
    <x v="1"/>
    <m/>
    <n v="-3021.2"/>
    <n v="-2670.2"/>
    <x v="1"/>
  </r>
  <r>
    <s v="Oscar Alhdhair Vasquez Roncal"/>
    <s v="Setiembre 2025"/>
    <s v="Regular Pay"/>
    <d v="2025-10-03T00:00:00"/>
    <x v="1"/>
    <m/>
    <m/>
    <m/>
    <x v="2"/>
  </r>
  <r>
    <s v="Arianna Lucia Bazan Pajares"/>
    <m/>
    <s v="Regular Pay"/>
    <d v="2025-10-01T00:00:00"/>
    <x v="1"/>
    <m/>
    <n v="-1614.73"/>
    <n v="-1493.63"/>
    <x v="1"/>
  </r>
  <r>
    <s v="Johan Poul Hugo Zuñiga Cordova"/>
    <s v="Octubre"/>
    <s v="Regular Pay"/>
    <d v="2025-10-01T00:00:00"/>
    <x v="1"/>
    <m/>
    <n v="3021.2"/>
    <n v="2670.2"/>
    <x v="0"/>
  </r>
  <r>
    <s v="Angie Nicole Flores Romero"/>
    <s v="Junio2025"/>
    <s v="Regular Pay"/>
    <d v="2025-10-01T00:00:00"/>
    <x v="1"/>
    <n v="1800"/>
    <n v="1800"/>
    <n v="1800"/>
    <x v="3"/>
  </r>
  <r>
    <s v="Víctor Arturo Sánchez Coronado"/>
    <s v="Octubre"/>
    <s v="Regular Pay"/>
    <d v="2025-10-01T00:00:00"/>
    <x v="1"/>
    <m/>
    <n v="2021.57"/>
    <n v="1787.57"/>
    <x v="1"/>
  </r>
  <r>
    <s v="Víctor Arturo Sánchez Coronado"/>
    <m/>
    <s v="Regular Pay"/>
    <d v="2025-10-01T00:00:00"/>
    <x v="1"/>
    <m/>
    <n v="2021.57"/>
    <n v="1787.57"/>
    <x v="1"/>
  </r>
  <r>
    <s v="Arianna Lucia Bazan Pajares"/>
    <s v="Octubre"/>
    <s v="Regular Pay"/>
    <d v="2025-10-01T00:00:00"/>
    <x v="1"/>
    <m/>
    <n v="1614.73"/>
    <n v="1493.63"/>
    <x v="0"/>
  </r>
  <r>
    <s v="Bruno Gianni Banchero Abensur"/>
    <s v="Setiembre 2025"/>
    <s v="Regular Pay"/>
    <d v="2025-09-01T00:00:00"/>
    <x v="2"/>
    <m/>
    <n v="4051.02"/>
    <n v="3415.77"/>
    <x v="0"/>
  </r>
  <r>
    <s v="Christian Jesus Jara Zegarra"/>
    <s v="Setiembre 2025"/>
    <s v="Regular Pay"/>
    <d v="2025-09-01T00:00:00"/>
    <x v="2"/>
    <m/>
    <n v="1500"/>
    <n v="1324.5"/>
    <x v="1"/>
  </r>
  <r>
    <s v="NATHALY GIOVANNA PALACIOS YNGAR DE LA VEGA"/>
    <s v="Setiembre 2025"/>
    <s v="Regular Pay"/>
    <d v="2025-09-01T00:00:00"/>
    <x v="2"/>
    <m/>
    <n v="1500"/>
    <n v="1324.5"/>
    <x v="1"/>
  </r>
  <r>
    <s v="SAMUEL CHUQUISTA ALCARRAZ"/>
    <s v="Setiembre 2025"/>
    <s v="Regular Pay"/>
    <d v="2025-09-01T00:00:00"/>
    <x v="2"/>
    <m/>
    <n v="5137.25"/>
    <n v="4539.03"/>
    <x v="1"/>
  </r>
  <r>
    <s v="Dany Toshiro Tsukamoto Yncio"/>
    <s v="Setiembre 2025"/>
    <s v="Regular Pay"/>
    <d v="2025-09-01T00:00:00"/>
    <x v="2"/>
    <m/>
    <n v="5137.25"/>
    <n v="4539.03"/>
    <x v="1"/>
  </r>
  <r>
    <s v="Nelson Kojy Giura Mori"/>
    <s v="Setiembre 2025"/>
    <s v="Regular Pay"/>
    <d v="2025-09-01T00:00:00"/>
    <x v="2"/>
    <m/>
    <n v="5024.25"/>
    <n v="4439.25"/>
    <x v="1"/>
  </r>
  <r>
    <s v="Kristell Cecilia Flores Nuñez"/>
    <s v="Junio 2025"/>
    <s v="Regular Pay"/>
    <d v="2025-05-27T00:00:00"/>
    <x v="3"/>
    <m/>
    <n v="1800"/>
    <n v="1800"/>
    <x v="1"/>
  </r>
  <r>
    <s v="SAMUEL CHUQUISTA ALCARRAZ"/>
    <s v="Junio 2025"/>
    <s v="Regular Pay"/>
    <d v="2025-05-27T00:00:00"/>
    <x v="3"/>
    <m/>
    <n v="5113"/>
    <n v="4514.78"/>
    <x v="1"/>
  </r>
  <r>
    <s v="Dany Toshiro Tsukamoto Yncio"/>
    <s v="Junio 2025"/>
    <s v="Regular Pay"/>
    <d v="2025-05-27T00:00:00"/>
    <x v="3"/>
    <m/>
    <n v="5113"/>
    <n v="4514.78"/>
    <x v="1"/>
  </r>
  <r>
    <s v="Andrea Kamila Torres Rodriguez"/>
    <s v="Junio 2025"/>
    <s v="Regular Pay"/>
    <d v="2025-05-27T00:00:00"/>
    <x v="3"/>
    <m/>
    <n v="1300"/>
    <n v="1300"/>
    <x v="1"/>
  </r>
  <r>
    <s v="Angie Nicole Flores Romero"/>
    <s v="Junio 2025"/>
    <s v="Regular Pay"/>
    <d v="2025-05-27T00:00:00"/>
    <x v="3"/>
    <m/>
    <n v="1300"/>
    <n v="1300"/>
    <x v="1"/>
  </r>
  <r>
    <s v="Dante Alberto Pineda Reategui"/>
    <s v="Junio 2025"/>
    <s v="Regular Pay"/>
    <d v="2025-05-27T00:00:00"/>
    <x v="3"/>
    <m/>
    <n v="4069.08"/>
    <n v="4069.08"/>
    <x v="1"/>
  </r>
  <r>
    <s v="Christian Jesus Jara Zegarra"/>
    <s v="Junio 2025"/>
    <s v="Regular Pay"/>
    <d v="2025-05-27T00:00:00"/>
    <x v="3"/>
    <m/>
    <n v="2800"/>
    <n v="2624.5"/>
    <x v="1"/>
  </r>
  <r>
    <s v="Christian Jesus Jara Zegarra"/>
    <s v="Junio 2025"/>
    <s v="Regular Pay"/>
    <d v="2025-05-27T00:00:00"/>
    <x v="3"/>
    <m/>
    <n v="1350"/>
    <n v="1192.05"/>
    <x v="1"/>
  </r>
  <r>
    <s v="Ariana Valeria Del Aguila Pazos"/>
    <s v="Junio 2025"/>
    <s v="Regular Pay"/>
    <d v="2025-05-27T00:00:00"/>
    <x v="3"/>
    <m/>
    <n v="1800"/>
    <n v="1589.4"/>
    <x v="1"/>
  </r>
  <r>
    <s v="Nelson Kojy Giura Mori"/>
    <s v="Junio 2025"/>
    <s v="Regular Pay"/>
    <d v="2025-05-27T00:00:00"/>
    <x v="3"/>
    <m/>
    <n v="5000"/>
    <n v="4415"/>
    <x v="1"/>
  </r>
  <r>
    <s v="NATHALY GIOVANNA PALACIOS YNGAR DE LA VEGA"/>
    <s v="Junio 2025"/>
    <s v="Regular Pay"/>
    <d v="2025-05-27T00:00:00"/>
    <x v="3"/>
    <m/>
    <n v="1500"/>
    <n v="1324.5"/>
    <x v="1"/>
  </r>
  <r>
    <s v="CAMILA ROSA MARIA PUMA DIAZ"/>
    <s v="Junio 2025"/>
    <s v="Regular Pay"/>
    <d v="2025-05-27T00:00:00"/>
    <x v="3"/>
    <m/>
    <n v="2080"/>
    <n v="2080"/>
    <x v="1"/>
  </r>
  <r>
    <s v="Claudia Rocío de Fátima Rodríguez Gamarra"/>
    <s v="Junio 2025"/>
    <s v="Regular Pay"/>
    <d v="2025-05-27T00:00:00"/>
    <x v="3"/>
    <m/>
    <n v="2500"/>
    <n v="2500"/>
    <x v="1"/>
  </r>
  <r>
    <s v="Delia Rashida Soto Mejia"/>
    <m/>
    <s v="Regular Pay"/>
    <d v="2025-04-01T00:00:00"/>
    <x v="4"/>
    <m/>
    <m/>
    <m/>
    <x v="2"/>
  </r>
  <r>
    <s v="Andrea Kamila Torres Rodriguez"/>
    <m/>
    <s v="Worker Pay"/>
    <d v="2025-04-01T00:00:00"/>
    <x v="4"/>
    <m/>
    <m/>
    <m/>
    <x v="2"/>
  </r>
  <r>
    <s v="Dajhana Katherine Díaz Lizarme"/>
    <m/>
    <s v="Regular Pay"/>
    <d v="2025-04-01T00:00:00"/>
    <x v="4"/>
    <m/>
    <m/>
    <m/>
    <x v="4"/>
  </r>
  <r>
    <s v="Dajhana Katherine Díaz Lizarme"/>
    <m/>
    <s v="Regular Pay"/>
    <d v="2025-04-01T00:00:00"/>
    <x v="4"/>
    <m/>
    <m/>
    <m/>
    <x v="4"/>
  </r>
  <r>
    <s v="Dajhana Katherine Díaz Lizarme"/>
    <m/>
    <s v="Regular Pay"/>
    <d v="2025-04-01T00:00:00"/>
    <x v="4"/>
    <m/>
    <m/>
    <m/>
    <x v="4"/>
  </r>
  <r>
    <s v="Dajhana Katherine Díaz Lizarme"/>
    <m/>
    <s v="Regular Pay"/>
    <d v="2025-04-01T00:00:00"/>
    <x v="4"/>
    <m/>
    <m/>
    <m/>
    <x v="4"/>
  </r>
  <r>
    <s v="Dajhana Katherine Díaz Lizarme"/>
    <m/>
    <s v="Regular Pay"/>
    <d v="2025-04-01T00:00:00"/>
    <x v="4"/>
    <m/>
    <m/>
    <m/>
    <x v="4"/>
  </r>
  <r>
    <s v="Dajhana Katherine Díaz Lizarme"/>
    <m/>
    <s v="Regular Pay"/>
    <d v="2025-04-01T00:00:00"/>
    <x v="4"/>
    <m/>
    <m/>
    <m/>
    <x v="4"/>
  </r>
  <r>
    <s v="SAMUEL CHUQUISTA ALCARRAZ"/>
    <s v="Marzo 2025"/>
    <s v="Regular Pay"/>
    <d v="2025-02-27T00:00:00"/>
    <x v="5"/>
    <m/>
    <n v="5135.25"/>
    <n v="4537.03"/>
    <x v="0"/>
  </r>
  <r>
    <s v="Leonardo Fabian Castro Chuan"/>
    <s v="Marzo 2025"/>
    <s v="Regular Pay"/>
    <d v="2025-02-27T00:00:00"/>
    <x v="5"/>
    <m/>
    <n v="2240"/>
    <n v="2240"/>
    <x v="0"/>
  </r>
  <r>
    <s v="Kristell Cecilia Flores Nuñez"/>
    <s v="Marzo 2025"/>
    <s v="Regular Pay"/>
    <d v="2025-02-27T00:00:00"/>
    <x v="5"/>
    <m/>
    <n v="1800"/>
    <n v="1800"/>
    <x v="0"/>
  </r>
  <r>
    <s v="Karla Maria del Rosario Gonzales Larrea"/>
    <s v="Marzo 2025"/>
    <s v="Regular Pay"/>
    <d v="2025-02-27T00:00:00"/>
    <x v="5"/>
    <m/>
    <n v="2500"/>
    <n v="2207.5"/>
    <x v="0"/>
  </r>
  <r>
    <s v="SAMUEL CHUQUISTA ALCARRAZ"/>
    <s v="Marzo 2"/>
    <s v="Regular Pay"/>
    <d v="2025-02-27T00:00:00"/>
    <x v="5"/>
    <m/>
    <n v="5135.25"/>
    <n v="4537.03"/>
    <x v="1"/>
  </r>
  <r>
    <s v="Nelson Kojy Giura Mori"/>
    <s v="Marzo 2025"/>
    <s v="Regular Pay"/>
    <d v="2025-02-27T00:00:00"/>
    <x v="5"/>
    <m/>
    <n v="5022.25"/>
    <n v="4437.25"/>
    <x v="0"/>
  </r>
  <r>
    <s v="Dany Toshiro Tsukamoto Yncio"/>
    <s v="Marzo 2025"/>
    <s v="Regular Pay"/>
    <d v="2025-02-27T00:00:00"/>
    <x v="5"/>
    <m/>
    <n v="5135.25"/>
    <n v="4537.03"/>
    <x v="0"/>
  </r>
  <r>
    <s v="Kristell Cecilia Flores Nuñez"/>
    <s v="Marzo 3"/>
    <s v="Regular Pay"/>
    <d v="2025-02-27T00:00:00"/>
    <x v="5"/>
    <m/>
    <n v="1800"/>
    <n v="1538.16"/>
    <x v="3"/>
  </r>
  <r>
    <s v="Ariana Valeria Del Aguila Pazos"/>
    <s v="Marzo 2025"/>
    <s v="Regular Pay"/>
    <d v="2025-02-27T00:00:00"/>
    <x v="5"/>
    <m/>
    <n v="1800"/>
    <n v="1589.4"/>
    <x v="2"/>
  </r>
  <r>
    <s v="Christian Jesus Jara Zegarra"/>
    <s v="Marzo 2025"/>
    <s v="Regular Pay"/>
    <d v="2025-02-27T00:00:00"/>
    <x v="5"/>
    <m/>
    <n v="2520"/>
    <n v="2362.0500000000002"/>
    <x v="0"/>
  </r>
  <r>
    <s v="Dante Alberto Pineda Reategui"/>
    <s v="Marzo 2025"/>
    <s v="Regular Pay"/>
    <d v="2025-02-27T00:00:00"/>
    <x v="5"/>
    <m/>
    <n v="4069.08"/>
    <n v="4069.08"/>
    <x v="0"/>
  </r>
  <r>
    <s v="Leonardo Fabian Castro Chuan"/>
    <s v="Marzo 2025"/>
    <s v="Regular Pay"/>
    <d v="2025-02-27T00:00:00"/>
    <x v="5"/>
    <m/>
    <n v="1200"/>
    <n v="1200"/>
    <x v="0"/>
  </r>
  <r>
    <s v="NATHALY GIOVANNA PALACIOS YNGAR DE LA VEGA"/>
    <s v="Marzo 2025"/>
    <s v="Regular Pay"/>
    <d v="2025-02-27T00:00:00"/>
    <x v="5"/>
    <m/>
    <n v="1522.25"/>
    <n v="1346.75"/>
    <x v="0"/>
  </r>
  <r>
    <s v="Nelson Kojy Giura Mori"/>
    <s v="feb 2"/>
    <s v="Regular Pay"/>
    <d v="2025-02-01T00:00:00"/>
    <x v="6"/>
    <m/>
    <n v="5022.25"/>
    <n v="4437.25"/>
    <x v="1"/>
  </r>
  <r>
    <s v="Dante Alberto Pineda Reategui"/>
    <s v="feb 2"/>
    <s v="Regular Pay"/>
    <d v="2025-02-01T00:00:00"/>
    <x v="6"/>
    <m/>
    <n v="4069.08"/>
    <n v="4069.08"/>
    <x v="1"/>
  </r>
  <r>
    <s v="Ariana Valeria Del Aguila Pazos"/>
    <s v="feb 2"/>
    <s v="Regular Pay"/>
    <d v="2025-02-01T00:00:00"/>
    <x v="6"/>
    <m/>
    <n v="1800"/>
    <n v="1589.4"/>
    <x v="1"/>
  </r>
  <r>
    <s v="Leonardo Fabian Castro Chuan"/>
    <s v="feb 2"/>
    <s v="Regular Pay"/>
    <d v="2025-02-01T00:00:00"/>
    <x v="6"/>
    <m/>
    <n v="1200"/>
    <n v="1200"/>
    <x v="1"/>
  </r>
  <r>
    <s v="NATHALY GIOVANNA PALACIOS YNGAR DE LA VEGA"/>
    <s v="feb 2"/>
    <s v="Regular Pay"/>
    <d v="2025-02-01T00:00:00"/>
    <x v="6"/>
    <m/>
    <n v="1500"/>
    <n v="1324.5"/>
    <x v="1"/>
  </r>
  <r>
    <s v="Karla Maria del Rosario Gonzales Larrea"/>
    <s v="feb 2"/>
    <s v="Regular Pay"/>
    <d v="2025-02-01T00:00:00"/>
    <x v="6"/>
    <m/>
    <n v="2500"/>
    <n v="2207.5"/>
    <x v="1"/>
  </r>
  <r>
    <s v="Dany Toshiro Tsukamoto Yncio"/>
    <s v="feb 2"/>
    <s v="Regular Pay"/>
    <d v="2025-02-01T00:00:00"/>
    <x v="6"/>
    <m/>
    <n v="5113"/>
    <n v="4514.78"/>
    <x v="1"/>
  </r>
  <r>
    <s v="SAMUEL CHUQUISTA ALCARRAZ"/>
    <s v="feb 2"/>
    <s v="Regular Pay"/>
    <d v="2025-02-01T00:00:00"/>
    <x v="6"/>
    <m/>
    <n v="5113"/>
    <n v="4514.78"/>
    <x v="1"/>
  </r>
  <r>
    <s v="Kristell Cecilia Flores Nuñez"/>
    <s v="feb 2"/>
    <s v="Regular Pay"/>
    <d v="2025-02-01T00:00:00"/>
    <x v="6"/>
    <m/>
    <n v="1800"/>
    <n v="1740"/>
    <x v="1"/>
  </r>
  <r>
    <s v="Nelson Kojy Giura Mori"/>
    <s v="Febrero 2025"/>
    <s v="Regular Pay"/>
    <d v="2025-01-27T00:00:00"/>
    <x v="7"/>
    <m/>
    <n v="5000"/>
    <n v="4415"/>
    <x v="3"/>
  </r>
  <r>
    <s v="NATHALY GIOVANNA PALACIOS YNGAR DE LA VEGA"/>
    <s v="feb"/>
    <s v="Regular Pay"/>
    <d v="2025-01-27T00:00:00"/>
    <x v="7"/>
    <m/>
    <n v="2800"/>
    <n v="2624.5"/>
    <x v="1"/>
  </r>
  <r>
    <s v="Kristell Cecilia Flores Nuñez"/>
    <s v="feb"/>
    <s v="Regular Pay"/>
    <d v="2025-01-27T00:00:00"/>
    <x v="7"/>
    <m/>
    <n v="1500"/>
    <n v="1500"/>
    <x v="1"/>
  </r>
  <r>
    <s v="Kristell Cecilia Flores Nuñez"/>
    <s v="feb"/>
    <s v="Regular Pay"/>
    <d v="2025-01-27T00:00:00"/>
    <x v="7"/>
    <m/>
    <n v="3360"/>
    <n v="3360"/>
    <x v="1"/>
  </r>
  <r>
    <s v="Karla Maria del Rosario Gonzales Larrea"/>
    <s v="feb"/>
    <s v="Regular Pay"/>
    <d v="2025-01-27T00:00:00"/>
    <x v="7"/>
    <m/>
    <n v="4666.67"/>
    <n v="4374.17"/>
    <x v="1"/>
  </r>
  <r>
    <s v="Dany Toshiro Tsukamoto Yncio"/>
    <s v="feb"/>
    <s v="Regular Pay"/>
    <d v="2025-01-27T00:00:00"/>
    <x v="7"/>
    <m/>
    <n v="5113"/>
    <n v="4514.78"/>
    <x v="1"/>
  </r>
  <r>
    <s v="SAMUEL CHUQUISTA ALCARRAZ"/>
    <s v="feb"/>
    <s v="Regular Pay"/>
    <d v="2025-01-27T00:00:00"/>
    <x v="7"/>
    <m/>
    <n v="5113"/>
    <n v="4514.78"/>
    <x v="1"/>
  </r>
  <r>
    <s v="SAMUEL CHUQUISTA ALCARRAZ"/>
    <s v="Febrero 2025"/>
    <s v="Regular Pay"/>
    <d v="2025-01-27T00:00:00"/>
    <x v="7"/>
    <m/>
    <n v="5113"/>
    <n v="4514.78"/>
    <x v="3"/>
  </r>
  <r>
    <s v="Dante Alberto Pineda Reategui"/>
    <s v="Febrero 2025"/>
    <s v="Regular Pay"/>
    <d v="2025-01-27T00:00:00"/>
    <x v="7"/>
    <m/>
    <n v="4069.08"/>
    <n v="4069.08"/>
    <x v="3"/>
  </r>
  <r>
    <s v="Dany Toshiro Tsukamoto Yncio"/>
    <s v="Febrero 2025"/>
    <s v="Regular Pay"/>
    <d v="2025-01-27T00:00:00"/>
    <x v="7"/>
    <m/>
    <n v="5113"/>
    <n v="4514.78"/>
    <x v="3"/>
  </r>
  <r>
    <s v="Claudia Rocío de Fátima Rodríguez Gamarra"/>
    <s v="feb"/>
    <s v="Regular Pay"/>
    <d v="2025-01-27T00:00:00"/>
    <x v="7"/>
    <m/>
    <n v="1600"/>
    <n v="1600"/>
    <x v="1"/>
  </r>
  <r>
    <s v="Dante Alberto Pineda Reategui"/>
    <s v="feb"/>
    <s v="Regular Pay"/>
    <d v="2025-01-27T00:00:00"/>
    <x v="7"/>
    <m/>
    <n v="4069.08"/>
    <n v="4069.08"/>
    <x v="1"/>
  </r>
  <r>
    <s v="Dante Alberto Pineda Reategui"/>
    <s v="feb"/>
    <s v="Regular Pay"/>
    <d v="2025-01-27T00:00:00"/>
    <x v="7"/>
    <m/>
    <n v="7595.62"/>
    <n v="7595.62"/>
    <x v="1"/>
  </r>
  <r>
    <s v="Ariana Valeria Del Aguila Pazos"/>
    <s v="feb"/>
    <s v="Regular Pay"/>
    <d v="2025-01-27T00:00:00"/>
    <x v="7"/>
    <m/>
    <n v="1600"/>
    <n v="1412.8"/>
    <x v="1"/>
  </r>
  <r>
    <s v="Ariana Valeria Del Aguila Pazos"/>
    <s v="feb"/>
    <s v="Regular Pay"/>
    <d v="2025-01-27T00:00:00"/>
    <x v="7"/>
    <m/>
    <n v="3360"/>
    <n v="3149.4"/>
    <x v="1"/>
  </r>
  <r>
    <s v="Leonardo Fabian Castro Chuan"/>
    <s v="feb"/>
    <s v="Regular Pay"/>
    <d v="2025-01-27T00:00:00"/>
    <x v="7"/>
    <m/>
    <n v="2240"/>
    <n v="2240"/>
    <x v="1"/>
  </r>
  <r>
    <s v="Leonardo Fabian Castro Chuan"/>
    <s v="feb"/>
    <s v="Regular Pay"/>
    <d v="2025-01-27T00:00:00"/>
    <x v="7"/>
    <m/>
    <n v="1200"/>
    <n v="1200"/>
    <x v="1"/>
  </r>
  <r>
    <s v="NATHALY GIOVANNA PALACIOS YNGAR DE LA VEGA"/>
    <s v="feb"/>
    <s v="Regular Pay"/>
    <d v="2025-01-27T00:00:00"/>
    <x v="7"/>
    <m/>
    <n v="1100"/>
    <n v="971.3"/>
    <x v="1"/>
  </r>
  <r>
    <s v="Nelson Kojy Giura Mori"/>
    <s v="feb"/>
    <s v="Regular Pay"/>
    <d v="2025-01-27T00:00:00"/>
    <x v="7"/>
    <m/>
    <n v="5000"/>
    <n v="4415"/>
    <x v="1"/>
  </r>
  <r>
    <s v="Dany Toshiro Tsukamoto Yncio"/>
    <s v="enere"/>
    <s v="Regular Pay"/>
    <d v="2024-12-27T00:00:00"/>
    <x v="8"/>
    <m/>
    <n v="5113"/>
    <n v="4514.78"/>
    <x v="1"/>
  </r>
  <r>
    <s v="Nelson Kojy Giura Mori"/>
    <s v="enere"/>
    <s v="Regular Pay"/>
    <d v="2024-12-27T00:00:00"/>
    <x v="8"/>
    <m/>
    <n v="5000"/>
    <n v="4415"/>
    <x v="1"/>
  </r>
  <r>
    <s v="Kristell Cecilia Flores Nuñez"/>
    <s v="enere"/>
    <s v="Regular Pay"/>
    <d v="2024-12-27T00:00:00"/>
    <x v="8"/>
    <m/>
    <n v="2800"/>
    <n v="2800"/>
    <x v="1"/>
  </r>
  <r>
    <s v="NATHALY GIOVANNA PALACIOS YNGAR DE LA VEGA"/>
    <s v="enere"/>
    <s v="Regular Pay"/>
    <d v="2024-12-27T00:00:00"/>
    <x v="8"/>
    <m/>
    <n v="1100"/>
    <n v="971.3"/>
    <x v="1"/>
  </r>
  <r>
    <s v="Leonardo Fabian Castro Chuan"/>
    <s v="enere"/>
    <s v="Regular Pay"/>
    <d v="2024-12-27T00:00:00"/>
    <x v="8"/>
    <m/>
    <n v="2240"/>
    <n v="2240"/>
    <x v="1"/>
  </r>
  <r>
    <s v="Ariana Valeria Del Aguila Pazos"/>
    <s v="enere"/>
    <s v="Regular Pay"/>
    <d v="2024-12-27T00:00:00"/>
    <x v="8"/>
    <m/>
    <n v="1600"/>
    <n v="1412.8"/>
    <x v="1"/>
  </r>
  <r>
    <s v="Dante Alberto Pineda Reategui"/>
    <s v="enere"/>
    <s v="Regular Pay"/>
    <d v="2024-12-27T00:00:00"/>
    <x v="8"/>
    <m/>
    <n v="4069.08"/>
    <n v="4069.08"/>
    <x v="1"/>
  </r>
  <r>
    <s v="Claudia Rocío de Fátima Rodríguez Gamarra"/>
    <s v="enere"/>
    <s v="Regular Pay"/>
    <d v="2024-12-27T00:00:00"/>
    <x v="8"/>
    <m/>
    <n v="1600"/>
    <n v="1600"/>
    <x v="1"/>
  </r>
  <r>
    <s v="SAMUEL CHUQUISTA ALCARRAZ"/>
    <s v="enere"/>
    <s v="Regular Pay"/>
    <d v="2024-12-27T00:00:00"/>
    <x v="8"/>
    <m/>
    <n v="5113"/>
    <n v="4514.7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9AC471-E7F1-4044-98A2-440E43AA0F37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P13" firstHeaderRow="0" firstDataRow="1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axis="axisRow" numFmtId="14" showAll="0">
      <items count="6">
        <item x="4"/>
        <item x="3"/>
        <item x="2"/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12"/>
    <field x="23"/>
    <field x="22"/>
    <field x="7"/>
  </rowFields>
  <rowItems count="10">
    <i>
      <x/>
    </i>
    <i r="1">
      <x v="3"/>
    </i>
    <i r="1">
      <x v="9"/>
    </i>
    <i r="1">
      <x v="10"/>
    </i>
    <i r="1">
      <x v="11"/>
    </i>
    <i>
      <x v="1"/>
    </i>
    <i r="1">
      <x v="2"/>
    </i>
    <i r="1">
      <x v="3"/>
    </i>
    <i r="1">
      <x v="10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 boletaID" fld="0" subtotal="count" baseField="0" baseItem="0"/>
    <dataField name=" sueldoBasico" fld="8" baseField="0" baseItem="0"/>
    <dataField name=" sueldoBruto" fld="9" baseField="0" baseItem="0"/>
    <dataField name=" totalDscctos" fld="19" baseField="0" baseItem="0"/>
    <dataField name=" sueldoNeto" fld="10" baseField="0" baseItem="0"/>
    <dataField name=" totalSeguros" fld="11" baseField="0" baseItem="0"/>
    <dataField name=" pagoHE" fld="15" baseField="0" baseItem="0"/>
    <dataField name=" beneficiosLey" fld="18" baseField="0" baseItem="0"/>
    <dataField name=" bono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DC8C0-A2D1-41EF-9891-A8049C43D27D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27" firstHeaderRow="0" firstDataRow="1" firstDataCol="1"/>
  <pivotFields count="11">
    <pivotField dataField="1" showAll="0"/>
    <pivotField showAll="0"/>
    <pivotField showAll="0"/>
    <pivotField numFmtId="164" showAll="0"/>
    <pivotField axis="axisRow" numFmtId="164" showAll="0">
      <items count="10"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dataField="1" showAll="0"/>
    <pivotField dataField="1" showAll="0"/>
    <pivotField axis="axisRow" showAll="0">
      <items count="6">
        <item x="4"/>
        <item x="2"/>
        <item x="1"/>
        <item x="0"/>
        <item x="3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8"/>
    <field x="10"/>
    <field x="9"/>
    <field x="4"/>
  </rowFields>
  <rowItems count="24">
    <i>
      <x/>
    </i>
    <i r="1">
      <x v="4"/>
    </i>
    <i>
      <x v="1"/>
    </i>
    <i r="1">
      <x v="3"/>
    </i>
    <i r="1">
      <x v="4"/>
    </i>
    <i r="1">
      <x v="10"/>
    </i>
    <i>
      <x v="2"/>
    </i>
    <i r="1">
      <x v="1"/>
    </i>
    <i r="1">
      <x v="2"/>
    </i>
    <i r="1">
      <x v="3"/>
    </i>
    <i r="1">
      <x v="6"/>
    </i>
    <i r="1">
      <x v="9"/>
    </i>
    <i r="1">
      <x v="10"/>
    </i>
    <i r="1">
      <x v="11"/>
    </i>
    <i>
      <x v="3"/>
    </i>
    <i r="1">
      <x v="3"/>
    </i>
    <i r="1">
      <x v="9"/>
    </i>
    <i r="1">
      <x v="10"/>
    </i>
    <i r="1">
      <x v="11"/>
    </i>
    <i>
      <x v="4"/>
    </i>
    <i r="1">
      <x v="2"/>
    </i>
    <i r="1">
      <x v="3"/>
    </i>
    <i r="1"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Empleado" fld="0" subtotal="count" baseField="0" baseItem="0"/>
    <dataField name=" Salario básico" fld="5" baseField="0" baseItem="0"/>
    <dataField name=" Salario bruto" fld="6" baseField="0" baseItem="0"/>
    <dataField name=" Salario neto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F4560A-2FEE-4498-AD57-57AD22E14746}" name="Tabla4" displayName="Tabla4" ref="A1:I90" totalsRowShown="0" headerRowDxfId="11" dataDxfId="10">
  <autoFilter ref="A1:I90" xr:uid="{98F4560A-2FEE-4498-AD57-57AD22E14746}"/>
  <tableColumns count="9">
    <tableColumn id="1" xr3:uid="{E2B5D9B7-47C3-4A7B-A624-3C6FFABC874C}" name="Empleado" dataDxfId="9"/>
    <tableColumn id="2" xr3:uid="{F71BF3F0-2557-401A-8295-4DE47D89BC1F}" name="Nombre del lote" dataDxfId="8"/>
    <tableColumn id="3" xr3:uid="{C69DB3A6-CE72-4F3F-BA50-545D04EE8921}" name="Estructura" dataDxfId="7"/>
    <tableColumn id="4" xr3:uid="{12748FDC-F070-4B98-8E89-C7E652A09C8D}" name="Desde" dataDxfId="6"/>
    <tableColumn id="5" xr3:uid="{81D8C2A2-4A21-4267-BD47-3BD82080492F}" name="Hasta" dataDxfId="5"/>
    <tableColumn id="6" xr3:uid="{4511F4D2-095C-411C-BACF-6C34B1D8AB53}" name="Salario básico" dataDxfId="4"/>
    <tableColumn id="7" xr3:uid="{9713B0B0-96DD-4769-AC58-F9E9BE2F2CFE}" name="Salario bruto" dataDxfId="3"/>
    <tableColumn id="8" xr3:uid="{CD176064-04F5-4B3E-B1AB-522E72207927}" name="Salario neto" dataDxfId="2"/>
    <tableColumn id="9" xr3:uid="{8C63305B-C6DD-4A42-9F98-2BCC48C3EEB2}" name="Estado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D1700E-054F-4339-9D1C-AF6A152778D3}" name="Tabla3" displayName="Tabla3" ref="A1:V21" totalsRowShown="0">
  <autoFilter ref="A1:V21" xr:uid="{AAD1700E-054F-4339-9D1C-AF6A152778D3}"/>
  <tableColumns count="22">
    <tableColumn id="1" xr3:uid="{0A458AAD-13EE-480C-9DE9-F0083EE7FB44}" name="boletaID"/>
    <tableColumn id="2" xr3:uid="{995E4EE6-ABC7-4F76-85F9-F2FF5B675C48}" name="nomEmpleado"/>
    <tableColumn id="3" xr3:uid="{DEFA7B2F-C29F-4C31-AE48-8AF7D5B8F5CF}" name="areaID"/>
    <tableColumn id="4" xr3:uid="{0FC3F5E1-46B8-4322-B02B-71D49CCE43E3}" name="nomArea"/>
    <tableColumn id="5" xr3:uid="{E0CA7066-9058-4C19-9128-BDADA07A17B4}" name="centroCosto"/>
    <tableColumn id="6" xr3:uid="{9751BB86-29AA-4849-B33E-B0B7BB792092}" name="tipoContrato"/>
    <tableColumn id="7" xr3:uid="{7D8BF813-C079-4880-BD70-6CD6AD1DC9CC}" name="sede"/>
    <tableColumn id="8" xr3:uid="{C68B102F-ED6E-4A40-A32F-BE3ED2A90D62}" name="fechaPago" dataDxfId="0"/>
    <tableColumn id="9" xr3:uid="{B90B8870-2339-405F-A387-53C75AA27081}" name="sueldoBasico"/>
    <tableColumn id="10" xr3:uid="{429C3D78-438B-4E94-8EDD-F873BCC59EDF}" name="sueldoBruto"/>
    <tableColumn id="11" xr3:uid="{970AF8E6-CB1C-461B-92C2-FB839E4FF275}" name="sueldoNeto"/>
    <tableColumn id="12" xr3:uid="{9C431FBB-66BD-4DF4-86B8-4B1E7351808E}" name="totalSeguros"/>
    <tableColumn id="13" xr3:uid="{47264B93-8796-4571-802F-D068C948EB20}" name="estadoBoleta"/>
    <tableColumn id="14" xr3:uid="{ADD7958B-2FB8-46A0-B1A9-483F96A44579}" name="producto"/>
    <tableColumn id="15" xr3:uid="{C815C760-5303-4D24-9F31-056B7FAA023E}" name="nomEmpresa"/>
    <tableColumn id="16" xr3:uid="{4839E718-FB37-49D6-BB0F-58E6FB4BA09F}" name="pagoHE"/>
    <tableColumn id="17" xr3:uid="{93E0E51D-6BEB-4C7E-A31D-676EF9C661BF}" name="sistemaPension"/>
    <tableColumn id="18" xr3:uid="{407A9C38-9929-49E1-A227-5B5A69769D87}" name="bonos"/>
    <tableColumn id="19" xr3:uid="{7F6FE785-C49E-4D32-82DC-6B8A1190BC5C}" name="beneficiosLey"/>
    <tableColumn id="20" xr3:uid="{A3B1296C-0C97-41A4-9E49-36A40C08FB49}" name="totalDscctos"/>
    <tableColumn id="21" xr3:uid="{3ED79BF5-A1B4-41D0-90B2-B0A155487430}" name="estadoID"/>
    <tableColumn id="22" xr3:uid="{35528DFA-F8E4-4DA5-9672-012EC7D05E41}" name="producto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"/>
  <sheetViews>
    <sheetView topLeftCell="B60" workbookViewId="0">
      <selection activeCell="D14" sqref="D14"/>
    </sheetView>
  </sheetViews>
  <sheetFormatPr baseColWidth="10" defaultColWidth="9.140625" defaultRowHeight="15" x14ac:dyDescent="0.25"/>
  <cols>
    <col min="1" max="9" width="30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/>
      <c r="C2" s="2" t="s">
        <v>11</v>
      </c>
      <c r="D2" s="3">
        <v>45933</v>
      </c>
      <c r="E2" s="3">
        <v>45963</v>
      </c>
      <c r="F2" s="2"/>
      <c r="G2" s="2">
        <v>166.67</v>
      </c>
      <c r="H2" s="2">
        <v>166.67</v>
      </c>
      <c r="I2" s="2" t="s">
        <v>13</v>
      </c>
    </row>
    <row r="3" spans="1:9" x14ac:dyDescent="0.25">
      <c r="A3" s="2" t="s">
        <v>9</v>
      </c>
      <c r="B3" s="2" t="s">
        <v>10</v>
      </c>
      <c r="C3" s="2" t="s">
        <v>11</v>
      </c>
      <c r="D3" s="3">
        <v>45933</v>
      </c>
      <c r="E3" s="3">
        <v>45963</v>
      </c>
      <c r="F3" s="2"/>
      <c r="G3" s="2">
        <v>166.67</v>
      </c>
      <c r="H3" s="2">
        <v>166.67</v>
      </c>
      <c r="I3" s="2" t="s">
        <v>12</v>
      </c>
    </row>
    <row r="4" spans="1:9" x14ac:dyDescent="0.25">
      <c r="A4" s="2" t="s">
        <v>16</v>
      </c>
      <c r="B4" s="2"/>
      <c r="C4" s="2" t="s">
        <v>11</v>
      </c>
      <c r="D4" s="3">
        <v>45931</v>
      </c>
      <c r="E4" s="3">
        <v>45961</v>
      </c>
      <c r="F4" s="2"/>
      <c r="G4" s="2">
        <v>3613</v>
      </c>
      <c r="H4" s="2">
        <v>3190.28</v>
      </c>
      <c r="I4" s="2" t="s">
        <v>12</v>
      </c>
    </row>
    <row r="5" spans="1:9" x14ac:dyDescent="0.25">
      <c r="A5" s="2" t="s">
        <v>19</v>
      </c>
      <c r="B5" s="2"/>
      <c r="C5" s="2" t="s">
        <v>11</v>
      </c>
      <c r="D5" s="3">
        <v>45931</v>
      </c>
      <c r="E5" s="3">
        <v>45961</v>
      </c>
      <c r="F5" s="2"/>
      <c r="G5" s="2">
        <v>1800</v>
      </c>
      <c r="H5" s="2">
        <v>1665</v>
      </c>
      <c r="I5" s="2" t="s">
        <v>12</v>
      </c>
    </row>
    <row r="6" spans="1:9" x14ac:dyDescent="0.25">
      <c r="A6" s="2" t="s">
        <v>14</v>
      </c>
      <c r="B6" s="2"/>
      <c r="C6" s="2" t="s">
        <v>11</v>
      </c>
      <c r="D6" s="3">
        <v>45931</v>
      </c>
      <c r="E6" s="3">
        <v>45961</v>
      </c>
      <c r="F6" s="2"/>
      <c r="G6" s="2">
        <v>-3021.2</v>
      </c>
      <c r="H6" s="2">
        <v>-2670.2</v>
      </c>
      <c r="I6" s="2" t="s">
        <v>12</v>
      </c>
    </row>
    <row r="7" spans="1:9" x14ac:dyDescent="0.25">
      <c r="A7" s="2" t="s">
        <v>9</v>
      </c>
      <c r="B7" s="2" t="s">
        <v>17</v>
      </c>
      <c r="C7" s="2" t="s">
        <v>11</v>
      </c>
      <c r="D7" s="3">
        <v>45933</v>
      </c>
      <c r="E7" s="3">
        <v>45961</v>
      </c>
      <c r="F7" s="2"/>
      <c r="G7" s="2"/>
      <c r="H7" s="2"/>
      <c r="I7" s="2" t="s">
        <v>18</v>
      </c>
    </row>
    <row r="8" spans="1:9" x14ac:dyDescent="0.25">
      <c r="A8" s="2" t="s">
        <v>129</v>
      </c>
      <c r="B8" s="2"/>
      <c r="C8" s="2" t="s">
        <v>11</v>
      </c>
      <c r="D8" s="3">
        <v>45931</v>
      </c>
      <c r="E8" s="3">
        <v>45961</v>
      </c>
      <c r="F8" s="2"/>
      <c r="G8" s="2">
        <v>-1614.73</v>
      </c>
      <c r="H8" s="2">
        <v>-1493.63</v>
      </c>
      <c r="I8" s="2" t="s">
        <v>12</v>
      </c>
    </row>
    <row r="9" spans="1:9" x14ac:dyDescent="0.25">
      <c r="A9" s="2" t="s">
        <v>14</v>
      </c>
      <c r="B9" s="2" t="s">
        <v>10</v>
      </c>
      <c r="C9" s="2" t="s">
        <v>11</v>
      </c>
      <c r="D9" s="3">
        <v>45931</v>
      </c>
      <c r="E9" s="3">
        <v>45961</v>
      </c>
      <c r="F9" s="2"/>
      <c r="G9" s="2">
        <v>3021.2</v>
      </c>
      <c r="H9" s="2">
        <v>2670.2</v>
      </c>
      <c r="I9" s="2" t="s">
        <v>13</v>
      </c>
    </row>
    <row r="10" spans="1:9" x14ac:dyDescent="0.25">
      <c r="A10" s="2" t="s">
        <v>19</v>
      </c>
      <c r="B10" s="2" t="s">
        <v>20</v>
      </c>
      <c r="C10" s="2" t="s">
        <v>11</v>
      </c>
      <c r="D10" s="3">
        <v>45931</v>
      </c>
      <c r="E10" s="3">
        <v>45961</v>
      </c>
      <c r="F10" s="2">
        <v>1800</v>
      </c>
      <c r="G10" s="2">
        <v>1800</v>
      </c>
      <c r="H10" s="2">
        <v>1800</v>
      </c>
      <c r="I10" s="2" t="s">
        <v>21</v>
      </c>
    </row>
    <row r="11" spans="1:9" x14ac:dyDescent="0.25">
      <c r="A11" s="2" t="s">
        <v>15</v>
      </c>
      <c r="B11" s="2" t="s">
        <v>10</v>
      </c>
      <c r="C11" s="2" t="s">
        <v>11</v>
      </c>
      <c r="D11" s="3">
        <v>45931</v>
      </c>
      <c r="E11" s="3">
        <v>45961</v>
      </c>
      <c r="F11" s="2"/>
      <c r="G11" s="2">
        <v>2021.57</v>
      </c>
      <c r="H11" s="2">
        <v>1787.57</v>
      </c>
      <c r="I11" s="2" t="s">
        <v>12</v>
      </c>
    </row>
    <row r="12" spans="1:9" x14ac:dyDescent="0.25">
      <c r="A12" s="2" t="s">
        <v>15</v>
      </c>
      <c r="B12" s="2"/>
      <c r="C12" s="2" t="s">
        <v>11</v>
      </c>
      <c r="D12" s="3">
        <v>45931</v>
      </c>
      <c r="E12" s="3">
        <v>45961</v>
      </c>
      <c r="F12" s="2"/>
      <c r="G12" s="2">
        <v>2021.57</v>
      </c>
      <c r="H12" s="2">
        <v>1787.57</v>
      </c>
      <c r="I12" s="2" t="s">
        <v>12</v>
      </c>
    </row>
    <row r="13" spans="1:9" x14ac:dyDescent="0.25">
      <c r="A13" s="2" t="s">
        <v>129</v>
      </c>
      <c r="B13" s="2" t="s">
        <v>10</v>
      </c>
      <c r="C13" s="2" t="s">
        <v>11</v>
      </c>
      <c r="D13" s="3">
        <v>45931</v>
      </c>
      <c r="E13" s="3">
        <v>45961</v>
      </c>
      <c r="F13" s="2"/>
      <c r="G13" s="2">
        <v>1614.73</v>
      </c>
      <c r="H13" s="2">
        <v>1493.63</v>
      </c>
      <c r="I13" s="2" t="s">
        <v>13</v>
      </c>
    </row>
    <row r="14" spans="1:9" x14ac:dyDescent="0.25">
      <c r="A14" s="2" t="s">
        <v>27</v>
      </c>
      <c r="B14" s="2" t="s">
        <v>17</v>
      </c>
      <c r="C14" s="2" t="s">
        <v>11</v>
      </c>
      <c r="D14" s="3">
        <v>45901</v>
      </c>
      <c r="E14" s="3">
        <v>45930</v>
      </c>
      <c r="F14" s="2"/>
      <c r="G14" s="2">
        <v>4051.02</v>
      </c>
      <c r="H14" s="2">
        <v>3415.77</v>
      </c>
      <c r="I14" s="2" t="s">
        <v>13</v>
      </c>
    </row>
    <row r="15" spans="1:9" x14ac:dyDescent="0.25">
      <c r="A15" s="2" t="s">
        <v>23</v>
      </c>
      <c r="B15" s="2" t="s">
        <v>17</v>
      </c>
      <c r="C15" s="2" t="s">
        <v>11</v>
      </c>
      <c r="D15" s="3">
        <v>45901</v>
      </c>
      <c r="E15" s="3">
        <v>45930</v>
      </c>
      <c r="F15" s="2"/>
      <c r="G15" s="2">
        <v>1500</v>
      </c>
      <c r="H15" s="2">
        <v>1324.5</v>
      </c>
      <c r="I15" s="2" t="s">
        <v>12</v>
      </c>
    </row>
    <row r="16" spans="1:9" ht="30" x14ac:dyDescent="0.25">
      <c r="A16" s="2" t="s">
        <v>22</v>
      </c>
      <c r="B16" s="2" t="s">
        <v>17</v>
      </c>
      <c r="C16" s="2" t="s">
        <v>11</v>
      </c>
      <c r="D16" s="3">
        <v>45901</v>
      </c>
      <c r="E16" s="3">
        <v>45930</v>
      </c>
      <c r="F16" s="2"/>
      <c r="G16" s="2">
        <v>1500</v>
      </c>
      <c r="H16" s="2">
        <v>1324.5</v>
      </c>
      <c r="I16" s="2" t="s">
        <v>12</v>
      </c>
    </row>
    <row r="17" spans="1:9" x14ac:dyDescent="0.25">
      <c r="A17" s="2" t="s">
        <v>24</v>
      </c>
      <c r="B17" s="2" t="s">
        <v>17</v>
      </c>
      <c r="C17" s="2" t="s">
        <v>11</v>
      </c>
      <c r="D17" s="3">
        <v>45901</v>
      </c>
      <c r="E17" s="3">
        <v>45930</v>
      </c>
      <c r="F17" s="2"/>
      <c r="G17" s="2">
        <v>5137.25</v>
      </c>
      <c r="H17" s="2">
        <v>4539.03</v>
      </c>
      <c r="I17" s="2" t="s">
        <v>12</v>
      </c>
    </row>
    <row r="18" spans="1:9" x14ac:dyDescent="0.25">
      <c r="A18" s="2" t="s">
        <v>25</v>
      </c>
      <c r="B18" s="2" t="s">
        <v>17</v>
      </c>
      <c r="C18" s="2" t="s">
        <v>11</v>
      </c>
      <c r="D18" s="3">
        <v>45901</v>
      </c>
      <c r="E18" s="3">
        <v>45930</v>
      </c>
      <c r="F18" s="2"/>
      <c r="G18" s="2">
        <v>5137.25</v>
      </c>
      <c r="H18" s="2">
        <v>4539.03</v>
      </c>
      <c r="I18" s="2" t="s">
        <v>12</v>
      </c>
    </row>
    <row r="19" spans="1:9" x14ac:dyDescent="0.25">
      <c r="A19" s="2" t="s">
        <v>26</v>
      </c>
      <c r="B19" s="2" t="s">
        <v>17</v>
      </c>
      <c r="C19" s="2" t="s">
        <v>11</v>
      </c>
      <c r="D19" s="3">
        <v>45901</v>
      </c>
      <c r="E19" s="3">
        <v>45930</v>
      </c>
      <c r="F19" s="2"/>
      <c r="G19" s="2">
        <v>5024.25</v>
      </c>
      <c r="H19" s="2">
        <v>4439.25</v>
      </c>
      <c r="I19" s="2" t="s">
        <v>12</v>
      </c>
    </row>
    <row r="20" spans="1:9" x14ac:dyDescent="0.25">
      <c r="A20" s="2" t="s">
        <v>34</v>
      </c>
      <c r="B20" s="2" t="s">
        <v>29</v>
      </c>
      <c r="C20" s="2" t="s">
        <v>11</v>
      </c>
      <c r="D20" s="3">
        <v>45804</v>
      </c>
      <c r="E20" s="3">
        <v>45834</v>
      </c>
      <c r="F20" s="2"/>
      <c r="G20" s="2">
        <v>1800</v>
      </c>
      <c r="H20" s="2">
        <v>1800</v>
      </c>
      <c r="I20" s="2" t="s">
        <v>12</v>
      </c>
    </row>
    <row r="21" spans="1:9" x14ac:dyDescent="0.25">
      <c r="A21" s="2" t="s">
        <v>24</v>
      </c>
      <c r="B21" s="2" t="s">
        <v>29</v>
      </c>
      <c r="C21" s="2" t="s">
        <v>11</v>
      </c>
      <c r="D21" s="3">
        <v>45804</v>
      </c>
      <c r="E21" s="3">
        <v>45834</v>
      </c>
      <c r="F21" s="2"/>
      <c r="G21" s="2">
        <v>5113</v>
      </c>
      <c r="H21" s="2">
        <v>4514.78</v>
      </c>
      <c r="I21" s="2" t="s">
        <v>12</v>
      </c>
    </row>
    <row r="22" spans="1:9" x14ac:dyDescent="0.25">
      <c r="A22" s="2" t="s">
        <v>25</v>
      </c>
      <c r="B22" s="2" t="s">
        <v>29</v>
      </c>
      <c r="C22" s="2" t="s">
        <v>11</v>
      </c>
      <c r="D22" s="3">
        <v>45804</v>
      </c>
      <c r="E22" s="3">
        <v>45834</v>
      </c>
      <c r="F22" s="2"/>
      <c r="G22" s="2">
        <v>5113</v>
      </c>
      <c r="H22" s="2">
        <v>4514.78</v>
      </c>
      <c r="I22" s="2" t="s">
        <v>12</v>
      </c>
    </row>
    <row r="23" spans="1:9" x14ac:dyDescent="0.25">
      <c r="A23" s="2" t="s">
        <v>30</v>
      </c>
      <c r="B23" s="2" t="s">
        <v>29</v>
      </c>
      <c r="C23" s="2" t="s">
        <v>11</v>
      </c>
      <c r="D23" s="3">
        <v>45804</v>
      </c>
      <c r="E23" s="3">
        <v>45834</v>
      </c>
      <c r="F23" s="2"/>
      <c r="G23" s="2">
        <v>1300</v>
      </c>
      <c r="H23" s="2">
        <v>1300</v>
      </c>
      <c r="I23" s="2" t="s">
        <v>12</v>
      </c>
    </row>
    <row r="24" spans="1:9" x14ac:dyDescent="0.25">
      <c r="A24" s="2" t="s">
        <v>19</v>
      </c>
      <c r="B24" s="2" t="s">
        <v>29</v>
      </c>
      <c r="C24" s="2" t="s">
        <v>11</v>
      </c>
      <c r="D24" s="3">
        <v>45804</v>
      </c>
      <c r="E24" s="3">
        <v>45834</v>
      </c>
      <c r="F24" s="2"/>
      <c r="G24" s="2">
        <v>1300</v>
      </c>
      <c r="H24" s="2">
        <v>1300</v>
      </c>
      <c r="I24" s="2" t="s">
        <v>12</v>
      </c>
    </row>
    <row r="25" spans="1:9" x14ac:dyDescent="0.25">
      <c r="A25" s="2" t="s">
        <v>28</v>
      </c>
      <c r="B25" s="2" t="s">
        <v>29</v>
      </c>
      <c r="C25" s="2" t="s">
        <v>11</v>
      </c>
      <c r="D25" s="3">
        <v>45804</v>
      </c>
      <c r="E25" s="3">
        <v>45834</v>
      </c>
      <c r="F25" s="2"/>
      <c r="G25" s="2">
        <v>4069.08</v>
      </c>
      <c r="H25" s="2">
        <v>4069.08</v>
      </c>
      <c r="I25" s="2" t="s">
        <v>12</v>
      </c>
    </row>
    <row r="26" spans="1:9" x14ac:dyDescent="0.25">
      <c r="A26" s="2" t="s">
        <v>23</v>
      </c>
      <c r="B26" s="2" t="s">
        <v>29</v>
      </c>
      <c r="C26" s="2" t="s">
        <v>11</v>
      </c>
      <c r="D26" s="3">
        <v>45804</v>
      </c>
      <c r="E26" s="3">
        <v>45834</v>
      </c>
      <c r="F26" s="2"/>
      <c r="G26" s="2">
        <v>2800</v>
      </c>
      <c r="H26" s="2">
        <v>2624.5</v>
      </c>
      <c r="I26" s="2" t="s">
        <v>12</v>
      </c>
    </row>
    <row r="27" spans="1:9" x14ac:dyDescent="0.25">
      <c r="A27" s="2" t="s">
        <v>23</v>
      </c>
      <c r="B27" s="2" t="s">
        <v>29</v>
      </c>
      <c r="C27" s="2" t="s">
        <v>11</v>
      </c>
      <c r="D27" s="3">
        <v>45804</v>
      </c>
      <c r="E27" s="3">
        <v>45834</v>
      </c>
      <c r="F27" s="2"/>
      <c r="G27" s="2">
        <v>1350</v>
      </c>
      <c r="H27" s="2">
        <v>1192.05</v>
      </c>
      <c r="I27" s="2" t="s">
        <v>12</v>
      </c>
    </row>
    <row r="28" spans="1:9" x14ac:dyDescent="0.25">
      <c r="A28" s="2" t="s">
        <v>31</v>
      </c>
      <c r="B28" s="2" t="s">
        <v>29</v>
      </c>
      <c r="C28" s="2" t="s">
        <v>11</v>
      </c>
      <c r="D28" s="3">
        <v>45804</v>
      </c>
      <c r="E28" s="3">
        <v>45834</v>
      </c>
      <c r="F28" s="2"/>
      <c r="G28" s="2">
        <v>1800</v>
      </c>
      <c r="H28" s="2">
        <v>1589.4</v>
      </c>
      <c r="I28" s="2" t="s">
        <v>12</v>
      </c>
    </row>
    <row r="29" spans="1:9" x14ac:dyDescent="0.25">
      <c r="A29" s="2" t="s">
        <v>26</v>
      </c>
      <c r="B29" s="2" t="s">
        <v>29</v>
      </c>
      <c r="C29" s="2" t="s">
        <v>11</v>
      </c>
      <c r="D29" s="3">
        <v>45804</v>
      </c>
      <c r="E29" s="3">
        <v>45834</v>
      </c>
      <c r="F29" s="2"/>
      <c r="G29" s="2">
        <v>5000</v>
      </c>
      <c r="H29" s="2">
        <v>4415</v>
      </c>
      <c r="I29" s="2" t="s">
        <v>12</v>
      </c>
    </row>
    <row r="30" spans="1:9" ht="30" x14ac:dyDescent="0.25">
      <c r="A30" s="2" t="s">
        <v>22</v>
      </c>
      <c r="B30" s="2" t="s">
        <v>29</v>
      </c>
      <c r="C30" s="2" t="s">
        <v>11</v>
      </c>
      <c r="D30" s="3">
        <v>45804</v>
      </c>
      <c r="E30" s="3">
        <v>45834</v>
      </c>
      <c r="F30" s="2"/>
      <c r="G30" s="2">
        <v>1500</v>
      </c>
      <c r="H30" s="2">
        <v>1324.5</v>
      </c>
      <c r="I30" s="2" t="s">
        <v>12</v>
      </c>
    </row>
    <row r="31" spans="1:9" x14ac:dyDescent="0.25">
      <c r="A31" s="2" t="s">
        <v>32</v>
      </c>
      <c r="B31" s="2" t="s">
        <v>29</v>
      </c>
      <c r="C31" s="2" t="s">
        <v>11</v>
      </c>
      <c r="D31" s="3">
        <v>45804</v>
      </c>
      <c r="E31" s="3">
        <v>45834</v>
      </c>
      <c r="F31" s="2"/>
      <c r="G31" s="2">
        <v>2080</v>
      </c>
      <c r="H31" s="2">
        <v>2080</v>
      </c>
      <c r="I31" s="2" t="s">
        <v>12</v>
      </c>
    </row>
    <row r="32" spans="1:9" ht="30" x14ac:dyDescent="0.25">
      <c r="A32" s="2" t="s">
        <v>33</v>
      </c>
      <c r="B32" s="2" t="s">
        <v>29</v>
      </c>
      <c r="C32" s="2" t="s">
        <v>11</v>
      </c>
      <c r="D32" s="3">
        <v>45804</v>
      </c>
      <c r="E32" s="3">
        <v>45834</v>
      </c>
      <c r="F32" s="2"/>
      <c r="G32" s="2">
        <v>2500</v>
      </c>
      <c r="H32" s="2">
        <v>2500</v>
      </c>
      <c r="I32" s="2" t="s">
        <v>12</v>
      </c>
    </row>
    <row r="33" spans="1:9" x14ac:dyDescent="0.25">
      <c r="A33" s="2" t="s">
        <v>35</v>
      </c>
      <c r="B33" s="2"/>
      <c r="C33" s="2" t="s">
        <v>11</v>
      </c>
      <c r="D33" s="3">
        <v>45748</v>
      </c>
      <c r="E33" s="3">
        <v>45777</v>
      </c>
      <c r="F33" s="2"/>
      <c r="G33" s="2"/>
      <c r="H33" s="2"/>
      <c r="I33" s="2" t="s">
        <v>18</v>
      </c>
    </row>
    <row r="34" spans="1:9" x14ac:dyDescent="0.25">
      <c r="A34" s="2" t="s">
        <v>30</v>
      </c>
      <c r="B34" s="2"/>
      <c r="C34" s="2" t="s">
        <v>38</v>
      </c>
      <c r="D34" s="3">
        <v>45748</v>
      </c>
      <c r="E34" s="3">
        <v>45777</v>
      </c>
      <c r="F34" s="2"/>
      <c r="G34" s="2"/>
      <c r="H34" s="2"/>
      <c r="I34" s="2" t="s">
        <v>18</v>
      </c>
    </row>
    <row r="35" spans="1:9" x14ac:dyDescent="0.25">
      <c r="A35" s="2" t="s">
        <v>36</v>
      </c>
      <c r="B35" s="2"/>
      <c r="C35" s="2" t="s">
        <v>11</v>
      </c>
      <c r="D35" s="3">
        <v>45748</v>
      </c>
      <c r="E35" s="3">
        <v>45777</v>
      </c>
      <c r="F35" s="2"/>
      <c r="G35" s="2"/>
      <c r="H35" s="2"/>
      <c r="I35" s="2" t="s">
        <v>37</v>
      </c>
    </row>
    <row r="36" spans="1:9" x14ac:dyDescent="0.25">
      <c r="A36" s="2" t="s">
        <v>36</v>
      </c>
      <c r="B36" s="2"/>
      <c r="C36" s="2" t="s">
        <v>11</v>
      </c>
      <c r="D36" s="3">
        <v>45748</v>
      </c>
      <c r="E36" s="3">
        <v>45777</v>
      </c>
      <c r="F36" s="2"/>
      <c r="G36" s="2"/>
      <c r="H36" s="2"/>
      <c r="I36" s="2" t="s">
        <v>37</v>
      </c>
    </row>
    <row r="37" spans="1:9" x14ac:dyDescent="0.25">
      <c r="A37" s="2" t="s">
        <v>36</v>
      </c>
      <c r="B37" s="2"/>
      <c r="C37" s="2" t="s">
        <v>11</v>
      </c>
      <c r="D37" s="3">
        <v>45748</v>
      </c>
      <c r="E37" s="3">
        <v>45777</v>
      </c>
      <c r="F37" s="2"/>
      <c r="G37" s="2"/>
      <c r="H37" s="2"/>
      <c r="I37" s="2" t="s">
        <v>37</v>
      </c>
    </row>
    <row r="38" spans="1:9" x14ac:dyDescent="0.25">
      <c r="A38" s="2" t="s">
        <v>36</v>
      </c>
      <c r="B38" s="2"/>
      <c r="C38" s="2" t="s">
        <v>11</v>
      </c>
      <c r="D38" s="3">
        <v>45748</v>
      </c>
      <c r="E38" s="3">
        <v>45777</v>
      </c>
      <c r="F38" s="2"/>
      <c r="G38" s="2"/>
      <c r="H38" s="2"/>
      <c r="I38" s="2" t="s">
        <v>37</v>
      </c>
    </row>
    <row r="39" spans="1:9" x14ac:dyDescent="0.25">
      <c r="A39" s="2" t="s">
        <v>36</v>
      </c>
      <c r="B39" s="2"/>
      <c r="C39" s="2" t="s">
        <v>11</v>
      </c>
      <c r="D39" s="3">
        <v>45748</v>
      </c>
      <c r="E39" s="3">
        <v>45777</v>
      </c>
      <c r="F39" s="2"/>
      <c r="G39" s="2"/>
      <c r="H39" s="2"/>
      <c r="I39" s="2" t="s">
        <v>37</v>
      </c>
    </row>
    <row r="40" spans="1:9" x14ac:dyDescent="0.25">
      <c r="A40" s="2" t="s">
        <v>36</v>
      </c>
      <c r="B40" s="2"/>
      <c r="C40" s="2" t="s">
        <v>11</v>
      </c>
      <c r="D40" s="3">
        <v>45748</v>
      </c>
      <c r="E40" s="3">
        <v>45777</v>
      </c>
      <c r="F40" s="2"/>
      <c r="G40" s="2"/>
      <c r="H40" s="2"/>
      <c r="I40" s="2" t="s">
        <v>37</v>
      </c>
    </row>
    <row r="41" spans="1:9" x14ac:dyDescent="0.25">
      <c r="A41" s="2" t="s">
        <v>24</v>
      </c>
      <c r="B41" s="2" t="s">
        <v>39</v>
      </c>
      <c r="C41" s="2" t="s">
        <v>11</v>
      </c>
      <c r="D41" s="3">
        <v>45715</v>
      </c>
      <c r="E41" s="3">
        <v>45742</v>
      </c>
      <c r="F41" s="2"/>
      <c r="G41" s="2">
        <v>5135.25</v>
      </c>
      <c r="H41" s="2">
        <v>4537.03</v>
      </c>
      <c r="I41" s="2" t="s">
        <v>13</v>
      </c>
    </row>
    <row r="42" spans="1:9" x14ac:dyDescent="0.25">
      <c r="A42" s="2" t="s">
        <v>40</v>
      </c>
      <c r="B42" s="2" t="s">
        <v>39</v>
      </c>
      <c r="C42" s="2" t="s">
        <v>11</v>
      </c>
      <c r="D42" s="3">
        <v>45715</v>
      </c>
      <c r="E42" s="3">
        <v>45742</v>
      </c>
      <c r="F42" s="2"/>
      <c r="G42" s="2">
        <v>2240</v>
      </c>
      <c r="H42" s="2">
        <v>2240</v>
      </c>
      <c r="I42" s="2" t="s">
        <v>13</v>
      </c>
    </row>
    <row r="43" spans="1:9" x14ac:dyDescent="0.25">
      <c r="A43" s="2" t="s">
        <v>34</v>
      </c>
      <c r="B43" s="2" t="s">
        <v>39</v>
      </c>
      <c r="C43" s="2" t="s">
        <v>11</v>
      </c>
      <c r="D43" s="3">
        <v>45715</v>
      </c>
      <c r="E43" s="3">
        <v>45742</v>
      </c>
      <c r="F43" s="2"/>
      <c r="G43" s="2">
        <v>1800</v>
      </c>
      <c r="H43" s="2">
        <v>1800</v>
      </c>
      <c r="I43" s="2" t="s">
        <v>13</v>
      </c>
    </row>
    <row r="44" spans="1:9" ht="30" x14ac:dyDescent="0.25">
      <c r="A44" s="2" t="s">
        <v>41</v>
      </c>
      <c r="B44" s="2" t="s">
        <v>39</v>
      </c>
      <c r="C44" s="2" t="s">
        <v>11</v>
      </c>
      <c r="D44" s="3">
        <v>45715</v>
      </c>
      <c r="E44" s="3">
        <v>45742</v>
      </c>
      <c r="F44" s="2"/>
      <c r="G44" s="2">
        <v>2500</v>
      </c>
      <c r="H44" s="2">
        <v>2207.5</v>
      </c>
      <c r="I44" s="2" t="s">
        <v>13</v>
      </c>
    </row>
    <row r="45" spans="1:9" x14ac:dyDescent="0.25">
      <c r="A45" s="2" t="s">
        <v>24</v>
      </c>
      <c r="B45" s="2" t="s">
        <v>43</v>
      </c>
      <c r="C45" s="2" t="s">
        <v>11</v>
      </c>
      <c r="D45" s="3">
        <v>45715</v>
      </c>
      <c r="E45" s="3">
        <v>45742</v>
      </c>
      <c r="F45" s="2"/>
      <c r="G45" s="2">
        <v>5135.25</v>
      </c>
      <c r="H45" s="2">
        <v>4537.03</v>
      </c>
      <c r="I45" s="2" t="s">
        <v>12</v>
      </c>
    </row>
    <row r="46" spans="1:9" x14ac:dyDescent="0.25">
      <c r="A46" s="2" t="s">
        <v>26</v>
      </c>
      <c r="B46" s="2" t="s">
        <v>39</v>
      </c>
      <c r="C46" s="2" t="s">
        <v>11</v>
      </c>
      <c r="D46" s="3">
        <v>45715</v>
      </c>
      <c r="E46" s="3">
        <v>45742</v>
      </c>
      <c r="F46" s="2"/>
      <c r="G46" s="2">
        <v>5022.25</v>
      </c>
      <c r="H46" s="2">
        <v>4437.25</v>
      </c>
      <c r="I46" s="2" t="s">
        <v>13</v>
      </c>
    </row>
    <row r="47" spans="1:9" x14ac:dyDescent="0.25">
      <c r="A47" s="2" t="s">
        <v>25</v>
      </c>
      <c r="B47" s="2" t="s">
        <v>39</v>
      </c>
      <c r="C47" s="2" t="s">
        <v>11</v>
      </c>
      <c r="D47" s="3">
        <v>45715</v>
      </c>
      <c r="E47" s="3">
        <v>45742</v>
      </c>
      <c r="F47" s="2"/>
      <c r="G47" s="2">
        <v>5135.25</v>
      </c>
      <c r="H47" s="2">
        <v>4537.03</v>
      </c>
      <c r="I47" s="2" t="s">
        <v>13</v>
      </c>
    </row>
    <row r="48" spans="1:9" x14ac:dyDescent="0.25">
      <c r="A48" s="2" t="s">
        <v>34</v>
      </c>
      <c r="B48" s="2" t="s">
        <v>42</v>
      </c>
      <c r="C48" s="2" t="s">
        <v>11</v>
      </c>
      <c r="D48" s="3">
        <v>45715</v>
      </c>
      <c r="E48" s="3">
        <v>45742</v>
      </c>
      <c r="F48" s="2"/>
      <c r="G48" s="2">
        <v>1800</v>
      </c>
      <c r="H48" s="2">
        <v>1538.16</v>
      </c>
      <c r="I48" s="2" t="s">
        <v>21</v>
      </c>
    </row>
    <row r="49" spans="1:9" x14ac:dyDescent="0.25">
      <c r="A49" s="2" t="s">
        <v>31</v>
      </c>
      <c r="B49" s="2" t="s">
        <v>39</v>
      </c>
      <c r="C49" s="2" t="s">
        <v>11</v>
      </c>
      <c r="D49" s="3">
        <v>45715</v>
      </c>
      <c r="E49" s="3">
        <v>45742</v>
      </c>
      <c r="F49" s="2"/>
      <c r="G49" s="2">
        <v>1800</v>
      </c>
      <c r="H49" s="2">
        <v>1589.4</v>
      </c>
      <c r="I49" s="2" t="s">
        <v>18</v>
      </c>
    </row>
    <row r="50" spans="1:9" x14ac:dyDescent="0.25">
      <c r="A50" s="2" t="s">
        <v>23</v>
      </c>
      <c r="B50" s="2" t="s">
        <v>39</v>
      </c>
      <c r="C50" s="2" t="s">
        <v>11</v>
      </c>
      <c r="D50" s="3">
        <v>45715</v>
      </c>
      <c r="E50" s="3">
        <v>45742</v>
      </c>
      <c r="F50" s="2"/>
      <c r="G50" s="2">
        <v>2520</v>
      </c>
      <c r="H50" s="2">
        <v>2362.0500000000002</v>
      </c>
      <c r="I50" s="2" t="s">
        <v>13</v>
      </c>
    </row>
    <row r="51" spans="1:9" x14ac:dyDescent="0.25">
      <c r="A51" s="2" t="s">
        <v>28</v>
      </c>
      <c r="B51" s="2" t="s">
        <v>39</v>
      </c>
      <c r="C51" s="2" t="s">
        <v>11</v>
      </c>
      <c r="D51" s="3">
        <v>45715</v>
      </c>
      <c r="E51" s="3">
        <v>45742</v>
      </c>
      <c r="F51" s="2"/>
      <c r="G51" s="2">
        <v>4069.08</v>
      </c>
      <c r="H51" s="2">
        <v>4069.08</v>
      </c>
      <c r="I51" s="2" t="s">
        <v>13</v>
      </c>
    </row>
    <row r="52" spans="1:9" x14ac:dyDescent="0.25">
      <c r="A52" s="2" t="s">
        <v>40</v>
      </c>
      <c r="B52" s="2" t="s">
        <v>39</v>
      </c>
      <c r="C52" s="2" t="s">
        <v>11</v>
      </c>
      <c r="D52" s="3">
        <v>45715</v>
      </c>
      <c r="E52" s="3">
        <v>45742</v>
      </c>
      <c r="F52" s="2"/>
      <c r="G52" s="2">
        <v>1200</v>
      </c>
      <c r="H52" s="2">
        <v>1200</v>
      </c>
      <c r="I52" s="2" t="s">
        <v>13</v>
      </c>
    </row>
    <row r="53" spans="1:9" ht="30" x14ac:dyDescent="0.25">
      <c r="A53" s="2" t="s">
        <v>22</v>
      </c>
      <c r="B53" s="2" t="s">
        <v>39</v>
      </c>
      <c r="C53" s="2" t="s">
        <v>11</v>
      </c>
      <c r="D53" s="3">
        <v>45715</v>
      </c>
      <c r="E53" s="3">
        <v>45742</v>
      </c>
      <c r="F53" s="2"/>
      <c r="G53" s="2">
        <v>1522.25</v>
      </c>
      <c r="H53" s="2">
        <v>1346.75</v>
      </c>
      <c r="I53" s="2" t="s">
        <v>13</v>
      </c>
    </row>
    <row r="54" spans="1:9" x14ac:dyDescent="0.25">
      <c r="A54" s="2" t="s">
        <v>26</v>
      </c>
      <c r="B54" s="2" t="s">
        <v>44</v>
      </c>
      <c r="C54" s="2" t="s">
        <v>11</v>
      </c>
      <c r="D54" s="3">
        <v>45689</v>
      </c>
      <c r="E54" s="3">
        <v>45716</v>
      </c>
      <c r="F54" s="2"/>
      <c r="G54" s="2">
        <v>5022.25</v>
      </c>
      <c r="H54" s="2">
        <v>4437.25</v>
      </c>
      <c r="I54" s="2" t="s">
        <v>12</v>
      </c>
    </row>
    <row r="55" spans="1:9" x14ac:dyDescent="0.25">
      <c r="A55" s="2" t="s">
        <v>28</v>
      </c>
      <c r="B55" s="2" t="s">
        <v>44</v>
      </c>
      <c r="C55" s="2" t="s">
        <v>11</v>
      </c>
      <c r="D55" s="3">
        <v>45689</v>
      </c>
      <c r="E55" s="3">
        <v>45716</v>
      </c>
      <c r="F55" s="2"/>
      <c r="G55" s="2">
        <v>4069.08</v>
      </c>
      <c r="H55" s="2">
        <v>4069.08</v>
      </c>
      <c r="I55" s="2" t="s">
        <v>12</v>
      </c>
    </row>
    <row r="56" spans="1:9" x14ac:dyDescent="0.25">
      <c r="A56" s="2" t="s">
        <v>31</v>
      </c>
      <c r="B56" s="2" t="s">
        <v>44</v>
      </c>
      <c r="C56" s="2" t="s">
        <v>11</v>
      </c>
      <c r="D56" s="3">
        <v>45689</v>
      </c>
      <c r="E56" s="3">
        <v>45716</v>
      </c>
      <c r="F56" s="2"/>
      <c r="G56" s="2">
        <v>1800</v>
      </c>
      <c r="H56" s="2">
        <v>1589.4</v>
      </c>
      <c r="I56" s="2" t="s">
        <v>12</v>
      </c>
    </row>
    <row r="57" spans="1:9" x14ac:dyDescent="0.25">
      <c r="A57" s="2" t="s">
        <v>40</v>
      </c>
      <c r="B57" s="2" t="s">
        <v>44</v>
      </c>
      <c r="C57" s="2" t="s">
        <v>11</v>
      </c>
      <c r="D57" s="3">
        <v>45689</v>
      </c>
      <c r="E57" s="3">
        <v>45716</v>
      </c>
      <c r="F57" s="2"/>
      <c r="G57" s="2">
        <v>1200</v>
      </c>
      <c r="H57" s="2">
        <v>1200</v>
      </c>
      <c r="I57" s="2" t="s">
        <v>12</v>
      </c>
    </row>
    <row r="58" spans="1:9" ht="30" x14ac:dyDescent="0.25">
      <c r="A58" s="2" t="s">
        <v>22</v>
      </c>
      <c r="B58" s="2" t="s">
        <v>44</v>
      </c>
      <c r="C58" s="2" t="s">
        <v>11</v>
      </c>
      <c r="D58" s="3">
        <v>45689</v>
      </c>
      <c r="E58" s="3">
        <v>45716</v>
      </c>
      <c r="F58" s="2"/>
      <c r="G58" s="2">
        <v>1500</v>
      </c>
      <c r="H58" s="2">
        <v>1324.5</v>
      </c>
      <c r="I58" s="2" t="s">
        <v>12</v>
      </c>
    </row>
    <row r="59" spans="1:9" ht="30" x14ac:dyDescent="0.25">
      <c r="A59" s="2" t="s">
        <v>41</v>
      </c>
      <c r="B59" s="2" t="s">
        <v>44</v>
      </c>
      <c r="C59" s="2" t="s">
        <v>11</v>
      </c>
      <c r="D59" s="3">
        <v>45689</v>
      </c>
      <c r="E59" s="3">
        <v>45716</v>
      </c>
      <c r="F59" s="2"/>
      <c r="G59" s="2">
        <v>2500</v>
      </c>
      <c r="H59" s="2">
        <v>2207.5</v>
      </c>
      <c r="I59" s="2" t="s">
        <v>12</v>
      </c>
    </row>
    <row r="60" spans="1:9" x14ac:dyDescent="0.25">
      <c r="A60" s="2" t="s">
        <v>25</v>
      </c>
      <c r="B60" s="2" t="s">
        <v>44</v>
      </c>
      <c r="C60" s="2" t="s">
        <v>11</v>
      </c>
      <c r="D60" s="3">
        <v>45689</v>
      </c>
      <c r="E60" s="3">
        <v>45716</v>
      </c>
      <c r="F60" s="2"/>
      <c r="G60" s="2">
        <v>5113</v>
      </c>
      <c r="H60" s="2">
        <v>4514.78</v>
      </c>
      <c r="I60" s="2" t="s">
        <v>12</v>
      </c>
    </row>
    <row r="61" spans="1:9" x14ac:dyDescent="0.25">
      <c r="A61" s="2" t="s">
        <v>24</v>
      </c>
      <c r="B61" s="2" t="s">
        <v>44</v>
      </c>
      <c r="C61" s="2" t="s">
        <v>11</v>
      </c>
      <c r="D61" s="3">
        <v>45689</v>
      </c>
      <c r="E61" s="3">
        <v>45716</v>
      </c>
      <c r="F61" s="2"/>
      <c r="G61" s="2">
        <v>5113</v>
      </c>
      <c r="H61" s="2">
        <v>4514.78</v>
      </c>
      <c r="I61" s="2" t="s">
        <v>12</v>
      </c>
    </row>
    <row r="62" spans="1:9" x14ac:dyDescent="0.25">
      <c r="A62" s="2" t="s">
        <v>34</v>
      </c>
      <c r="B62" s="2" t="s">
        <v>44</v>
      </c>
      <c r="C62" s="2" t="s">
        <v>11</v>
      </c>
      <c r="D62" s="3">
        <v>45689</v>
      </c>
      <c r="E62" s="3">
        <v>45716</v>
      </c>
      <c r="F62" s="2"/>
      <c r="G62" s="2">
        <v>1800</v>
      </c>
      <c r="H62" s="2">
        <v>1740</v>
      </c>
      <c r="I62" s="2" t="s">
        <v>12</v>
      </c>
    </row>
    <row r="63" spans="1:9" x14ac:dyDescent="0.25">
      <c r="A63" s="2" t="s">
        <v>26</v>
      </c>
      <c r="B63" s="2" t="s">
        <v>46</v>
      </c>
      <c r="C63" s="2" t="s">
        <v>11</v>
      </c>
      <c r="D63" s="3">
        <v>45684</v>
      </c>
      <c r="E63" s="3">
        <v>45714</v>
      </c>
      <c r="F63" s="2"/>
      <c r="G63" s="2">
        <v>5000</v>
      </c>
      <c r="H63" s="2">
        <v>4415</v>
      </c>
      <c r="I63" s="2" t="s">
        <v>21</v>
      </c>
    </row>
    <row r="64" spans="1:9" ht="30" x14ac:dyDescent="0.25">
      <c r="A64" s="2" t="s">
        <v>22</v>
      </c>
      <c r="B64" s="2" t="s">
        <v>45</v>
      </c>
      <c r="C64" s="2" t="s">
        <v>11</v>
      </c>
      <c r="D64" s="3">
        <v>45684</v>
      </c>
      <c r="E64" s="3">
        <v>45714</v>
      </c>
      <c r="F64" s="2"/>
      <c r="G64" s="2">
        <v>2800</v>
      </c>
      <c r="H64" s="2">
        <v>2624.5</v>
      </c>
      <c r="I64" s="2" t="s">
        <v>12</v>
      </c>
    </row>
    <row r="65" spans="1:9" x14ac:dyDescent="0.25">
      <c r="A65" s="2" t="s">
        <v>34</v>
      </c>
      <c r="B65" s="2" t="s">
        <v>45</v>
      </c>
      <c r="C65" s="2" t="s">
        <v>11</v>
      </c>
      <c r="D65" s="3">
        <v>45684</v>
      </c>
      <c r="E65" s="3">
        <v>45714</v>
      </c>
      <c r="F65" s="2"/>
      <c r="G65" s="2">
        <v>1500</v>
      </c>
      <c r="H65" s="2">
        <v>1500</v>
      </c>
      <c r="I65" s="2" t="s">
        <v>12</v>
      </c>
    </row>
    <row r="66" spans="1:9" x14ac:dyDescent="0.25">
      <c r="A66" s="2" t="s">
        <v>34</v>
      </c>
      <c r="B66" s="2" t="s">
        <v>45</v>
      </c>
      <c r="C66" s="2" t="s">
        <v>11</v>
      </c>
      <c r="D66" s="3">
        <v>45684</v>
      </c>
      <c r="E66" s="3">
        <v>45714</v>
      </c>
      <c r="F66" s="2"/>
      <c r="G66" s="2">
        <v>3360</v>
      </c>
      <c r="H66" s="2">
        <v>3360</v>
      </c>
      <c r="I66" s="2" t="s">
        <v>12</v>
      </c>
    </row>
    <row r="67" spans="1:9" ht="30" x14ac:dyDescent="0.25">
      <c r="A67" s="2" t="s">
        <v>41</v>
      </c>
      <c r="B67" s="2" t="s">
        <v>45</v>
      </c>
      <c r="C67" s="2" t="s">
        <v>11</v>
      </c>
      <c r="D67" s="3">
        <v>45684</v>
      </c>
      <c r="E67" s="3">
        <v>45714</v>
      </c>
      <c r="F67" s="2"/>
      <c r="G67" s="2">
        <v>4666.67</v>
      </c>
      <c r="H67" s="2">
        <v>4374.17</v>
      </c>
      <c r="I67" s="2" t="s">
        <v>12</v>
      </c>
    </row>
    <row r="68" spans="1:9" x14ac:dyDescent="0.25">
      <c r="A68" s="2" t="s">
        <v>25</v>
      </c>
      <c r="B68" s="2" t="s">
        <v>45</v>
      </c>
      <c r="C68" s="2" t="s">
        <v>11</v>
      </c>
      <c r="D68" s="3">
        <v>45684</v>
      </c>
      <c r="E68" s="3">
        <v>45714</v>
      </c>
      <c r="F68" s="2"/>
      <c r="G68" s="2">
        <v>5113</v>
      </c>
      <c r="H68" s="2">
        <v>4514.78</v>
      </c>
      <c r="I68" s="2" t="s">
        <v>12</v>
      </c>
    </row>
    <row r="69" spans="1:9" x14ac:dyDescent="0.25">
      <c r="A69" s="2" t="s">
        <v>24</v>
      </c>
      <c r="B69" s="2" t="s">
        <v>45</v>
      </c>
      <c r="C69" s="2" t="s">
        <v>11</v>
      </c>
      <c r="D69" s="3">
        <v>45684</v>
      </c>
      <c r="E69" s="3">
        <v>45714</v>
      </c>
      <c r="F69" s="2"/>
      <c r="G69" s="2">
        <v>5113</v>
      </c>
      <c r="H69" s="2">
        <v>4514.78</v>
      </c>
      <c r="I69" s="2" t="s">
        <v>12</v>
      </c>
    </row>
    <row r="70" spans="1:9" x14ac:dyDescent="0.25">
      <c r="A70" s="2" t="s">
        <v>24</v>
      </c>
      <c r="B70" s="2" t="s">
        <v>46</v>
      </c>
      <c r="C70" s="2" t="s">
        <v>11</v>
      </c>
      <c r="D70" s="3">
        <v>45684</v>
      </c>
      <c r="E70" s="3">
        <v>45714</v>
      </c>
      <c r="F70" s="2"/>
      <c r="G70" s="2">
        <v>5113</v>
      </c>
      <c r="H70" s="2">
        <v>4514.78</v>
      </c>
      <c r="I70" s="2" t="s">
        <v>21</v>
      </c>
    </row>
    <row r="71" spans="1:9" x14ac:dyDescent="0.25">
      <c r="A71" s="2" t="s">
        <v>28</v>
      </c>
      <c r="B71" s="2" t="s">
        <v>46</v>
      </c>
      <c r="C71" s="2" t="s">
        <v>11</v>
      </c>
      <c r="D71" s="3">
        <v>45684</v>
      </c>
      <c r="E71" s="3">
        <v>45714</v>
      </c>
      <c r="F71" s="2"/>
      <c r="G71" s="2">
        <v>4069.08</v>
      </c>
      <c r="H71" s="2">
        <v>4069.08</v>
      </c>
      <c r="I71" s="2" t="s">
        <v>21</v>
      </c>
    </row>
    <row r="72" spans="1:9" x14ac:dyDescent="0.25">
      <c r="A72" s="2" t="s">
        <v>25</v>
      </c>
      <c r="B72" s="2" t="s">
        <v>46</v>
      </c>
      <c r="C72" s="2" t="s">
        <v>11</v>
      </c>
      <c r="D72" s="3">
        <v>45684</v>
      </c>
      <c r="E72" s="3">
        <v>45714</v>
      </c>
      <c r="F72" s="2"/>
      <c r="G72" s="2">
        <v>5113</v>
      </c>
      <c r="H72" s="2">
        <v>4514.78</v>
      </c>
      <c r="I72" s="2" t="s">
        <v>21</v>
      </c>
    </row>
    <row r="73" spans="1:9" ht="30" x14ac:dyDescent="0.25">
      <c r="A73" s="2" t="s">
        <v>33</v>
      </c>
      <c r="B73" s="2" t="s">
        <v>45</v>
      </c>
      <c r="C73" s="2" t="s">
        <v>11</v>
      </c>
      <c r="D73" s="3">
        <v>45684</v>
      </c>
      <c r="E73" s="3">
        <v>45714</v>
      </c>
      <c r="F73" s="2"/>
      <c r="G73" s="2">
        <v>1600</v>
      </c>
      <c r="H73" s="2">
        <v>1600</v>
      </c>
      <c r="I73" s="2" t="s">
        <v>12</v>
      </c>
    </row>
    <row r="74" spans="1:9" x14ac:dyDescent="0.25">
      <c r="A74" s="2" t="s">
        <v>28</v>
      </c>
      <c r="B74" s="2" t="s">
        <v>45</v>
      </c>
      <c r="C74" s="2" t="s">
        <v>11</v>
      </c>
      <c r="D74" s="3">
        <v>45684</v>
      </c>
      <c r="E74" s="3">
        <v>45714</v>
      </c>
      <c r="F74" s="2"/>
      <c r="G74" s="2">
        <v>4069.08</v>
      </c>
      <c r="H74" s="2">
        <v>4069.08</v>
      </c>
      <c r="I74" s="2" t="s">
        <v>12</v>
      </c>
    </row>
    <row r="75" spans="1:9" x14ac:dyDescent="0.25">
      <c r="A75" s="2" t="s">
        <v>28</v>
      </c>
      <c r="B75" s="2" t="s">
        <v>45</v>
      </c>
      <c r="C75" s="2" t="s">
        <v>11</v>
      </c>
      <c r="D75" s="3">
        <v>45684</v>
      </c>
      <c r="E75" s="3">
        <v>45714</v>
      </c>
      <c r="F75" s="2"/>
      <c r="G75" s="2">
        <v>7595.62</v>
      </c>
      <c r="H75" s="2">
        <v>7595.62</v>
      </c>
      <c r="I75" s="2" t="s">
        <v>12</v>
      </c>
    </row>
    <row r="76" spans="1:9" x14ac:dyDescent="0.25">
      <c r="A76" s="2" t="s">
        <v>31</v>
      </c>
      <c r="B76" s="2" t="s">
        <v>45</v>
      </c>
      <c r="C76" s="2" t="s">
        <v>11</v>
      </c>
      <c r="D76" s="3">
        <v>45684</v>
      </c>
      <c r="E76" s="3">
        <v>45714</v>
      </c>
      <c r="F76" s="2"/>
      <c r="G76" s="2">
        <v>1600</v>
      </c>
      <c r="H76" s="2">
        <v>1412.8</v>
      </c>
      <c r="I76" s="2" t="s">
        <v>12</v>
      </c>
    </row>
    <row r="77" spans="1:9" x14ac:dyDescent="0.25">
      <c r="A77" s="2" t="s">
        <v>31</v>
      </c>
      <c r="B77" s="2" t="s">
        <v>45</v>
      </c>
      <c r="C77" s="2" t="s">
        <v>11</v>
      </c>
      <c r="D77" s="3">
        <v>45684</v>
      </c>
      <c r="E77" s="3">
        <v>45714</v>
      </c>
      <c r="F77" s="2"/>
      <c r="G77" s="2">
        <v>3360</v>
      </c>
      <c r="H77" s="2">
        <v>3149.4</v>
      </c>
      <c r="I77" s="2" t="s">
        <v>12</v>
      </c>
    </row>
    <row r="78" spans="1:9" x14ac:dyDescent="0.25">
      <c r="A78" s="2" t="s">
        <v>40</v>
      </c>
      <c r="B78" s="2" t="s">
        <v>45</v>
      </c>
      <c r="C78" s="2" t="s">
        <v>11</v>
      </c>
      <c r="D78" s="3">
        <v>45684</v>
      </c>
      <c r="E78" s="3">
        <v>45714</v>
      </c>
      <c r="F78" s="2"/>
      <c r="G78" s="2">
        <v>2240</v>
      </c>
      <c r="H78" s="2">
        <v>2240</v>
      </c>
      <c r="I78" s="2" t="s">
        <v>12</v>
      </c>
    </row>
    <row r="79" spans="1:9" x14ac:dyDescent="0.25">
      <c r="A79" s="2" t="s">
        <v>40</v>
      </c>
      <c r="B79" s="2" t="s">
        <v>45</v>
      </c>
      <c r="C79" s="2" t="s">
        <v>11</v>
      </c>
      <c r="D79" s="3">
        <v>45684</v>
      </c>
      <c r="E79" s="3">
        <v>45714</v>
      </c>
      <c r="F79" s="2"/>
      <c r="G79" s="2">
        <v>1200</v>
      </c>
      <c r="H79" s="2">
        <v>1200</v>
      </c>
      <c r="I79" s="2" t="s">
        <v>12</v>
      </c>
    </row>
    <row r="80" spans="1:9" ht="30" x14ac:dyDescent="0.25">
      <c r="A80" s="2" t="s">
        <v>22</v>
      </c>
      <c r="B80" s="2" t="s">
        <v>45</v>
      </c>
      <c r="C80" s="2" t="s">
        <v>11</v>
      </c>
      <c r="D80" s="3">
        <v>45684</v>
      </c>
      <c r="E80" s="3">
        <v>45714</v>
      </c>
      <c r="F80" s="2"/>
      <c r="G80" s="2">
        <v>1100</v>
      </c>
      <c r="H80" s="2">
        <v>971.3</v>
      </c>
      <c r="I80" s="2" t="s">
        <v>12</v>
      </c>
    </row>
    <row r="81" spans="1:9" x14ac:dyDescent="0.25">
      <c r="A81" s="2" t="s">
        <v>26</v>
      </c>
      <c r="B81" s="2" t="s">
        <v>45</v>
      </c>
      <c r="C81" s="2" t="s">
        <v>11</v>
      </c>
      <c r="D81" s="3">
        <v>45684</v>
      </c>
      <c r="E81" s="3">
        <v>45714</v>
      </c>
      <c r="F81" s="2"/>
      <c r="G81" s="2">
        <v>5000</v>
      </c>
      <c r="H81" s="2">
        <v>4415</v>
      </c>
      <c r="I81" s="2" t="s">
        <v>12</v>
      </c>
    </row>
    <row r="82" spans="1:9" x14ac:dyDescent="0.25">
      <c r="A82" s="2" t="s">
        <v>25</v>
      </c>
      <c r="B82" s="2" t="s">
        <v>47</v>
      </c>
      <c r="C82" s="2" t="s">
        <v>11</v>
      </c>
      <c r="D82" s="3">
        <v>45653</v>
      </c>
      <c r="E82" s="3">
        <v>45683</v>
      </c>
      <c r="F82" s="2"/>
      <c r="G82" s="2">
        <v>5113</v>
      </c>
      <c r="H82" s="2">
        <v>4514.78</v>
      </c>
      <c r="I82" s="2" t="s">
        <v>12</v>
      </c>
    </row>
    <row r="83" spans="1:9" x14ac:dyDescent="0.25">
      <c r="A83" s="2" t="s">
        <v>26</v>
      </c>
      <c r="B83" s="2" t="s">
        <v>47</v>
      </c>
      <c r="C83" s="2" t="s">
        <v>11</v>
      </c>
      <c r="D83" s="3">
        <v>45653</v>
      </c>
      <c r="E83" s="3">
        <v>45683</v>
      </c>
      <c r="F83" s="2"/>
      <c r="G83" s="2">
        <v>5000</v>
      </c>
      <c r="H83" s="2">
        <v>4415</v>
      </c>
      <c r="I83" s="2" t="s">
        <v>12</v>
      </c>
    </row>
    <row r="84" spans="1:9" x14ac:dyDescent="0.25">
      <c r="A84" s="2" t="s">
        <v>34</v>
      </c>
      <c r="B84" s="2" t="s">
        <v>47</v>
      </c>
      <c r="C84" s="2" t="s">
        <v>11</v>
      </c>
      <c r="D84" s="3">
        <v>45653</v>
      </c>
      <c r="E84" s="3">
        <v>45683</v>
      </c>
      <c r="F84" s="2"/>
      <c r="G84" s="2">
        <v>2800</v>
      </c>
      <c r="H84" s="2">
        <v>2800</v>
      </c>
      <c r="I84" s="2" t="s">
        <v>12</v>
      </c>
    </row>
    <row r="85" spans="1:9" ht="30" x14ac:dyDescent="0.25">
      <c r="A85" s="2" t="s">
        <v>22</v>
      </c>
      <c r="B85" s="2" t="s">
        <v>47</v>
      </c>
      <c r="C85" s="2" t="s">
        <v>11</v>
      </c>
      <c r="D85" s="3">
        <v>45653</v>
      </c>
      <c r="E85" s="3">
        <v>45683</v>
      </c>
      <c r="F85" s="2"/>
      <c r="G85" s="2">
        <v>1100</v>
      </c>
      <c r="H85" s="2">
        <v>971.3</v>
      </c>
      <c r="I85" s="2" t="s">
        <v>12</v>
      </c>
    </row>
    <row r="86" spans="1:9" x14ac:dyDescent="0.25">
      <c r="A86" s="2" t="s">
        <v>40</v>
      </c>
      <c r="B86" s="2" t="s">
        <v>47</v>
      </c>
      <c r="C86" s="2" t="s">
        <v>11</v>
      </c>
      <c r="D86" s="3">
        <v>45653</v>
      </c>
      <c r="E86" s="3">
        <v>45683</v>
      </c>
      <c r="F86" s="2"/>
      <c r="G86" s="2">
        <v>2240</v>
      </c>
      <c r="H86" s="2">
        <v>2240</v>
      </c>
      <c r="I86" s="2" t="s">
        <v>12</v>
      </c>
    </row>
    <row r="87" spans="1:9" x14ac:dyDescent="0.25">
      <c r="A87" s="2" t="s">
        <v>31</v>
      </c>
      <c r="B87" s="2" t="s">
        <v>47</v>
      </c>
      <c r="C87" s="2" t="s">
        <v>11</v>
      </c>
      <c r="D87" s="3">
        <v>45653</v>
      </c>
      <c r="E87" s="3">
        <v>45683</v>
      </c>
      <c r="F87" s="2"/>
      <c r="G87" s="2">
        <v>1600</v>
      </c>
      <c r="H87" s="2">
        <v>1412.8</v>
      </c>
      <c r="I87" s="2" t="s">
        <v>12</v>
      </c>
    </row>
    <row r="88" spans="1:9" x14ac:dyDescent="0.25">
      <c r="A88" s="2" t="s">
        <v>28</v>
      </c>
      <c r="B88" s="2" t="s">
        <v>47</v>
      </c>
      <c r="C88" s="2" t="s">
        <v>11</v>
      </c>
      <c r="D88" s="3">
        <v>45653</v>
      </c>
      <c r="E88" s="3">
        <v>45683</v>
      </c>
      <c r="F88" s="2"/>
      <c r="G88" s="2">
        <v>4069.08</v>
      </c>
      <c r="H88" s="2">
        <v>4069.08</v>
      </c>
      <c r="I88" s="2" t="s">
        <v>12</v>
      </c>
    </row>
    <row r="89" spans="1:9" ht="30" x14ac:dyDescent="0.25">
      <c r="A89" s="2" t="s">
        <v>33</v>
      </c>
      <c r="B89" s="2" t="s">
        <v>47</v>
      </c>
      <c r="C89" s="2" t="s">
        <v>11</v>
      </c>
      <c r="D89" s="3">
        <v>45653</v>
      </c>
      <c r="E89" s="3">
        <v>45683</v>
      </c>
      <c r="F89" s="2"/>
      <c r="G89" s="2">
        <v>1600</v>
      </c>
      <c r="H89" s="2">
        <v>1600</v>
      </c>
      <c r="I89" s="2" t="s">
        <v>12</v>
      </c>
    </row>
    <row r="90" spans="1:9" x14ac:dyDescent="0.25">
      <c r="A90" s="2" t="s">
        <v>24</v>
      </c>
      <c r="B90" s="2" t="s">
        <v>47</v>
      </c>
      <c r="C90" s="2" t="s">
        <v>11</v>
      </c>
      <c r="D90" s="3">
        <v>45653</v>
      </c>
      <c r="E90" s="3">
        <v>45683</v>
      </c>
      <c r="F90" s="2"/>
      <c r="G90" s="2">
        <v>5113</v>
      </c>
      <c r="H90" s="2">
        <v>4514.78</v>
      </c>
      <c r="I90" s="2" t="s">
        <v>12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89D53-8F56-4A38-BFEE-2E6B773C703E}">
  <dimension ref="A1:V21"/>
  <sheetViews>
    <sheetView topLeftCell="I1" workbookViewId="0">
      <selection activeCell="T1" sqref="T1"/>
    </sheetView>
  </sheetViews>
  <sheetFormatPr baseColWidth="10" defaultRowHeight="15" x14ac:dyDescent="0.25"/>
  <cols>
    <col min="2" max="2" width="16" customWidth="1"/>
    <col min="5" max="5" width="13.85546875" customWidth="1"/>
    <col min="6" max="6" width="14.42578125" customWidth="1"/>
    <col min="8" max="8" width="12.28515625" customWidth="1"/>
    <col min="9" max="9" width="14.7109375" customWidth="1"/>
    <col min="10" max="10" width="14" customWidth="1"/>
    <col min="11" max="11" width="13.5703125" customWidth="1"/>
    <col min="12" max="12" width="14.28515625" customWidth="1"/>
    <col min="13" max="13" width="14.85546875" customWidth="1"/>
    <col min="15" max="15" width="14.7109375" customWidth="1"/>
    <col min="17" max="17" width="17.140625" customWidth="1"/>
    <col min="19" max="19" width="15.42578125" customWidth="1"/>
    <col min="20" max="20" width="13.85546875" customWidth="1"/>
    <col min="22" max="22" width="13" customWidth="1"/>
  </cols>
  <sheetData>
    <row r="1" spans="1:22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s="7" t="s">
        <v>62</v>
      </c>
      <c r="M1" t="s">
        <v>63</v>
      </c>
      <c r="N1" t="s">
        <v>64</v>
      </c>
      <c r="O1" t="s">
        <v>65</v>
      </c>
      <c r="P1" s="7" t="s">
        <v>66</v>
      </c>
      <c r="Q1" t="s">
        <v>67</v>
      </c>
      <c r="R1" t="s">
        <v>68</v>
      </c>
      <c r="S1" s="7" t="s">
        <v>69</v>
      </c>
      <c r="T1" t="s">
        <v>70</v>
      </c>
      <c r="U1" t="s">
        <v>71</v>
      </c>
      <c r="V1" t="s">
        <v>72</v>
      </c>
    </row>
    <row r="2" spans="1:22" x14ac:dyDescent="0.25">
      <c r="A2" t="s">
        <v>125</v>
      </c>
      <c r="B2" t="s">
        <v>9</v>
      </c>
      <c r="C2">
        <v>15</v>
      </c>
      <c r="D2" t="s">
        <v>73</v>
      </c>
      <c r="E2" t="s">
        <v>73</v>
      </c>
      <c r="F2" t="s">
        <v>74</v>
      </c>
      <c r="G2" t="s">
        <v>75</v>
      </c>
      <c r="H2" s="8">
        <v>45963</v>
      </c>
      <c r="I2">
        <v>166.67</v>
      </c>
      <c r="J2">
        <v>166.67</v>
      </c>
      <c r="K2">
        <v>166.67</v>
      </c>
      <c r="L2">
        <v>166.67</v>
      </c>
      <c r="M2" t="s">
        <v>76</v>
      </c>
      <c r="N2" t="s">
        <v>77</v>
      </c>
      <c r="O2" t="s">
        <v>75</v>
      </c>
      <c r="P2">
        <v>2562.42</v>
      </c>
      <c r="Q2" t="s">
        <v>78</v>
      </c>
      <c r="R2">
        <v>0</v>
      </c>
      <c r="S2">
        <v>12891.75</v>
      </c>
      <c r="T2">
        <v>0</v>
      </c>
      <c r="U2">
        <v>2</v>
      </c>
      <c r="V2">
        <v>9999999</v>
      </c>
    </row>
    <row r="3" spans="1:22" x14ac:dyDescent="0.25">
      <c r="A3" t="s">
        <v>126</v>
      </c>
      <c r="B3" t="s">
        <v>127</v>
      </c>
      <c r="C3">
        <v>15</v>
      </c>
      <c r="D3" t="s">
        <v>73</v>
      </c>
      <c r="E3" t="s">
        <v>73</v>
      </c>
      <c r="F3" t="s">
        <v>74</v>
      </c>
      <c r="G3" t="s">
        <v>75</v>
      </c>
      <c r="H3" s="8">
        <v>45961</v>
      </c>
      <c r="I3">
        <v>3021.2</v>
      </c>
      <c r="J3">
        <v>3021.2</v>
      </c>
      <c r="K3">
        <v>2670.2</v>
      </c>
      <c r="L3">
        <v>12458.11</v>
      </c>
      <c r="M3" t="s">
        <v>76</v>
      </c>
      <c r="N3" t="s">
        <v>77</v>
      </c>
      <c r="O3" t="s">
        <v>75</v>
      </c>
      <c r="P3">
        <v>3059.5</v>
      </c>
      <c r="Q3" t="s">
        <v>78</v>
      </c>
      <c r="R3">
        <v>0</v>
      </c>
      <c r="S3">
        <v>15210.22</v>
      </c>
      <c r="T3">
        <v>351</v>
      </c>
      <c r="U3">
        <v>2</v>
      </c>
      <c r="V3">
        <v>9999999</v>
      </c>
    </row>
    <row r="4" spans="1:22" x14ac:dyDescent="0.25">
      <c r="A4" t="s">
        <v>128</v>
      </c>
      <c r="B4" t="s">
        <v>129</v>
      </c>
      <c r="C4">
        <v>5</v>
      </c>
      <c r="D4" t="s">
        <v>90</v>
      </c>
      <c r="E4" t="s">
        <v>90</v>
      </c>
      <c r="F4" t="s">
        <v>74</v>
      </c>
      <c r="G4" t="s">
        <v>75</v>
      </c>
      <c r="H4" s="8">
        <v>45961</v>
      </c>
      <c r="I4">
        <v>1614.73</v>
      </c>
      <c r="J4">
        <v>1614.73</v>
      </c>
      <c r="K4">
        <v>1493.63</v>
      </c>
      <c r="L4">
        <v>1614.73</v>
      </c>
      <c r="M4" t="s">
        <v>76</v>
      </c>
      <c r="N4" t="s">
        <v>77</v>
      </c>
      <c r="O4" t="s">
        <v>75</v>
      </c>
      <c r="P4">
        <v>1653.67</v>
      </c>
      <c r="Q4" t="s">
        <v>78</v>
      </c>
      <c r="R4">
        <v>0</v>
      </c>
      <c r="S4">
        <v>8163.4</v>
      </c>
      <c r="T4">
        <v>121.1</v>
      </c>
      <c r="U4">
        <v>2</v>
      </c>
      <c r="V4">
        <v>9999999</v>
      </c>
    </row>
    <row r="5" spans="1:22" x14ac:dyDescent="0.25">
      <c r="A5" t="s">
        <v>79</v>
      </c>
      <c r="B5" t="s">
        <v>19</v>
      </c>
      <c r="C5">
        <v>3</v>
      </c>
      <c r="D5" t="s">
        <v>80</v>
      </c>
      <c r="E5" t="s">
        <v>80</v>
      </c>
      <c r="F5" t="s">
        <v>74</v>
      </c>
      <c r="G5" t="s">
        <v>75</v>
      </c>
      <c r="H5" s="8">
        <v>45961</v>
      </c>
      <c r="I5">
        <v>1800</v>
      </c>
      <c r="J5">
        <v>1800</v>
      </c>
      <c r="K5">
        <v>1800</v>
      </c>
      <c r="L5">
        <v>0</v>
      </c>
      <c r="M5" t="s">
        <v>21</v>
      </c>
      <c r="N5" t="s">
        <v>77</v>
      </c>
      <c r="O5" t="s">
        <v>75</v>
      </c>
      <c r="P5">
        <v>0</v>
      </c>
      <c r="R5">
        <v>0</v>
      </c>
      <c r="S5">
        <v>0</v>
      </c>
      <c r="T5">
        <v>0</v>
      </c>
      <c r="U5">
        <v>3</v>
      </c>
      <c r="V5">
        <v>9999999</v>
      </c>
    </row>
    <row r="6" spans="1:22" x14ac:dyDescent="0.25">
      <c r="A6" t="s">
        <v>81</v>
      </c>
      <c r="B6" t="s">
        <v>27</v>
      </c>
      <c r="C6">
        <v>17</v>
      </c>
      <c r="D6" t="s">
        <v>82</v>
      </c>
      <c r="E6" t="s">
        <v>82</v>
      </c>
      <c r="F6" t="s">
        <v>74</v>
      </c>
      <c r="G6" t="s">
        <v>75</v>
      </c>
      <c r="H6" s="8">
        <v>45930</v>
      </c>
      <c r="I6">
        <v>4051.02</v>
      </c>
      <c r="J6">
        <v>4051.02</v>
      </c>
      <c r="K6">
        <v>3415.77</v>
      </c>
      <c r="L6">
        <v>21137.439999999999</v>
      </c>
      <c r="M6" t="s">
        <v>76</v>
      </c>
      <c r="N6" t="s">
        <v>77</v>
      </c>
      <c r="O6" t="s">
        <v>75</v>
      </c>
      <c r="P6">
        <v>5564.92</v>
      </c>
      <c r="Q6" t="s">
        <v>78</v>
      </c>
      <c r="R6">
        <v>0</v>
      </c>
      <c r="S6">
        <v>27774.81</v>
      </c>
      <c r="T6">
        <v>635.25</v>
      </c>
      <c r="U6">
        <v>2</v>
      </c>
      <c r="V6">
        <v>9999999</v>
      </c>
    </row>
    <row r="7" spans="1:22" x14ac:dyDescent="0.25">
      <c r="A7" t="s">
        <v>87</v>
      </c>
      <c r="B7" t="s">
        <v>40</v>
      </c>
      <c r="C7">
        <v>6</v>
      </c>
      <c r="D7" t="s">
        <v>84</v>
      </c>
      <c r="E7" t="s">
        <v>84</v>
      </c>
      <c r="F7" t="s">
        <v>74</v>
      </c>
      <c r="G7" t="s">
        <v>75</v>
      </c>
      <c r="H7" s="8">
        <v>45742</v>
      </c>
      <c r="I7">
        <v>2240</v>
      </c>
      <c r="J7">
        <v>2240</v>
      </c>
      <c r="K7">
        <v>2240</v>
      </c>
      <c r="L7">
        <v>2240</v>
      </c>
      <c r="M7" t="s">
        <v>76</v>
      </c>
      <c r="N7" t="s">
        <v>77</v>
      </c>
      <c r="O7" t="s">
        <v>75</v>
      </c>
      <c r="P7">
        <v>1247</v>
      </c>
      <c r="Q7" t="s">
        <v>78</v>
      </c>
      <c r="R7">
        <v>0</v>
      </c>
      <c r="S7">
        <v>6135.07</v>
      </c>
      <c r="T7">
        <v>0</v>
      </c>
      <c r="U7">
        <v>2</v>
      </c>
      <c r="V7">
        <v>9999999</v>
      </c>
    </row>
    <row r="8" spans="1:22" x14ac:dyDescent="0.25">
      <c r="A8" t="s">
        <v>96</v>
      </c>
      <c r="B8" t="s">
        <v>41</v>
      </c>
      <c r="C8">
        <v>16</v>
      </c>
      <c r="D8" t="s">
        <v>97</v>
      </c>
      <c r="E8" t="s">
        <v>97</v>
      </c>
      <c r="F8" t="s">
        <v>74</v>
      </c>
      <c r="G8" t="s">
        <v>75</v>
      </c>
      <c r="H8" s="8">
        <v>45742</v>
      </c>
      <c r="I8">
        <v>2500</v>
      </c>
      <c r="J8">
        <v>2500</v>
      </c>
      <c r="K8">
        <v>2207.5</v>
      </c>
      <c r="L8">
        <v>10362.5</v>
      </c>
      <c r="M8" t="s">
        <v>76</v>
      </c>
      <c r="N8" t="s">
        <v>77</v>
      </c>
      <c r="O8" t="s">
        <v>75</v>
      </c>
      <c r="P8">
        <v>2552.42</v>
      </c>
      <c r="Q8" t="s">
        <v>78</v>
      </c>
      <c r="R8">
        <v>0</v>
      </c>
      <c r="S8">
        <v>12678.55</v>
      </c>
      <c r="T8">
        <v>292.5</v>
      </c>
      <c r="U8">
        <v>2</v>
      </c>
      <c r="V8">
        <v>9999999</v>
      </c>
    </row>
    <row r="9" spans="1:22" x14ac:dyDescent="0.25">
      <c r="A9" t="s">
        <v>91</v>
      </c>
      <c r="B9" t="s">
        <v>26</v>
      </c>
      <c r="C9">
        <v>3</v>
      </c>
      <c r="D9" t="s">
        <v>80</v>
      </c>
      <c r="E9" t="s">
        <v>80</v>
      </c>
      <c r="F9" t="s">
        <v>74</v>
      </c>
      <c r="G9" t="s">
        <v>75</v>
      </c>
      <c r="H9" s="8">
        <v>45742</v>
      </c>
      <c r="I9">
        <v>5022.25</v>
      </c>
      <c r="J9">
        <v>5022.25</v>
      </c>
      <c r="K9">
        <v>4437.25</v>
      </c>
      <c r="L9">
        <v>20749.25</v>
      </c>
      <c r="M9" t="s">
        <v>76</v>
      </c>
      <c r="N9" t="s">
        <v>77</v>
      </c>
      <c r="O9" t="s">
        <v>75</v>
      </c>
      <c r="P9">
        <v>5062.83</v>
      </c>
      <c r="Q9" t="s">
        <v>78</v>
      </c>
      <c r="R9">
        <v>0</v>
      </c>
      <c r="S9">
        <v>25261.88</v>
      </c>
      <c r="T9">
        <v>585</v>
      </c>
      <c r="U9">
        <v>2</v>
      </c>
      <c r="V9">
        <v>9999999</v>
      </c>
    </row>
    <row r="10" spans="1:22" x14ac:dyDescent="0.25">
      <c r="A10" t="s">
        <v>92</v>
      </c>
      <c r="B10" t="s">
        <v>24</v>
      </c>
      <c r="C10">
        <v>1</v>
      </c>
      <c r="D10" t="s">
        <v>93</v>
      </c>
      <c r="E10" t="s">
        <v>93</v>
      </c>
      <c r="F10" t="s">
        <v>74</v>
      </c>
      <c r="G10" t="s">
        <v>75</v>
      </c>
      <c r="H10" s="8">
        <v>45742</v>
      </c>
      <c r="I10">
        <v>5135.25</v>
      </c>
      <c r="J10">
        <v>5135.25</v>
      </c>
      <c r="K10">
        <v>4537.03</v>
      </c>
      <c r="L10">
        <v>21211.42</v>
      </c>
      <c r="M10" t="s">
        <v>76</v>
      </c>
      <c r="N10" t="s">
        <v>77</v>
      </c>
      <c r="O10" t="s">
        <v>75</v>
      </c>
      <c r="P10">
        <v>5176.3</v>
      </c>
      <c r="Q10" t="s">
        <v>78</v>
      </c>
      <c r="R10">
        <v>0</v>
      </c>
      <c r="S10">
        <v>25830.65</v>
      </c>
      <c r="T10">
        <v>598.22</v>
      </c>
      <c r="U10">
        <v>2</v>
      </c>
      <c r="V10">
        <v>9999999</v>
      </c>
    </row>
    <row r="11" spans="1:22" x14ac:dyDescent="0.25">
      <c r="A11" t="s">
        <v>94</v>
      </c>
      <c r="B11" t="s">
        <v>25</v>
      </c>
      <c r="C11">
        <v>5</v>
      </c>
      <c r="D11" t="s">
        <v>90</v>
      </c>
      <c r="E11" t="s">
        <v>90</v>
      </c>
      <c r="F11" t="s">
        <v>74</v>
      </c>
      <c r="G11" t="s">
        <v>75</v>
      </c>
      <c r="H11" s="8">
        <v>45742</v>
      </c>
      <c r="I11">
        <v>5135.25</v>
      </c>
      <c r="J11">
        <v>5135.25</v>
      </c>
      <c r="K11">
        <v>4537.03</v>
      </c>
      <c r="L11">
        <v>21211.42</v>
      </c>
      <c r="M11" t="s">
        <v>76</v>
      </c>
      <c r="N11" t="s">
        <v>77</v>
      </c>
      <c r="O11" t="s">
        <v>75</v>
      </c>
      <c r="P11">
        <v>5176.3</v>
      </c>
      <c r="Q11" t="s">
        <v>78</v>
      </c>
      <c r="R11">
        <v>0</v>
      </c>
      <c r="S11">
        <v>25830.65</v>
      </c>
      <c r="T11">
        <v>598.22</v>
      </c>
      <c r="U11">
        <v>2</v>
      </c>
      <c r="V11">
        <v>9999999</v>
      </c>
    </row>
    <row r="12" spans="1:22" x14ac:dyDescent="0.25">
      <c r="A12" t="s">
        <v>95</v>
      </c>
      <c r="B12" t="s">
        <v>89</v>
      </c>
      <c r="C12">
        <v>5</v>
      </c>
      <c r="D12" t="s">
        <v>90</v>
      </c>
      <c r="E12" t="s">
        <v>90</v>
      </c>
      <c r="F12" t="s">
        <v>74</v>
      </c>
      <c r="G12" t="s">
        <v>75</v>
      </c>
      <c r="H12" s="8">
        <v>45742</v>
      </c>
      <c r="I12">
        <v>1800</v>
      </c>
      <c r="J12">
        <v>1800</v>
      </c>
      <c r="K12">
        <v>1538.16</v>
      </c>
      <c r="L12">
        <v>7215.6</v>
      </c>
      <c r="M12" t="s">
        <v>21</v>
      </c>
      <c r="N12" t="s">
        <v>77</v>
      </c>
      <c r="O12" t="s">
        <v>75</v>
      </c>
      <c r="P12">
        <v>1849.5</v>
      </c>
      <c r="Q12" t="s">
        <v>78</v>
      </c>
      <c r="R12">
        <v>0</v>
      </c>
      <c r="S12">
        <v>9155.2199999999993</v>
      </c>
      <c r="T12">
        <v>261.83999999999997</v>
      </c>
      <c r="U12">
        <v>3</v>
      </c>
      <c r="V12">
        <v>9999999</v>
      </c>
    </row>
    <row r="13" spans="1:22" x14ac:dyDescent="0.25">
      <c r="A13" t="s">
        <v>88</v>
      </c>
      <c r="B13" t="s">
        <v>89</v>
      </c>
      <c r="C13">
        <v>5</v>
      </c>
      <c r="D13" t="s">
        <v>90</v>
      </c>
      <c r="E13" t="s">
        <v>90</v>
      </c>
      <c r="F13" t="s">
        <v>74</v>
      </c>
      <c r="G13" t="s">
        <v>75</v>
      </c>
      <c r="H13" s="8">
        <v>45742</v>
      </c>
      <c r="I13">
        <v>1800</v>
      </c>
      <c r="J13">
        <v>1800</v>
      </c>
      <c r="K13">
        <v>1800</v>
      </c>
      <c r="L13">
        <v>1800</v>
      </c>
      <c r="M13" t="s">
        <v>76</v>
      </c>
      <c r="N13" t="s">
        <v>77</v>
      </c>
      <c r="O13" t="s">
        <v>75</v>
      </c>
      <c r="P13">
        <v>1849.5</v>
      </c>
      <c r="Q13" t="s">
        <v>78</v>
      </c>
      <c r="R13">
        <v>0</v>
      </c>
      <c r="S13">
        <v>9155.07</v>
      </c>
      <c r="T13">
        <v>0</v>
      </c>
      <c r="U13">
        <v>2</v>
      </c>
      <c r="V13">
        <v>9999999</v>
      </c>
    </row>
    <row r="14" spans="1:22" x14ac:dyDescent="0.25">
      <c r="A14" t="s">
        <v>98</v>
      </c>
      <c r="B14" t="s">
        <v>23</v>
      </c>
      <c r="C14">
        <v>21</v>
      </c>
      <c r="D14" t="s">
        <v>86</v>
      </c>
      <c r="E14" t="s">
        <v>86</v>
      </c>
      <c r="F14" t="s">
        <v>74</v>
      </c>
      <c r="G14" t="s">
        <v>75</v>
      </c>
      <c r="H14" s="8">
        <v>45742</v>
      </c>
      <c r="I14">
        <v>2520</v>
      </c>
      <c r="J14">
        <v>2520</v>
      </c>
      <c r="K14">
        <v>2362.0500000000002</v>
      </c>
      <c r="L14">
        <v>6935.4</v>
      </c>
      <c r="M14" t="s">
        <v>76</v>
      </c>
      <c r="N14" t="s">
        <v>77</v>
      </c>
      <c r="O14" t="s">
        <v>75</v>
      </c>
      <c r="P14">
        <v>1397.63</v>
      </c>
      <c r="Q14" t="s">
        <v>78</v>
      </c>
      <c r="R14">
        <v>0</v>
      </c>
      <c r="S14">
        <v>6890.22</v>
      </c>
      <c r="T14">
        <v>157.94999999999999</v>
      </c>
      <c r="U14">
        <v>2</v>
      </c>
      <c r="V14">
        <v>9999999</v>
      </c>
    </row>
    <row r="15" spans="1:22" x14ac:dyDescent="0.25">
      <c r="A15" t="s">
        <v>99</v>
      </c>
      <c r="B15" t="s">
        <v>28</v>
      </c>
      <c r="C15">
        <v>5</v>
      </c>
      <c r="D15" t="s">
        <v>90</v>
      </c>
      <c r="E15" t="s">
        <v>90</v>
      </c>
      <c r="F15" t="s">
        <v>74</v>
      </c>
      <c r="G15" t="s">
        <v>75</v>
      </c>
      <c r="H15" s="8">
        <v>45742</v>
      </c>
      <c r="I15">
        <v>4069.08</v>
      </c>
      <c r="J15">
        <v>4069.08</v>
      </c>
      <c r="K15">
        <v>4069.08</v>
      </c>
      <c r="L15">
        <v>4069.08</v>
      </c>
      <c r="M15" t="s">
        <v>76</v>
      </c>
      <c r="N15" t="s">
        <v>77</v>
      </c>
      <c r="O15" t="s">
        <v>75</v>
      </c>
      <c r="P15">
        <v>4128.03</v>
      </c>
      <c r="Q15" t="s">
        <v>78</v>
      </c>
      <c r="R15">
        <v>0</v>
      </c>
      <c r="S15">
        <v>20576.099999999999</v>
      </c>
      <c r="T15">
        <v>0</v>
      </c>
      <c r="U15">
        <v>2</v>
      </c>
      <c r="V15">
        <v>9999999</v>
      </c>
    </row>
    <row r="16" spans="1:22" x14ac:dyDescent="0.25">
      <c r="A16" t="s">
        <v>83</v>
      </c>
      <c r="B16" t="s">
        <v>40</v>
      </c>
      <c r="C16">
        <v>6</v>
      </c>
      <c r="D16" t="s">
        <v>84</v>
      </c>
      <c r="E16" t="s">
        <v>84</v>
      </c>
      <c r="F16" t="s">
        <v>74</v>
      </c>
      <c r="G16" t="s">
        <v>75</v>
      </c>
      <c r="H16" s="8">
        <v>45742</v>
      </c>
      <c r="I16">
        <v>1200</v>
      </c>
      <c r="J16">
        <v>1200</v>
      </c>
      <c r="K16">
        <v>1200</v>
      </c>
      <c r="L16">
        <v>1200</v>
      </c>
      <c r="M16" t="s">
        <v>76</v>
      </c>
      <c r="N16" t="s">
        <v>77</v>
      </c>
      <c r="O16" t="s">
        <v>75</v>
      </c>
      <c r="P16">
        <v>1247</v>
      </c>
      <c r="Q16" t="s">
        <v>78</v>
      </c>
      <c r="R16">
        <v>0</v>
      </c>
      <c r="S16">
        <v>6135.07</v>
      </c>
      <c r="T16">
        <v>0</v>
      </c>
      <c r="U16">
        <v>2</v>
      </c>
      <c r="V16">
        <v>9999999</v>
      </c>
    </row>
    <row r="17" spans="1:22" x14ac:dyDescent="0.25">
      <c r="A17" t="s">
        <v>85</v>
      </c>
      <c r="B17" t="s">
        <v>22</v>
      </c>
      <c r="C17">
        <v>21</v>
      </c>
      <c r="D17" t="s">
        <v>86</v>
      </c>
      <c r="E17" t="s">
        <v>86</v>
      </c>
      <c r="F17" t="s">
        <v>74</v>
      </c>
      <c r="G17" t="s">
        <v>75</v>
      </c>
      <c r="H17" s="8">
        <v>45742</v>
      </c>
      <c r="I17">
        <v>1522.25</v>
      </c>
      <c r="J17">
        <v>1522.25</v>
      </c>
      <c r="K17">
        <v>1346.75</v>
      </c>
      <c r="L17">
        <v>6241.75</v>
      </c>
      <c r="M17" t="s">
        <v>76</v>
      </c>
      <c r="N17" t="s">
        <v>77</v>
      </c>
      <c r="O17" t="s">
        <v>75</v>
      </c>
      <c r="P17">
        <v>1548.25</v>
      </c>
      <c r="Q17" t="s">
        <v>78</v>
      </c>
      <c r="R17">
        <v>0</v>
      </c>
      <c r="S17">
        <v>7645.22</v>
      </c>
      <c r="T17">
        <v>175.5</v>
      </c>
      <c r="U17">
        <v>2</v>
      </c>
      <c r="V17">
        <v>9999999</v>
      </c>
    </row>
    <row r="18" spans="1:22" x14ac:dyDescent="0.25">
      <c r="A18" t="s">
        <v>100</v>
      </c>
      <c r="B18" t="s">
        <v>24</v>
      </c>
      <c r="C18">
        <v>1</v>
      </c>
      <c r="D18" t="s">
        <v>93</v>
      </c>
      <c r="E18" t="s">
        <v>93</v>
      </c>
      <c r="F18" t="s">
        <v>74</v>
      </c>
      <c r="G18" t="s">
        <v>75</v>
      </c>
      <c r="H18" s="8">
        <v>45714</v>
      </c>
      <c r="I18">
        <v>5113</v>
      </c>
      <c r="J18">
        <v>5113</v>
      </c>
      <c r="K18">
        <v>4514.78</v>
      </c>
      <c r="L18">
        <v>21187.17</v>
      </c>
      <c r="M18" t="s">
        <v>21</v>
      </c>
      <c r="N18" t="s">
        <v>77</v>
      </c>
      <c r="O18" t="s">
        <v>75</v>
      </c>
      <c r="P18">
        <v>5171.3</v>
      </c>
      <c r="Q18" t="s">
        <v>78</v>
      </c>
      <c r="R18">
        <v>0</v>
      </c>
      <c r="S18">
        <v>25811.91</v>
      </c>
      <c r="T18">
        <v>598.22</v>
      </c>
      <c r="U18">
        <v>3</v>
      </c>
      <c r="V18">
        <v>9999999</v>
      </c>
    </row>
    <row r="19" spans="1:22" x14ac:dyDescent="0.25">
      <c r="A19" t="s">
        <v>101</v>
      </c>
      <c r="B19" t="s">
        <v>28</v>
      </c>
      <c r="C19">
        <v>5</v>
      </c>
      <c r="D19" t="s">
        <v>90</v>
      </c>
      <c r="E19" t="s">
        <v>90</v>
      </c>
      <c r="F19" t="s">
        <v>74</v>
      </c>
      <c r="G19" t="s">
        <v>75</v>
      </c>
      <c r="H19" s="8">
        <v>45714</v>
      </c>
      <c r="I19">
        <v>4069.08</v>
      </c>
      <c r="J19">
        <v>4069.08</v>
      </c>
      <c r="K19">
        <v>4069.08</v>
      </c>
      <c r="L19">
        <v>0</v>
      </c>
      <c r="M19" t="s">
        <v>21</v>
      </c>
      <c r="N19" t="s">
        <v>77</v>
      </c>
      <c r="O19" t="s">
        <v>75</v>
      </c>
      <c r="P19">
        <v>4122.03</v>
      </c>
      <c r="Q19" t="s">
        <v>78</v>
      </c>
      <c r="R19">
        <v>0</v>
      </c>
      <c r="S19">
        <v>8192.49</v>
      </c>
      <c r="T19">
        <v>0</v>
      </c>
      <c r="U19">
        <v>3</v>
      </c>
      <c r="V19">
        <v>9999999</v>
      </c>
    </row>
    <row r="20" spans="1:22" x14ac:dyDescent="0.25">
      <c r="A20" t="s">
        <v>102</v>
      </c>
      <c r="B20" t="s">
        <v>25</v>
      </c>
      <c r="C20">
        <v>5</v>
      </c>
      <c r="D20" t="s">
        <v>90</v>
      </c>
      <c r="E20" t="s">
        <v>90</v>
      </c>
      <c r="F20" t="s">
        <v>74</v>
      </c>
      <c r="G20" t="s">
        <v>75</v>
      </c>
      <c r="H20" s="8">
        <v>45714</v>
      </c>
      <c r="I20">
        <v>5113</v>
      </c>
      <c r="J20">
        <v>5113</v>
      </c>
      <c r="K20">
        <v>4514.78</v>
      </c>
      <c r="L20">
        <v>21187.17</v>
      </c>
      <c r="M20" t="s">
        <v>21</v>
      </c>
      <c r="N20" t="s">
        <v>77</v>
      </c>
      <c r="O20" t="s">
        <v>75</v>
      </c>
      <c r="P20">
        <v>5171.3</v>
      </c>
      <c r="Q20" t="s">
        <v>78</v>
      </c>
      <c r="R20">
        <v>0</v>
      </c>
      <c r="S20">
        <v>25811.91</v>
      </c>
      <c r="T20">
        <v>598.22</v>
      </c>
      <c r="U20">
        <v>3</v>
      </c>
      <c r="V20">
        <v>9999999</v>
      </c>
    </row>
    <row r="21" spans="1:22" x14ac:dyDescent="0.25">
      <c r="A21" t="s">
        <v>103</v>
      </c>
      <c r="B21" t="s">
        <v>26</v>
      </c>
      <c r="C21">
        <v>3</v>
      </c>
      <c r="D21" t="s">
        <v>80</v>
      </c>
      <c r="E21" t="s">
        <v>80</v>
      </c>
      <c r="F21" t="s">
        <v>74</v>
      </c>
      <c r="G21" t="s">
        <v>75</v>
      </c>
      <c r="H21" s="8">
        <v>45714</v>
      </c>
      <c r="I21">
        <v>5000</v>
      </c>
      <c r="J21">
        <v>5000</v>
      </c>
      <c r="K21">
        <v>4415</v>
      </c>
      <c r="L21">
        <v>20725</v>
      </c>
      <c r="M21" t="s">
        <v>21</v>
      </c>
      <c r="N21" t="s">
        <v>77</v>
      </c>
      <c r="O21" t="s">
        <v>75</v>
      </c>
      <c r="P21">
        <v>5057.83</v>
      </c>
      <c r="Q21" t="s">
        <v>78</v>
      </c>
      <c r="R21">
        <v>0</v>
      </c>
      <c r="S21">
        <v>25243.14</v>
      </c>
      <c r="T21">
        <v>585</v>
      </c>
      <c r="U21">
        <v>3</v>
      </c>
      <c r="V21">
        <v>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FFAC9-0DA0-4EE9-8193-CDB20C9D84BC}">
  <dimension ref="A1:P27"/>
  <sheetViews>
    <sheetView tabSelected="1" workbookViewId="0">
      <selection activeCell="I17" sqref="I17"/>
    </sheetView>
  </sheetViews>
  <sheetFormatPr baseColWidth="10" defaultRowHeight="15" x14ac:dyDescent="0.25"/>
  <cols>
    <col min="1" max="1" width="23.7109375" bestFit="1" customWidth="1"/>
    <col min="2" max="2" width="10.28515625" bestFit="1" customWidth="1"/>
    <col min="3" max="3" width="13.42578125" bestFit="1" customWidth="1"/>
    <col min="4" max="4" width="12.7109375" bestFit="1" customWidth="1"/>
    <col min="5" max="5" width="12" bestFit="1" customWidth="1"/>
    <col min="6" max="6" width="4.5703125" customWidth="1"/>
    <col min="7" max="7" width="19.7109375" bestFit="1" customWidth="1"/>
    <col min="8" max="8" width="9" bestFit="1" customWidth="1"/>
    <col min="9" max="9" width="13" bestFit="1" customWidth="1"/>
    <col min="10" max="10" width="12.28515625" bestFit="1" customWidth="1"/>
    <col min="11" max="11" width="12.140625" bestFit="1" customWidth="1"/>
    <col min="12" max="12" width="11.85546875" bestFit="1" customWidth="1"/>
    <col min="13" max="13" width="12.5703125" bestFit="1" customWidth="1"/>
    <col min="14" max="14" width="9" bestFit="1" customWidth="1"/>
    <col min="15" max="15" width="13.7109375" bestFit="1" customWidth="1"/>
    <col min="16" max="16" width="6.85546875" bestFit="1" customWidth="1"/>
  </cols>
  <sheetData>
    <row r="1" spans="1:16" x14ac:dyDescent="0.25">
      <c r="A1" s="1" t="s">
        <v>50</v>
      </c>
      <c r="G1" s="1" t="s">
        <v>121</v>
      </c>
    </row>
    <row r="3" spans="1:16" x14ac:dyDescent="0.25">
      <c r="A3" s="4" t="s">
        <v>48</v>
      </c>
      <c r="B3" t="s">
        <v>119</v>
      </c>
      <c r="C3" t="s">
        <v>109</v>
      </c>
      <c r="D3" t="s">
        <v>110</v>
      </c>
      <c r="E3" t="s">
        <v>111</v>
      </c>
      <c r="G3" s="4" t="s">
        <v>48</v>
      </c>
      <c r="H3" t="s">
        <v>120</v>
      </c>
      <c r="I3" t="s">
        <v>112</v>
      </c>
      <c r="J3" t="s">
        <v>113</v>
      </c>
      <c r="K3" t="s">
        <v>114</v>
      </c>
      <c r="L3" t="s">
        <v>115</v>
      </c>
      <c r="M3" t="s">
        <v>116</v>
      </c>
      <c r="N3" t="s">
        <v>117</v>
      </c>
      <c r="O3" t="s">
        <v>118</v>
      </c>
      <c r="P3" t="s">
        <v>130</v>
      </c>
    </row>
    <row r="4" spans="1:16" x14ac:dyDescent="0.25">
      <c r="A4" s="5" t="s">
        <v>37</v>
      </c>
      <c r="B4">
        <v>6</v>
      </c>
      <c r="G4" s="5" t="s">
        <v>76</v>
      </c>
      <c r="H4">
        <v>14</v>
      </c>
      <c r="I4">
        <v>39997.699999999997</v>
      </c>
      <c r="J4">
        <v>39997.699999999997</v>
      </c>
      <c r="K4">
        <v>3514.74</v>
      </c>
      <c r="L4">
        <v>36482.959999999992</v>
      </c>
      <c r="M4">
        <v>131397.77000000002</v>
      </c>
      <c r="N4">
        <v>42225.77</v>
      </c>
      <c r="O4">
        <v>210178.66</v>
      </c>
      <c r="P4">
        <v>0</v>
      </c>
    </row>
    <row r="5" spans="1:16" x14ac:dyDescent="0.25">
      <c r="A5" s="6" t="s">
        <v>122</v>
      </c>
      <c r="B5">
        <v>6</v>
      </c>
      <c r="G5" s="6" t="s">
        <v>105</v>
      </c>
      <c r="H5">
        <v>10</v>
      </c>
      <c r="I5">
        <v>31144.080000000002</v>
      </c>
      <c r="J5">
        <v>31144.080000000002</v>
      </c>
      <c r="K5">
        <v>2407.39</v>
      </c>
      <c r="L5">
        <v>28736.689999999995</v>
      </c>
      <c r="M5">
        <v>96020.819999999992</v>
      </c>
      <c r="N5">
        <v>29385.26</v>
      </c>
      <c r="O5">
        <v>146138.48000000001</v>
      </c>
      <c r="P5">
        <v>0</v>
      </c>
    </row>
    <row r="6" spans="1:16" x14ac:dyDescent="0.25">
      <c r="A6" s="5" t="s">
        <v>18</v>
      </c>
      <c r="B6">
        <v>4</v>
      </c>
      <c r="D6">
        <v>1800</v>
      </c>
      <c r="E6">
        <v>1589.4</v>
      </c>
      <c r="G6" s="6" t="s">
        <v>106</v>
      </c>
      <c r="H6">
        <v>1</v>
      </c>
      <c r="I6">
        <v>4051.02</v>
      </c>
      <c r="J6">
        <v>4051.02</v>
      </c>
      <c r="K6">
        <v>635.25</v>
      </c>
      <c r="L6">
        <v>3415.77</v>
      </c>
      <c r="M6">
        <v>21137.439999999999</v>
      </c>
      <c r="N6">
        <v>5564.92</v>
      </c>
      <c r="O6">
        <v>27774.81</v>
      </c>
      <c r="P6">
        <v>0</v>
      </c>
    </row>
    <row r="7" spans="1:16" x14ac:dyDescent="0.25">
      <c r="A7" s="6" t="s">
        <v>105</v>
      </c>
      <c r="B7">
        <v>1</v>
      </c>
      <c r="D7">
        <v>1800</v>
      </c>
      <c r="E7">
        <v>1589.4</v>
      </c>
      <c r="G7" s="6" t="s">
        <v>107</v>
      </c>
      <c r="H7">
        <v>2</v>
      </c>
      <c r="I7">
        <v>4635.93</v>
      </c>
      <c r="J7">
        <v>4635.93</v>
      </c>
      <c r="K7">
        <v>472.1</v>
      </c>
      <c r="L7">
        <v>4163.83</v>
      </c>
      <c r="M7">
        <v>14072.84</v>
      </c>
      <c r="N7">
        <v>4713.17</v>
      </c>
      <c r="O7">
        <v>23373.62</v>
      </c>
      <c r="P7">
        <v>0</v>
      </c>
    </row>
    <row r="8" spans="1:16" x14ac:dyDescent="0.25">
      <c r="A8" s="6" t="s">
        <v>122</v>
      </c>
      <c r="B8">
        <v>2</v>
      </c>
      <c r="G8" s="6" t="s">
        <v>108</v>
      </c>
      <c r="H8">
        <v>1</v>
      </c>
      <c r="I8">
        <v>166.67</v>
      </c>
      <c r="J8">
        <v>166.67</v>
      </c>
      <c r="K8">
        <v>0</v>
      </c>
      <c r="L8">
        <v>166.67</v>
      </c>
      <c r="M8">
        <v>166.67</v>
      </c>
      <c r="N8">
        <v>2562.42</v>
      </c>
      <c r="O8">
        <v>12891.75</v>
      </c>
      <c r="P8">
        <v>0</v>
      </c>
    </row>
    <row r="9" spans="1:16" x14ac:dyDescent="0.25">
      <c r="A9" s="6" t="s">
        <v>107</v>
      </c>
      <c r="B9">
        <v>1</v>
      </c>
      <c r="G9" s="5" t="s">
        <v>21</v>
      </c>
      <c r="H9">
        <v>6</v>
      </c>
      <c r="I9">
        <v>22895.08</v>
      </c>
      <c r="J9">
        <v>22895.08</v>
      </c>
      <c r="K9">
        <v>2043.28</v>
      </c>
      <c r="L9">
        <v>20851.8</v>
      </c>
      <c r="M9">
        <v>70314.94</v>
      </c>
      <c r="N9">
        <v>21371.96</v>
      </c>
      <c r="O9">
        <v>94214.67</v>
      </c>
      <c r="P9">
        <v>0</v>
      </c>
    </row>
    <row r="10" spans="1:16" x14ac:dyDescent="0.25">
      <c r="A10" s="5" t="s">
        <v>12</v>
      </c>
      <c r="B10">
        <v>59</v>
      </c>
      <c r="D10">
        <v>171215.74</v>
      </c>
      <c r="E10">
        <v>158037.15</v>
      </c>
      <c r="G10" s="6" t="s">
        <v>104</v>
      </c>
      <c r="H10">
        <v>4</v>
      </c>
      <c r="I10">
        <v>19295.080000000002</v>
      </c>
      <c r="J10">
        <v>19295.080000000002</v>
      </c>
      <c r="K10">
        <v>1781.44</v>
      </c>
      <c r="L10">
        <v>17513.64</v>
      </c>
      <c r="M10">
        <v>63099.34</v>
      </c>
      <c r="N10">
        <v>19522.46</v>
      </c>
      <c r="O10">
        <v>85059.45</v>
      </c>
      <c r="P10">
        <v>0</v>
      </c>
    </row>
    <row r="11" spans="1:16" x14ac:dyDescent="0.25">
      <c r="A11" s="6" t="s">
        <v>123</v>
      </c>
      <c r="B11">
        <v>9</v>
      </c>
      <c r="D11">
        <v>28635.08</v>
      </c>
      <c r="E11">
        <v>26537.739999999998</v>
      </c>
      <c r="G11" s="6" t="s">
        <v>105</v>
      </c>
      <c r="H11">
        <v>1</v>
      </c>
      <c r="I11">
        <v>1800</v>
      </c>
      <c r="J11">
        <v>1800</v>
      </c>
      <c r="K11">
        <v>261.83999999999997</v>
      </c>
      <c r="L11">
        <v>1538.16</v>
      </c>
      <c r="M11">
        <v>7215.6</v>
      </c>
      <c r="N11">
        <v>1849.5</v>
      </c>
      <c r="O11">
        <v>9155.2199999999993</v>
      </c>
      <c r="P11">
        <v>0</v>
      </c>
    </row>
    <row r="12" spans="1:16" x14ac:dyDescent="0.25">
      <c r="A12" s="6" t="s">
        <v>104</v>
      </c>
      <c r="B12">
        <v>24</v>
      </c>
      <c r="D12">
        <v>78434.700000000012</v>
      </c>
      <c r="E12">
        <v>73138.720000000001</v>
      </c>
      <c r="G12" s="6" t="s">
        <v>107</v>
      </c>
      <c r="H12">
        <v>1</v>
      </c>
      <c r="I12">
        <v>1800</v>
      </c>
      <c r="J12">
        <v>1800</v>
      </c>
      <c r="K12">
        <v>0</v>
      </c>
      <c r="L12">
        <v>1800</v>
      </c>
      <c r="M12">
        <v>0</v>
      </c>
      <c r="N12">
        <v>0</v>
      </c>
      <c r="O12">
        <v>0</v>
      </c>
      <c r="P12">
        <v>0</v>
      </c>
    </row>
    <row r="13" spans="1:16" x14ac:dyDescent="0.25">
      <c r="A13" s="6" t="s">
        <v>105</v>
      </c>
      <c r="B13">
        <v>1</v>
      </c>
      <c r="D13">
        <v>5135.25</v>
      </c>
      <c r="E13">
        <v>4537.03</v>
      </c>
      <c r="G13" s="5" t="s">
        <v>49</v>
      </c>
      <c r="H13">
        <v>20</v>
      </c>
      <c r="I13">
        <v>62892.78</v>
      </c>
      <c r="J13">
        <v>62892.78</v>
      </c>
      <c r="K13">
        <v>5558.02</v>
      </c>
      <c r="L13">
        <v>57334.759999999995</v>
      </c>
      <c r="M13">
        <v>201712.71</v>
      </c>
      <c r="N13">
        <v>63597.73</v>
      </c>
      <c r="O13">
        <v>304393.32999999996</v>
      </c>
      <c r="P13">
        <v>0</v>
      </c>
    </row>
    <row r="14" spans="1:16" x14ac:dyDescent="0.25">
      <c r="A14" s="6" t="s">
        <v>124</v>
      </c>
      <c r="B14">
        <v>13</v>
      </c>
      <c r="D14">
        <v>35725.08</v>
      </c>
      <c r="E14">
        <v>33224.089999999997</v>
      </c>
    </row>
    <row r="15" spans="1:16" x14ac:dyDescent="0.25">
      <c r="A15" s="6" t="s">
        <v>106</v>
      </c>
      <c r="B15">
        <v>5</v>
      </c>
      <c r="D15">
        <v>18298.75</v>
      </c>
      <c r="E15">
        <v>16166.31</v>
      </c>
    </row>
    <row r="16" spans="1:16" x14ac:dyDescent="0.25">
      <c r="A16" s="6" t="s">
        <v>107</v>
      </c>
      <c r="B16">
        <v>6</v>
      </c>
      <c r="D16">
        <v>4820.21</v>
      </c>
      <c r="E16">
        <v>4266.59</v>
      </c>
    </row>
    <row r="17" spans="1:5" x14ac:dyDescent="0.25">
      <c r="A17" s="6" t="s">
        <v>108</v>
      </c>
      <c r="B17">
        <v>1</v>
      </c>
      <c r="D17">
        <v>166.67</v>
      </c>
      <c r="E17">
        <v>166.67</v>
      </c>
    </row>
    <row r="18" spans="1:5" x14ac:dyDescent="0.25">
      <c r="A18" s="5" t="s">
        <v>13</v>
      </c>
      <c r="B18">
        <v>14</v>
      </c>
      <c r="D18">
        <v>39997.699999999997</v>
      </c>
      <c r="E18">
        <v>36482.959999999992</v>
      </c>
    </row>
    <row r="19" spans="1:5" x14ac:dyDescent="0.25">
      <c r="A19" s="6" t="s">
        <v>105</v>
      </c>
      <c r="B19">
        <v>10</v>
      </c>
      <c r="D19">
        <v>31144.080000000002</v>
      </c>
      <c r="E19">
        <v>28736.689999999995</v>
      </c>
    </row>
    <row r="20" spans="1:5" x14ac:dyDescent="0.25">
      <c r="A20" s="6" t="s">
        <v>106</v>
      </c>
      <c r="B20">
        <v>1</v>
      </c>
      <c r="D20">
        <v>4051.02</v>
      </c>
      <c r="E20">
        <v>3415.77</v>
      </c>
    </row>
    <row r="21" spans="1:5" x14ac:dyDescent="0.25">
      <c r="A21" s="6" t="s">
        <v>107</v>
      </c>
      <c r="B21">
        <v>2</v>
      </c>
      <c r="D21">
        <v>4635.93</v>
      </c>
      <c r="E21">
        <v>4163.83</v>
      </c>
    </row>
    <row r="22" spans="1:5" x14ac:dyDescent="0.25">
      <c r="A22" s="6" t="s">
        <v>108</v>
      </c>
      <c r="B22">
        <v>1</v>
      </c>
      <c r="D22">
        <v>166.67</v>
      </c>
      <c r="E22">
        <v>166.67</v>
      </c>
    </row>
    <row r="23" spans="1:5" x14ac:dyDescent="0.25">
      <c r="A23" s="5" t="s">
        <v>21</v>
      </c>
      <c r="B23">
        <v>6</v>
      </c>
      <c r="C23">
        <v>1800</v>
      </c>
      <c r="D23">
        <v>22895.08</v>
      </c>
      <c r="E23">
        <v>20851.8</v>
      </c>
    </row>
    <row r="24" spans="1:5" x14ac:dyDescent="0.25">
      <c r="A24" s="6" t="s">
        <v>104</v>
      </c>
      <c r="B24">
        <v>4</v>
      </c>
      <c r="D24">
        <v>19295.080000000002</v>
      </c>
      <c r="E24">
        <v>17513.64</v>
      </c>
    </row>
    <row r="25" spans="1:5" x14ac:dyDescent="0.25">
      <c r="A25" s="6" t="s">
        <v>105</v>
      </c>
      <c r="B25">
        <v>1</v>
      </c>
      <c r="D25">
        <v>1800</v>
      </c>
      <c r="E25">
        <v>1538.16</v>
      </c>
    </row>
    <row r="26" spans="1:5" x14ac:dyDescent="0.25">
      <c r="A26" s="6" t="s">
        <v>107</v>
      </c>
      <c r="B26">
        <v>1</v>
      </c>
      <c r="C26">
        <v>1800</v>
      </c>
      <c r="D26">
        <v>1800</v>
      </c>
      <c r="E26">
        <v>1800</v>
      </c>
    </row>
    <row r="27" spans="1:5" x14ac:dyDescent="0.25">
      <c r="A27" s="5" t="s">
        <v>49</v>
      </c>
      <c r="B27">
        <v>89</v>
      </c>
      <c r="C27">
        <v>1800</v>
      </c>
      <c r="D27">
        <v>235908.52</v>
      </c>
      <c r="E27">
        <v>216961.30999999997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slips</vt:lpstr>
      <vt:lpstr>validacion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Zuniga</dc:creator>
  <cp:lastModifiedBy>u201823368 (Zuñiga Cordova, Johan Poul Hugo)</cp:lastModifiedBy>
  <cp:lastPrinted>2025-10-31T16:12:16Z</cp:lastPrinted>
  <dcterms:created xsi:type="dcterms:W3CDTF">2025-10-31T16:11:57Z</dcterms:created>
  <dcterms:modified xsi:type="dcterms:W3CDTF">2025-11-03T17:27:24Z</dcterms:modified>
</cp:coreProperties>
</file>