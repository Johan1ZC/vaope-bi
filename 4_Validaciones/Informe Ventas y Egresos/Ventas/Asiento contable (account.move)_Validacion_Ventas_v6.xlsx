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Ventas\"/>
    </mc:Choice>
  </mc:AlternateContent>
  <xr:revisionPtr revIDLastSave="0" documentId="13_ncr:1_{9DDA04C1-3562-47F5-B5FE-8511666B5DFE}" xr6:coauthVersionLast="47" xr6:coauthVersionMax="47" xr10:uidLastSave="{00000000-0000-0000-0000-000000000000}"/>
  <bookViews>
    <workbookView xWindow="20370" yWindow="-1485" windowWidth="29040" windowHeight="15720" tabRatio="704" activeTab="5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6" r:id="rId4"/>
    <sheet name="Detalle3" sheetId="17" r:id="rId5"/>
    <sheet name="validaciones_json" sheetId="8" r:id="rId6"/>
    <sheet name="Checklist" sheetId="2" r:id="rId7"/>
    <sheet name="Detalle2" sheetId="10" state="hidden" r:id="rId8"/>
    <sheet name="Comparacion nuevos campos" sheetId="4" state="hidden" r:id="rId9"/>
  </sheets>
  <definedNames>
    <definedName name="_xlnm._FilterDatabase" localSheetId="0" hidden="1">FactClientes_InterfaceODOO!$A$1:$AK$87</definedName>
    <definedName name="_xlnm._FilterDatabase" localSheetId="2" hidden="1">facturas_con_items_json!$A$1:$AS$95</definedName>
  </definedNames>
  <calcPr calcId="191029"/>
  <pivotCaches>
    <pivotCache cacheId="35" r:id="rId10"/>
    <pivotCache cacheId="4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58" i="7" l="1"/>
  <c r="AS457" i="7"/>
  <c r="AS456" i="7"/>
  <c r="AS455" i="7"/>
  <c r="AS454" i="7"/>
  <c r="AS453" i="7"/>
  <c r="AS452" i="7"/>
  <c r="AS451" i="7"/>
  <c r="AS450" i="7"/>
  <c r="AS449" i="7"/>
  <c r="AS448" i="7"/>
  <c r="AS447" i="7"/>
  <c r="AS446" i="7"/>
  <c r="AS445" i="7"/>
  <c r="AS444" i="7"/>
  <c r="AS443" i="7"/>
  <c r="AS442" i="7"/>
  <c r="AS441" i="7"/>
  <c r="AS440" i="7"/>
  <c r="AS439" i="7"/>
  <c r="AS438" i="7"/>
  <c r="AS437" i="7"/>
  <c r="AS436" i="7"/>
  <c r="AS435" i="7"/>
  <c r="AS434" i="7"/>
  <c r="AS433" i="7"/>
  <c r="AS432" i="7"/>
  <c r="AS431" i="7"/>
  <c r="AS430" i="7"/>
  <c r="AS429" i="7"/>
  <c r="AS428" i="7"/>
  <c r="AS427" i="7"/>
  <c r="AS426" i="7"/>
  <c r="AS425" i="7"/>
  <c r="AS424" i="7"/>
  <c r="AS423" i="7"/>
  <c r="AS422" i="7"/>
  <c r="AS421" i="7"/>
  <c r="AS420" i="7"/>
  <c r="AS419" i="7"/>
  <c r="AS418" i="7"/>
  <c r="AS417" i="7"/>
  <c r="AS416" i="7"/>
  <c r="AS415" i="7"/>
  <c r="AS414" i="7"/>
  <c r="AS413" i="7"/>
  <c r="AS412" i="7"/>
  <c r="AS411" i="7"/>
  <c r="AS410" i="7"/>
  <c r="AS409" i="7"/>
  <c r="AS408" i="7"/>
  <c r="AS407" i="7"/>
  <c r="AS406" i="7"/>
  <c r="AS405" i="7"/>
  <c r="AS404" i="7"/>
  <c r="AS403" i="7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S95" i="7"/>
  <c r="AS94" i="7"/>
  <c r="AS93" i="7"/>
  <c r="AS92" i="7"/>
  <c r="AS91" i="7"/>
  <c r="AS90" i="7"/>
  <c r="AK66" i="1"/>
  <c r="AK73" i="1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S4" i="7"/>
  <c r="AS3" i="7"/>
  <c r="AS2" i="7"/>
  <c r="AK46" i="1"/>
  <c r="AK74" i="1"/>
  <c r="AK67" i="1"/>
  <c r="AK7" i="1"/>
  <c r="AK30" i="1"/>
  <c r="AK17" i="1"/>
  <c r="AK26" i="1"/>
  <c r="AK6" i="1"/>
  <c r="AK19" i="1"/>
  <c r="AK78" i="1"/>
  <c r="AK76" i="1"/>
  <c r="AK75" i="1"/>
  <c r="AK77" i="1"/>
  <c r="AK33" i="1"/>
  <c r="AK2" i="1"/>
  <c r="AK4" i="1"/>
  <c r="AK36" i="1"/>
  <c r="AK42" i="1"/>
  <c r="AK45" i="1"/>
  <c r="AK28" i="1"/>
  <c r="AK3" i="1"/>
  <c r="AK8" i="1"/>
  <c r="AK27" i="1"/>
  <c r="AK79" i="1"/>
  <c r="AK29" i="1"/>
  <c r="AK18" i="1"/>
  <c r="AK40" i="1"/>
  <c r="AK43" i="1"/>
  <c r="AK35" i="1"/>
  <c r="AK44" i="1"/>
  <c r="AK39" i="1"/>
  <c r="AK41" i="1"/>
  <c r="AK20" i="1"/>
  <c r="AK5" i="1"/>
  <c r="AK34" i="1"/>
  <c r="AK24" i="1"/>
  <c r="AK23" i="1"/>
  <c r="AK22" i="1"/>
  <c r="AK21" i="1"/>
  <c r="AK37" i="1"/>
  <c r="AK25" i="1"/>
  <c r="AK68" i="1"/>
  <c r="AK69" i="1"/>
  <c r="AK72" i="1"/>
  <c r="AK71" i="1"/>
  <c r="AK12" i="1"/>
  <c r="AK13" i="1"/>
  <c r="AK70" i="1"/>
  <c r="AK15" i="1"/>
  <c r="AK14" i="1"/>
  <c r="AK54" i="1"/>
  <c r="AK53" i="1"/>
  <c r="AK52" i="1"/>
  <c r="AK51" i="1"/>
  <c r="AK50" i="1"/>
  <c r="AK32" i="1"/>
  <c r="AK31" i="1"/>
  <c r="AK49" i="1"/>
  <c r="AK48" i="1"/>
  <c r="AK11" i="1"/>
  <c r="AK16" i="1"/>
  <c r="AK62" i="1"/>
  <c r="AK61" i="1"/>
  <c r="AK60" i="1"/>
  <c r="AK59" i="1"/>
  <c r="AK85" i="1"/>
  <c r="AK84" i="1"/>
  <c r="AK83" i="1"/>
  <c r="AK82" i="1"/>
  <c r="AK81" i="1"/>
  <c r="AK80" i="1"/>
  <c r="AK58" i="1"/>
  <c r="AK57" i="1"/>
  <c r="AK56" i="1"/>
  <c r="AK55" i="1"/>
  <c r="AK10" i="1"/>
  <c r="AK9" i="1"/>
  <c r="AK47" i="1"/>
  <c r="AK87" i="1"/>
  <c r="AK86" i="1"/>
  <c r="AK65" i="1"/>
  <c r="AK64" i="1"/>
  <c r="AK63" i="1"/>
</calcChain>
</file>

<file path=xl/sharedStrings.xml><?xml version="1.0" encoding="utf-8"?>
<sst xmlns="http://schemas.openxmlformats.org/spreadsheetml/2006/main" count="13585" uniqueCount="2311">
  <si>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</si>
  <si>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</si>
  <si>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</si>
  <si>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</si>
  <si>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</si>
  <si>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</si>
  <si>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</si>
  <si>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</si>
  <si>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</si>
  <si>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</si>
  <si>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</si>
  <si>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</si>
  <si>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</si>
  <si>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</si>
  <si>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</si>
  <si>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</si>
  <si>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</si>
  <si>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</si>
  <si>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</si>
  <si>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</si>
  <si>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</si>
  <si>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</si>
  <si>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</si>
  <si>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</si>
  <si>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</si>
  <si>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</si>
  <si>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</si>
  <si>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</si>
  <si>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</si>
  <si>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</si>
  <si>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</si>
  <si>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</si>
  <si>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</si>
  <si>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</si>
  <si>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</si>
  <si>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</si>
  <si>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</si>
  <si>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</si>
  <si>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</si>
  <si>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</si>
  <si>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</si>
  <si>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</si>
  <si>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</si>
  <si>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</si>
  <si>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</si>
  <si>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</si>
  <si>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</si>
  <si>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</si>
  <si>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</si>
  <si>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</si>
  <si>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</si>
  <si>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</si>
  <si>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</si>
  <si>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</si>
  <si>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</si>
  <si>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</si>
  <si>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</si>
  <si>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</si>
  <si>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</si>
  <si>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</si>
  <si>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</si>
  <si>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</si>
  <si>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</si>
  <si>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</si>
  <si>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</si>
  <si>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</si>
  <si>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</si>
  <si>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</si>
  <si>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</si>
  <si>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</si>
  <si>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</si>
  <si>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</si>
  <si>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</si>
  <si>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</si>
  <si>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</si>
  <si>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</si>
  <si>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</si>
  <si>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</si>
  <si>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</si>
  <si>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</si>
  <si>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</si>
  <si>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</si>
  <si>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</si>
  <si>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</si>
  <si>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</si>
  <si>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</si>
  <si>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</si>
  <si>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</si>
  <si>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</si>
  <si>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</si>
  <si>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</si>
  <si>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</si>
  <si>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</si>
  <si>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</si>
  <si>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</si>
  <si>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</si>
  <si>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</si>
  <si>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</si>
  <si>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</si>
  <si>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</si>
  <si>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</si>
  <si>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</si>
  <si>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</si>
  <si>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</si>
  <si>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Por enviar</t>
  </si>
  <si>
    <t>Error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</si>
  <si>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</si>
  <si>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</si>
  <si>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</si>
  <si>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</si>
  <si>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</si>
  <si>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</si>
  <si>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</si>
  <si>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</si>
  <si>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</si>
  <si>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</si>
  <si>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</si>
  <si>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</si>
  <si>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</si>
  <si>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</si>
  <si>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</si>
  <si>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</si>
  <si>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</si>
  <si>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</si>
  <si>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</si>
  <si>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</si>
  <si>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</si>
  <si>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</si>
  <si>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</si>
  <si>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</si>
  <si>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</si>
  <si>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</si>
  <si>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</si>
  <si>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</si>
  <si>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</si>
  <si>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</si>
  <si>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</si>
  <si>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</si>
  <si>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</si>
  <si>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</si>
  <si>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</si>
  <si>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</si>
  <si>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</si>
  <si>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</si>
  <si>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</si>
  <si>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</si>
  <si>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</si>
  <si>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</si>
  <si>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</si>
  <si>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</si>
  <si>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</si>
  <si>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</si>
  <si>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</si>
  <si>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</si>
  <si>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</si>
  <si>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</si>
  <si>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posted</t>
  </si>
  <si>
    <t>Publicado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</si>
  <si>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</si>
  <si>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</si>
  <si>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</si>
  <si>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</si>
  <si>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</si>
  <si>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</si>
  <si>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</si>
  <si>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</si>
  <si>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</si>
  <si>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</si>
  <si>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COMISIÃ“N VAOPE SEGUN CONTRATO -</t>
  </si>
  <si>
    <t>00000046</t>
  </si>
  <si>
    <t>[]</t>
  </si>
  <si>
    <t>00000045</t>
  </si>
  <si>
    <t>00000044</t>
  </si>
  <si>
    <t>00000043</t>
  </si>
  <si>
    <t>00000042</t>
  </si>
  <si>
    <t>00000041</t>
  </si>
  <si>
    <t>00000040</t>
  </si>
  <si>
    <t>00000039</t>
  </si>
  <si>
    <t>00000038</t>
  </si>
  <si>
    <t>00000036</t>
  </si>
  <si>
    <t>00000035</t>
  </si>
  <si>
    <t>00000033</t>
  </si>
  <si>
    <t>COMISIÃ“N PAGOS DIGITALES SEGUN CONTRATO</t>
  </si>
  <si>
    <t>00000032</t>
  </si>
  <si>
    <t>00000030</t>
  </si>
  <si>
    <t>00000029</t>
  </si>
  <si>
    <t>00000028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</si>
  <si>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</si>
  <si>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</si>
  <si>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</si>
  <si>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</si>
  <si>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</si>
  <si>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</si>
  <si>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</si>
  <si>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</si>
  <si>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</si>
  <si>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</si>
  <si>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COMISIÃ“N PAGOS DIGITALES SEGÃšN CONTRATO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</si>
  <si>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</si>
  <si>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</si>
  <si>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</si>
  <si>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</si>
  <si>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</si>
  <si>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</si>
  <si>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</si>
  <si>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</si>
  <si>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00000003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</si>
  <si>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</si>
  <si>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</si>
  <si>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</si>
  <si>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</si>
  <si>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</si>
  <si>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</si>
  <si>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</si>
  <si>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</si>
  <si>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</si>
  <si>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</si>
  <si>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</si>
  <si>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ENTRADAS IMPRESAS FULL COLOR GENERAL, BRAZALETES VIP -CORAZÃ“N SERRANO BARRANCA - 09/02 Y PERSONAL DELIVERY</t>
  </si>
  <si>
    <t>consu</t>
  </si>
  <si>
    <t xml:space="preserve">ENTRADAS IMPRESAS * FULL COLOR GENERAL </t>
  </si>
  <si>
    <t>FB01</t>
  </si>
  <si>
    <t>COMISION CORTESIA - ACTUALIZACION GRAFICA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</si>
  <si>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</si>
  <si>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</si>
  <si>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</si>
  <si>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</si>
  <si>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</si>
  <si>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</si>
  <si>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</si>
  <si>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</si>
  <si>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</si>
  <si>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</si>
  <si>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F00100000104</t>
  </si>
  <si>
    <t>FFF1219</t>
  </si>
  <si>
    <t>FFF1220</t>
  </si>
  <si>
    <t>Detalles para Suma de item.total - UNIFICADO: (01) Factura F00100000104</t>
  </si>
  <si>
    <t>JSON</t>
  </si>
  <si>
    <t>DESCARGA ODOO</t>
  </si>
  <si>
    <t>not_paid</t>
  </si>
  <si>
    <t>nombre_empresa</t>
  </si>
  <si>
    <t>F FFI</t>
  </si>
  <si>
    <t>DIFUSION DE EVENTO NIV 1</t>
  </si>
  <si>
    <t xml:space="preserve">full color </t>
  </si>
  <si>
    <t>F FFI00000001</t>
  </si>
  <si>
    <t>Oct</t>
  </si>
  <si>
    <t>7012100 MercaderÃ­as-Venta Local-Terceros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</si>
  <si>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</si>
  <si>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[[{'cÃ³digo': 101, 'nom_distribucion': 'Validadores', 'sub_categoria': 'DELIVERY', 'porcentaje': '100.00'}, {'cÃ³digo': 102, 'nom_distribucion': 'Validadores', 'sub_categoria': 'IME', 'porcentaje': '100.00'}]]</t>
  </si>
  <si>
    <t>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</t>
  </si>
  <si>
    <t>[[{'cÃ³digo': 101, 'nom_distribucion': 'Validadores', 'sub_categoria': 'DELIVERY', 'porcentaje': '100.00'}, {'cÃ³digo': 103, 'nom_distribucion': 'Validadores', 'sub_categoria': 'PERSONAL', 'porcentaje': '100.00'}]]</t>
  </si>
  <si>
    <t>[[{'cÃ³digo': 103, 'nom_distribucion': 'Validadores', 'sub_categoria': 'PERSONAL', 'porcentaje': '100.00'}]]</t>
  </si>
  <si>
    <t>[[{'cÃ³digo': 101, 'nom_distribucion': 'Validadores', 'sub_categoria': 'DELIVERY', 'porcentaje': '100.00'}]]</t>
  </si>
  <si>
    <t>Detalles para Suma de item.total - UNIFICADO: F FFI00000001</t>
  </si>
  <si>
    <t>Cuenta de UNIFICADO</t>
  </si>
  <si>
    <t xml:space="preserve"> 85 facturas unicas:</t>
  </si>
  <si>
    <t>Pruebas Johan:</t>
  </si>
  <si>
    <t>(01) Factura FB01-00000078</t>
  </si>
  <si>
    <t>Resultados</t>
  </si>
  <si>
    <t>Observaciones</t>
  </si>
  <si>
    <t>No se verifica la distribucion analitica</t>
  </si>
  <si>
    <t>Se agrega la distribucion analitica en una sola linea con 100% todos</t>
  </si>
  <si>
    <t>(01) Factura FB01-00000079</t>
  </si>
  <si>
    <t>Se verifica distribucuion analitica</t>
  </si>
  <si>
    <t>Se agrega la distribucion 1 area por cada linea con % correspondiente a la suma 100%</t>
  </si>
  <si>
    <t>(01) Factura FB01-00000080</t>
  </si>
  <si>
    <t>Se verifican datos en 2 de 3 productos</t>
  </si>
  <si>
    <t>Cumple el guardado de datos cuando se agregan distribuciones por fila y su % que el total sume 100%, los otros no</t>
  </si>
  <si>
    <t>Número</t>
  </si>
  <si>
    <t>Tipo de Documento</t>
  </si>
  <si>
    <t>(03) Boleta BOB1-00000030</t>
  </si>
  <si>
    <t>Trilogia Pxndx Festival III en Lince</t>
  </si>
  <si>
    <t>(03) Boleta</t>
  </si>
  <si>
    <t>STHIVEN RANDOLF GARCIA MEDINA</t>
  </si>
  <si>
    <t>Revertido</t>
  </si>
  <si>
    <t>(03) Boleta BOB1-00000029</t>
  </si>
  <si>
    <t>(03) Boleta BOB1-00000028</t>
  </si>
  <si>
    <t>Son del Duke y mucho más en el Crucero del Amor de SJL</t>
  </si>
  <si>
    <t>FIGUEROA ROSADO GABRIELA BRIYIT</t>
  </si>
  <si>
    <t>(03) Boleta BOB1-00000027</t>
  </si>
  <si>
    <t>(03) Boleta BOB1-00000026</t>
  </si>
  <si>
    <t>(03) Boleta BOB1-00000025</t>
  </si>
  <si>
    <t>(03) Boleta BOB1-00000024</t>
  </si>
  <si>
    <t>3er Aniversario Complejo Deportivo y Cultural Los Cumpas con Alegres de Bambamarca, Martin Vera y más en Puente Piedra</t>
  </si>
  <si>
    <t>ANGEL GABRIEL RODRÍGUEZ PINEDA</t>
  </si>
  <si>
    <t>(03) Boleta BOB1-00000023</t>
  </si>
  <si>
    <t>(03) Boleta BOB1-00000022</t>
  </si>
  <si>
    <t>Trilogía de Oro con Max Castro, William Luna y Marco Antonio en Pucallpa</t>
  </si>
  <si>
    <t>JOSELYN VERONICA GUTIERREZ HUANCA</t>
  </si>
  <si>
    <t>(03) Boleta BOB1-00000021</t>
  </si>
  <si>
    <t>(03) Boleta BOB1-00000020</t>
  </si>
  <si>
    <t>(03) Boleta BOB1-00000019</t>
  </si>
  <si>
    <t>(03) Boleta BOB1-00000018</t>
  </si>
  <si>
    <t>Primer Festival de la Música Latino Americana en Chiclayo</t>
  </si>
  <si>
    <t>MANUEL CARLOS AMIAS SHAPIAMA</t>
  </si>
  <si>
    <t>(03) Boleta BOB1-00000017</t>
  </si>
  <si>
    <t>(03) Boleta BOB1-00000016</t>
  </si>
  <si>
    <t>(03) Boleta BOB1-00000015</t>
  </si>
  <si>
    <t>(03) Boleta BOB1-00000014</t>
  </si>
  <si>
    <t>(03) Boleta BOB1-00000013</t>
  </si>
  <si>
    <t>(03) Boleta BOB1-00000012</t>
  </si>
  <si>
    <t>(03) Boleta BOB1-00000011</t>
  </si>
  <si>
    <t>(03) Boleta BOB1-00000010</t>
  </si>
  <si>
    <t>(01) Factura FOF1-00000046</t>
  </si>
  <si>
    <t>El Clásico de la Cumbia Norteña en Huancayo con Agua Marina y Walther Lozada &amp; Orquesta</t>
  </si>
  <si>
    <t>(01) Factura</t>
  </si>
  <si>
    <t>(01) Factura FOF1-00000045</t>
  </si>
  <si>
    <t>(01) Factura FOF1-00000044</t>
  </si>
  <si>
    <t>(01) Factura FOF1-00000043</t>
  </si>
  <si>
    <t>(01) Factura FOF1-00000042</t>
  </si>
  <si>
    <t>(01) Factura FOF1-00000041</t>
  </si>
  <si>
    <t>(01) Factura FOF1-00000040</t>
  </si>
  <si>
    <t>(01) Factura FOF1-00000039</t>
  </si>
  <si>
    <t>La Bella Luz y más en Ate Vitarte</t>
  </si>
  <si>
    <t>EMPRESA MUSICAL INTERNACIONAL LA BELLA LUZ E.I.R.L.</t>
  </si>
  <si>
    <t>(01) Factura FOF1-00000038</t>
  </si>
  <si>
    <t>(01) Factura FOF1-00000037</t>
  </si>
  <si>
    <t>Agua Marina en Pichanaki</t>
  </si>
  <si>
    <t>(01) Factura FOF1-00000036</t>
  </si>
  <si>
    <t>(01) Factura FOF1-00000035</t>
  </si>
  <si>
    <t>(01) Factura FOF1-00000034</t>
  </si>
  <si>
    <t>(01) Factura FOF1-00000033</t>
  </si>
  <si>
    <t>Amaranta en Cusco</t>
  </si>
  <si>
    <t>AMARANTA MUSIC CORP S.A.C.</t>
  </si>
  <si>
    <t>(01) Factura FOF1-00000032</t>
  </si>
  <si>
    <t>(01) Factura FOF1-00000031</t>
  </si>
  <si>
    <t>Amaranta en Juliaca</t>
  </si>
  <si>
    <t>(01) Factura FOF1-00000030</t>
  </si>
  <si>
    <t>(01) Factura FOF1-00000029</t>
  </si>
  <si>
    <t>(01) Factura FOF1-00000028</t>
  </si>
  <si>
    <t>Amaranta en Arequipa</t>
  </si>
  <si>
    <t>(01) Factura FOF1-00000027</t>
  </si>
  <si>
    <t>(01) Factura FOF1-00000026</t>
  </si>
  <si>
    <t>(01) Factura FOF1-00000025</t>
  </si>
  <si>
    <t>24 Aniversario de Victor Manuel del Perú, Max Castro, Milder Ore y más en Trujillo</t>
  </si>
  <si>
    <t>ALAN INVERSIONES &amp; REPRESENTACIONES S.A.C.</t>
  </si>
  <si>
    <t>(01) Factura FOF1-00000024</t>
  </si>
  <si>
    <t>(01) Factura FOF1-00000023</t>
  </si>
  <si>
    <t>La Bella Luz en Pachacamac</t>
  </si>
  <si>
    <t>(01) Factura FOF1-00000022</t>
  </si>
  <si>
    <t>(03) Boleta BOB1-00000009</t>
  </si>
  <si>
    <t>Agua Marina en Barranca</t>
  </si>
  <si>
    <t>JESUS MANUEL COTRINA CORPUS</t>
  </si>
  <si>
    <t>(01) Factura FOF1-00000021</t>
  </si>
  <si>
    <t>Desde Colombia Lil Silvio &amp; El Vega en Cajamarca</t>
  </si>
  <si>
    <t>RIVERA GUERRERO ANGGELA RINA</t>
  </si>
  <si>
    <t>(01) Factura FOF1-00000020</t>
  </si>
  <si>
    <t>(01) Factura FOF1-00000019</t>
  </si>
  <si>
    <t>Corazón Serrano en la Isla del Paraíso del Callao</t>
  </si>
  <si>
    <t>PROMOTORA M&amp;M S.R.L.</t>
  </si>
  <si>
    <t>(01) Factura FOF1-00000018</t>
  </si>
  <si>
    <t>(01) Factura FOF1-00000017</t>
  </si>
  <si>
    <t>(01) Factura FOF1-00000016</t>
  </si>
  <si>
    <t>(01) Factura FOF1-00000015</t>
  </si>
  <si>
    <t>(03) Boleta BOB1-00000008</t>
  </si>
  <si>
    <t>(03) Boleta BOB1-00000007</t>
  </si>
  <si>
    <t>(03) Boleta BOB1-00000006</t>
  </si>
  <si>
    <t>(03) Boleta BOB1-00000005</t>
  </si>
  <si>
    <t>(03) Boleta BOB1-00000004</t>
  </si>
  <si>
    <t>(01) Factura FOF1-00000014</t>
  </si>
  <si>
    <t>Feliz Día de la Suegra con la Bella Luz y más en El Huaralino</t>
  </si>
  <si>
    <t>(01) Factura FOF1-00000013</t>
  </si>
  <si>
    <t>(01) Factura FOF1-00000012</t>
  </si>
  <si>
    <t>(01) Factura FOF1-00000011</t>
  </si>
  <si>
    <t>(01) Factura FOF1-00000010</t>
  </si>
  <si>
    <t>Flor Pileña, Alegres de Bambarmarca y Victor Manuel en Cajabamba</t>
  </si>
  <si>
    <t>ESPECTACULOS MARCABALITO S.A.C.</t>
  </si>
  <si>
    <t>(01) Factura FOF1-00000009</t>
  </si>
  <si>
    <t>(01) Factura FOF1-00000008</t>
  </si>
  <si>
    <t>Feliz Aniversario Barranca con La Bella Luz</t>
  </si>
  <si>
    <t>(01) Factura FOF1-00000006</t>
  </si>
  <si>
    <t>(03) Boleta BOB1-00000003</t>
  </si>
  <si>
    <t>18° Aniversario de Illari del Cusco con Chinito del Ande, Osito Pardo, Los Puntos del Amor y más en Huaracondo de SJL</t>
  </si>
  <si>
    <t>JUAN EDGAR VENTURA MACAZANA</t>
  </si>
  <si>
    <t>(03) Boleta BOB1-00000002</t>
  </si>
  <si>
    <t>(01) Factura FOF1-00000004</t>
  </si>
  <si>
    <t>Corazón Serrano en Huacho</t>
  </si>
  <si>
    <t>(01) Factura FOF1-00000003</t>
  </si>
  <si>
    <t>(03) Boleta BOB1-00000001</t>
  </si>
  <si>
    <t>Atlético Torino vs Bagua FC - Copa Perú 2025</t>
  </si>
  <si>
    <t>JOSE MANUEL BACA ANTON PRESIDENTE DE LA LIGA DEPARTAMENTAL PIURA</t>
  </si>
  <si>
    <t>(01) Factura FOF1-00000002</t>
  </si>
  <si>
    <t>FFF1-221</t>
  </si>
  <si>
    <t>PERUVIAN PRODUCTIONS SOCIEDAD ANONIMA CERRADA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</si>
  <si>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20250000000000527297266 error: Error en envio de documeto '&lt;/p&gt;</t>
  </si>
  <si>
    <t>FFF1-220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</si>
  <si>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20250000000000527297278 error: Error en envio de documeto '&lt;/p&gt;</t>
  </si>
  <si>
    <t>FFF1-219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</si>
  <si>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20250000000000527297296 error: Error en envio de documeto '&lt;/p&gt;</t>
  </si>
  <si>
    <t>FB01-1420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</si>
  <si>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20250000000000527297311 error: Error en envio de documeto '&lt;/p&gt;</t>
  </si>
  <si>
    <t>FB01-1419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</si>
  <si>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20250000000000527297322 error: Error en envio de documeto '&lt;/p&gt;</t>
  </si>
  <si>
    <t>FB01-1418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</si>
  <si>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20250000000000527297341 error: Error en envio de documeto '&lt;/p&gt;</t>
  </si>
  <si>
    <t>BB01-755</t>
  </si>
  <si>
    <t>RODRIGO ANTONIO QUISPE MONTAÑEZ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</si>
  <si>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20250000000000527297362 error: Error en envio de documeto '&lt;/p&gt;</t>
  </si>
  <si>
    <t>BB01-754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</si>
  <si>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20250000000000527297389 error: Error en envio de documeto '&lt;/p&gt;</t>
  </si>
  <si>
    <t>FB01-1417</t>
  </si>
  <si>
    <t>FIESTA KARIBEÑA SOCIEDAD ANONIMA CERRADA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</si>
  <si>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20250000000000527297440 error: Error en envio de documeto '&lt;/p&gt;</t>
  </si>
  <si>
    <t>FB01-1416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</si>
  <si>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20250000000000527297487 error: Error en envio de documeto '&lt;/p&gt;</t>
  </si>
  <si>
    <t>FB01-1415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</si>
  <si>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20250000000000527297555 error: Error en envio de documeto '&lt;/p&gt;</t>
  </si>
  <si>
    <t>FB01-1414</t>
  </si>
  <si>
    <t>MAKWA ENTERTAINMENT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</si>
  <si>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20250000000000527297561 error: Error en envio de documeto '&lt;/p&gt;</t>
  </si>
  <si>
    <t>FB01-1413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</si>
  <si>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20250000000000527297584 error: Error en envio de documeto '&lt;/p&gt;</t>
  </si>
  <si>
    <t>FB01-1412</t>
  </si>
  <si>
    <t>LA MATARINA PUENTE PIEDRA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</si>
  <si>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20250000000000527297607 error: Error en envio de documeto '&lt;/p&gt;</t>
  </si>
  <si>
    <t>FB01-1411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</si>
  <si>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20250000000000527297616 error: Error en envio de documeto '&lt;/p&gt;</t>
  </si>
  <si>
    <t>FB01-1410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</si>
  <si>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20250000000000527297643 error: Error en envio de documeto '&lt;/p&gt;</t>
  </si>
  <si>
    <t>FB01-1409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</si>
  <si>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20250000000000527297654 error: Error en envio de documeto '&lt;/p&gt;</t>
  </si>
  <si>
    <t>FB01-1408</t>
  </si>
  <si>
    <t>CONSORCIO CHUNGA &amp; ASOCIADOS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</si>
  <si>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20250000000000527297685 error: Error en envio de documeto '&lt;/p&gt;</t>
  </si>
  <si>
    <t>FB01-1407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</si>
  <si>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20250000000000527297699 error: Error en envio de documeto '&lt;/p&gt;</t>
  </si>
  <si>
    <t>FB01-1406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</si>
  <si>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20250000000000527297721 error: Error en envio de documeto '&lt;/p&gt;</t>
  </si>
  <si>
    <t>FB01-1405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</si>
  <si>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20250000000000527297736 error: Error en envio de documeto '&lt;/p&gt;</t>
  </si>
  <si>
    <t>FB01-1404</t>
  </si>
  <si>
    <t>COMPLEJO TURISTICO EL REMANSO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</si>
  <si>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20250000000000527297754 error: Error en envio de documeto '&lt;/p&gt;</t>
  </si>
  <si>
    <t>FB01-1403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</si>
  <si>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20250000000000527297770 error: Error en envio de documeto '&lt;/p&gt;</t>
  </si>
  <si>
    <t>FB01-1402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</si>
  <si>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20250000000000527297799 error: Error en envio de documeto '&lt;/p&gt;</t>
  </si>
  <si>
    <t>FB01-1401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</si>
  <si>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20250000000000527297823 error: Error en envio de documeto '&lt;/p&gt;</t>
  </si>
  <si>
    <t>FB01-1400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</si>
  <si>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20250000000000527297832 error: Error en envio de documeto '&lt;/p&gt;</t>
  </si>
  <si>
    <t>FB01-1399</t>
  </si>
  <si>
    <t>TARPUY PRODUCCIONES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</si>
  <si>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20250000000000527297847 error: Error en envio de documeto '&lt;/p&gt;</t>
  </si>
  <si>
    <t>FB01-1398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</si>
  <si>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20250000000000527297873 error: Error en envio de documeto '&lt;/p&gt;</t>
  </si>
  <si>
    <t>FB01-1397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</si>
  <si>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20250000000000527297907 error: Error en envio de documeto '&lt;/p&gt;</t>
  </si>
  <si>
    <t>FB01-1396</t>
  </si>
  <si>
    <t>SEVAFRA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</si>
  <si>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20250000000000527297922 error: Error en envio de documeto '&lt;/p&gt;</t>
  </si>
  <si>
    <t>FB01-1395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</si>
  <si>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20250000000000527297932 error: Error en envio de documeto '&lt;/p&gt;</t>
  </si>
  <si>
    <t>FB01-1394</t>
  </si>
  <si>
    <t>MULTISERVICIOS YATACO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</si>
  <si>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20250000000000527297937 error: Error en envio de documeto '&lt;/p&gt;</t>
  </si>
  <si>
    <t>FB01-1393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</si>
  <si>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20250000000000527297957 error: Error en envio de documeto '&lt;/p&gt;</t>
  </si>
  <si>
    <t>FB01-1392</t>
  </si>
  <si>
    <t>EL PADRINO DIVERSIONES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</si>
  <si>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20250000000000527297972 error: Error en envio de documeto '&lt;/p&gt;</t>
  </si>
  <si>
    <t>FB01-1391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</si>
  <si>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20250000000000527297981 error: Error en envio de documeto '&lt;/p&gt;</t>
  </si>
  <si>
    <t>FB01-1390</t>
  </si>
  <si>
    <t>INVERSIONES SAM &amp; ASOCIADOS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</si>
  <si>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20250000000000527297995 error: Error en envio de documeto '&lt;/p&gt;</t>
  </si>
  <si>
    <t>FB01-1389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</si>
  <si>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20250000000000527298005 error: Error en envio de documeto '&lt;/p&gt;</t>
  </si>
  <si>
    <t>FB01-1388</t>
  </si>
  <si>
    <t>NEGOCIACIONES Y PRODUCCIONES VEGA S.A.C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</si>
  <si>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20250000000000527298015 error: Error en envio de documeto '&lt;/p&gt;</t>
  </si>
  <si>
    <t>FB01-1387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</si>
  <si>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20250000000000527298026 error: Error en envio de documeto '&lt;/p&gt;</t>
  </si>
  <si>
    <t>FB01-1386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</si>
  <si>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20250000000000527298045 error: Error en envio de documeto '&lt;/p&gt;</t>
  </si>
  <si>
    <t>FB01-1385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</si>
  <si>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20250000000000527298067 error: Error en envio de documeto '&lt;/p&gt;</t>
  </si>
  <si>
    <t>FB01-1384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</si>
  <si>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20250000000000527298080 error: Error en envio de documeto '&lt;/p&gt;</t>
  </si>
  <si>
    <t>FB01-1383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</si>
  <si>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20250000000000527298094 error: Error en envio de documeto '&lt;/p&gt;</t>
  </si>
  <si>
    <t>FB01-1382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</si>
  <si>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20250000000000527298109 error: Error en envio de documeto '&lt;/p&gt;</t>
  </si>
  <si>
    <t>FB01-1381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</si>
  <si>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20250000000000527298131 error: Error en envio de documeto '&lt;/p&gt;</t>
  </si>
  <si>
    <t>FB01-1380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</si>
  <si>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20250000000000527298145 error: Error en envio de documeto '&lt;/p&gt;</t>
  </si>
  <si>
    <t>FB01-1379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</si>
  <si>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20250000000000527298166 error: Error en envio de documeto '&lt;/p&gt;</t>
  </si>
  <si>
    <t>FB01-1378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</si>
  <si>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20250000000000527298193 error: Error en envio de documeto '&lt;/p&gt;</t>
  </si>
  <si>
    <t>FB01-1377</t>
  </si>
  <si>
    <t>CARDANO PRODUCCIONES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</si>
  <si>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20250000000000527298218 error: Error en envio de documeto '&lt;/p&gt;</t>
  </si>
  <si>
    <t>FB01-1376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</si>
  <si>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20250000000000527298233 error: Error en envio de documeto '&lt;/p&gt;</t>
  </si>
  <si>
    <t>FB01-1375</t>
  </si>
  <si>
    <t>JDA BUSINESS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</si>
  <si>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20250000000000527298249 error: Error en envio de documeto '&lt;/p&gt;</t>
  </si>
  <si>
    <t>FB01-1374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</si>
  <si>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20250000000000527298267 error: Error en envio de documeto '&lt;/p&gt;</t>
  </si>
  <si>
    <t>FB01-1373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</si>
  <si>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20250000000000527298278 error: Error en envio de documeto '&lt;/p&gt;</t>
  </si>
  <si>
    <t>FB01-1372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</si>
  <si>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20250000000000527298309 error: Error en envio de documeto '&lt;/p&gt;</t>
  </si>
  <si>
    <t>FB01-1371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</si>
  <si>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20250000000000527298336 error: Error en envio de documeto '&lt;/p&gt;</t>
  </si>
  <si>
    <t>FB01-1370</t>
  </si>
  <si>
    <t>RAMOS CRUZ MILAGRITOS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</si>
  <si>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20250000000000527298344 error: Error en envio de documeto '&lt;/p&gt;</t>
  </si>
  <si>
    <t>FB01-1369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</si>
  <si>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20250000000000527298355 error: Error en envio de documeto '&lt;/p&gt;</t>
  </si>
  <si>
    <t>FB01-1368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</si>
  <si>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20250000000000527298383 error: Error en envio de documeto '&lt;/p&gt;</t>
  </si>
  <si>
    <t>FB01-1367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</si>
  <si>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20250000000000527298403 error: Error en envio de documeto '&lt;/p&gt;</t>
  </si>
  <si>
    <t>FB01-1366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</si>
  <si>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20250000000000527298434 error: Error en envio de documeto '&lt;/p&gt;</t>
  </si>
  <si>
    <t>FB01-1365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</si>
  <si>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20250000000000527298446 error: Error en envio de documeto '&lt;/p&gt;</t>
  </si>
  <si>
    <t>FB01-1364</t>
  </si>
  <si>
    <t>TORRES TOVAR WILDER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</si>
  <si>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20250000000000527298475 error: Error en envio de documeto '&lt;/p&gt;</t>
  </si>
  <si>
    <t>FB01-1363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</si>
  <si>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20250000000000527298482 error: Error en envio de documeto '&lt;/p&gt;</t>
  </si>
  <si>
    <t>BB01-753</t>
  </si>
  <si>
    <t>EULALIA GAUDENCIA PEREZ CARHUAMACA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</si>
  <si>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20250000000000527298509 error: Error en envio de documeto '&lt;/p&gt;</t>
  </si>
  <si>
    <t>BB01-752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</si>
  <si>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20250000000000527298516 error: Error en envio de documeto '&lt;/p&gt;</t>
  </si>
  <si>
    <t>BB01-751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</si>
  <si>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20250000000000527298524 error: Error en envio de documeto '&lt;/p&gt;</t>
  </si>
  <si>
    <t>BB01-750</t>
  </si>
  <si>
    <t>JULIO MACHA MUNIVE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</si>
  <si>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20250000000000527298535 error: Error en envio de documeto '&lt;/p&gt;</t>
  </si>
  <si>
    <t>BB01-749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</si>
  <si>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20250000000000527298544 error: Error en envio de documeto '&lt;/p&gt;</t>
  </si>
  <si>
    <t>BB01-748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</si>
  <si>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20250000000000527298551 error: Error en envio de documeto '&lt;/p&gt;</t>
  </si>
  <si>
    <t>BB01-747</t>
  </si>
  <si>
    <t>YARIT ZARI ALANYA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</si>
  <si>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20250000000000527298572 error: Error en envio de documeto '&lt;/p&gt;</t>
  </si>
  <si>
    <t>BB01-746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</si>
  <si>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20250000000000527298582 error: Error en envio de documeto '&lt;/p&gt;</t>
  </si>
  <si>
    <t>BB01-745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</si>
  <si>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20250000000000527298619 error: Error en envio de documeto '&lt;/p&gt;</t>
  </si>
  <si>
    <t>BB01-744</t>
  </si>
  <si>
    <t>Erol Aylas Marquiño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</si>
  <si>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20250000000000527298642 error: Error en envio de documeto '&lt;/p&gt;</t>
  </si>
  <si>
    <t>BB01-743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</si>
  <si>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20250000000000527298655 error: Error en envio de documeto '&lt;/p&gt;</t>
  </si>
  <si>
    <t>BB01-742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</si>
  <si>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20250000000000527298667 error: Error en envio de documeto '&lt;/p&gt;</t>
  </si>
  <si>
    <t>BB01-741</t>
  </si>
  <si>
    <t>Humberto Ronald Mendoza Chacha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</si>
  <si>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20250000000000527298680 error: Error en envio de documeto '&lt;/p&gt;</t>
  </si>
  <si>
    <t>BB01-740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</si>
  <si>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20250000000000527298713 error: Error en envio de documeto '&lt;/p&gt;</t>
  </si>
  <si>
    <t>BB01-739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</si>
  <si>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20250000000000527298720 error: Error en envio de documeto '&lt;/p&gt;</t>
  </si>
  <si>
    <t>BB01-738</t>
  </si>
  <si>
    <t>Piero Macha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</si>
  <si>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20250000000000527298737 error: Error en envio de documeto '&lt;/p&gt;</t>
  </si>
  <si>
    <t>BB01-737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</si>
  <si>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20250000000000529184353 error: Error en envio de documeto '&lt;/p&gt;</t>
  </si>
  <si>
    <t>BB01-736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</si>
  <si>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20250000000000527298766 error: Error en envio de documeto '&lt;/p&gt;</t>
  </si>
  <si>
    <t>BB01-735</t>
  </si>
  <si>
    <t>GARELD ZAID HERRERA CARDENAS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</si>
  <si>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20250000000000527298775 error: Error en envio de documeto '&lt;/p&gt;</t>
  </si>
  <si>
    <t>BB01-734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</si>
  <si>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20250000000000527298782 error: Error en envio de documeto '&lt;/p&gt;</t>
  </si>
  <si>
    <t>BB01-733</t>
  </si>
  <si>
    <t>JAVIER ABEL SANCHEZ NUNTON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</si>
  <si>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20250000000000527298793 error: Error en envio de documeto '&lt;/p&gt;</t>
  </si>
  <si>
    <t>BB01-732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</si>
  <si>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20250000000000527298802 error: Error en envio de documeto '&lt;/p&gt;</t>
  </si>
  <si>
    <t>BB01-731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</si>
  <si>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20250000000000527298809 error: Error en envio de documeto '&lt;/p&gt;</t>
  </si>
  <si>
    <t>BB01-730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</si>
  <si>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20250000000000527298822 error: Error en envio de documeto '&lt;/p&gt;</t>
  </si>
  <si>
    <t>BB01-729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</si>
  <si>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20250000000000527298846 error: Error en envio de documeto '&lt;/p&gt;</t>
  </si>
  <si>
    <t>BB01-728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</si>
  <si>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20250000000000527298861 error: Error en envio de documeto '&lt;/p&gt;</t>
  </si>
  <si>
    <t>BB01-727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</si>
  <si>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20250000000000527298866 error: Error en envio de documeto '&lt;/p&gt;</t>
  </si>
  <si>
    <t>BB01-726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</si>
  <si>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20250000000000527298902 error: Error en envio de documeto '&lt;/p&gt;</t>
  </si>
  <si>
    <t>BB01-725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</si>
  <si>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20250000000000527298928 error: Error en envio de documeto '&lt;/p&gt;</t>
  </si>
  <si>
    <t>BB01-724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</si>
  <si>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20250000000000527298951 error: Error en envio de documeto '&lt;/p&gt;</t>
  </si>
  <si>
    <t>FB01-1362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</si>
  <si>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20250000000000527298960 error: Error en envio de documeto '&lt;/p&gt;</t>
  </si>
  <si>
    <t>FFF1-218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</si>
  <si>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20250000000000527298981 error: Error en envio de documeto '&lt;/p&gt;</t>
  </si>
  <si>
    <t>FB01-1361</t>
  </si>
  <si>
    <t>CHAMORRO AYALA ERIKA SOLEDAD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</si>
  <si>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20250000000000527298988 error: Error en envio de documeto '&lt;/p&gt;</t>
  </si>
  <si>
    <t>FB01-1360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</si>
  <si>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20250000000000527299004 error: Error en envio de documeto '&lt;/p&gt;</t>
  </si>
  <si>
    <t>BB01-721</t>
  </si>
  <si>
    <t>JHON DANNY BERNABLE BERNABLE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</si>
  <si>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20250000000000527299010 error: Error en envio de documeto '&lt;/p&gt;</t>
  </si>
  <si>
    <t>BB01-720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</si>
  <si>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20250000000000527299015 error: Error en envio de documeto '&lt;/p&gt;</t>
  </si>
  <si>
    <t>BB01-719</t>
  </si>
  <si>
    <t>SILVIA SEMIRA SANCHEZ SANGAMA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</si>
  <si>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20250000000000527299035 error: Error en envio de documeto '&lt;/p&gt;</t>
  </si>
  <si>
    <t>BB01-718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</si>
  <si>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20250000000000527299040 error: Error en envio de documeto '&lt;/p&gt;</t>
  </si>
  <si>
    <t>BB01-717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</si>
  <si>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20250000000000527299061 error: Error en envio de documeto '&lt;/p&gt;</t>
  </si>
  <si>
    <t>BB01-716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</si>
  <si>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20250000000000527299072 error: Error en envio de documeto '&lt;/p&gt;</t>
  </si>
  <si>
    <t>BB01-715</t>
  </si>
  <si>
    <t>ALEJANDRA FLORES TICONA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</si>
  <si>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20250000000000598888847 error: Error en envio de documento '&lt;/p&gt;</t>
  </si>
  <si>
    <t>BB01-714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</si>
  <si>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20250000000000527299108 error: Error en envio de documeto '&lt;/p&gt;</t>
  </si>
  <si>
    <t>BB01-713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</si>
  <si>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20250000000000527299117 error: Error en envio de documeto '&lt;/p&gt;</t>
  </si>
  <si>
    <t>BB01-712</t>
  </si>
  <si>
    <t>JORGE ANDRES RAMOS VILCAS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</si>
  <si>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20250000000000527299125 error: Error en envio de documeto '&lt;/p&gt;</t>
  </si>
  <si>
    <t>BB01-711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</si>
  <si>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20250000000000527299133 error: Error en envio de documeto '&lt;/p&gt;</t>
  </si>
  <si>
    <t>FB01-1359</t>
  </si>
  <si>
    <t>MOGROVEJO RAMOS ERWIN KERMER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</si>
  <si>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20250000000000527299139 error: Error en envio de documeto '&lt;/p&gt;</t>
  </si>
  <si>
    <t>FB01-1358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</si>
  <si>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20250000000000527299151 error: Error en envio de documeto '&lt;/p&gt;</t>
  </si>
  <si>
    <t>FB01-1357</t>
  </si>
  <si>
    <t>RESTAURANTE RECEPCIONES CHEPITA ROYAL EMPRESA INDIVIDUAL DE RESPONSABILIDAD LIMITADA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</si>
  <si>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20250000000000527299154 error: Error en envio de documeto '&lt;/p&gt;</t>
  </si>
  <si>
    <t>FB01-1356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</si>
  <si>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20250000000000527299161 error: Error en envio de documeto '&lt;/p&gt;</t>
  </si>
  <si>
    <t>FB01-1355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</si>
  <si>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20250000000000527299177 error: Error en envio de documeto '&lt;/p&gt;</t>
  </si>
  <si>
    <t>FB01-1354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</si>
  <si>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20250000000000527299192 error: Error en envio de documeto '&lt;/p&gt;</t>
  </si>
  <si>
    <t>FB01-1353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</si>
  <si>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20250000000000527299211 error: Error en envio de documeto '&lt;/p&gt;</t>
  </si>
  <si>
    <t>FB01-1352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</si>
  <si>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20250000000000527299216 error: Error en envio de documeto '&lt;/p&gt;</t>
  </si>
  <si>
    <t>FB01-1351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</si>
  <si>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20250000000000527299235 error: Error en envio de documeto '&lt;/p&gt;</t>
  </si>
  <si>
    <t>FB01-1350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</si>
  <si>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20250000000000527299239 error: Error en envio de documeto '&lt;/p&gt;</t>
  </si>
  <si>
    <t>FB01-1349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</si>
  <si>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20250000000000527299248 error: Error en envio de documeto '&lt;/p&gt;</t>
  </si>
  <si>
    <t>FB01-1348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</si>
  <si>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20250000000000527299262 error: Error en envio de documeto '&lt;/p&gt;</t>
  </si>
  <si>
    <t>FB01-1347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</si>
  <si>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20250000000000527299278 error: Error en envio de documeto '&lt;/p&gt;</t>
  </si>
  <si>
    <t>FB01-1346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</si>
  <si>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20250000000000527299297 error: Error en envio de documeto '&lt;/p&gt;</t>
  </si>
  <si>
    <t>FB01-1345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</si>
  <si>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20250000000000527299305 error: Error en envio de documeto '&lt;/p&gt;</t>
  </si>
  <si>
    <t>FB01-1344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</si>
  <si>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20250000000000527299331 error: Error en envio de documeto '&lt;/p&gt;</t>
  </si>
  <si>
    <t>FB01-1343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</si>
  <si>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20250000000000527299344 error: Error en envio de documeto '&lt;/p&gt;</t>
  </si>
  <si>
    <t>FB01-1342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</si>
  <si>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20250000000000527299351 error: Error en envio de documeto '&lt;/p&gt;</t>
  </si>
  <si>
    <t>FB01-1341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</si>
  <si>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20250000000000527299364 error: Error en envio de documeto '&lt;/p&gt;</t>
  </si>
  <si>
    <t>FB01-1340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</si>
  <si>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20250000000000527299373 error: Error en envio de documeto '&lt;/p&gt;</t>
  </si>
  <si>
    <t>FB01-1339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</si>
  <si>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20250000000000527299384 error: Error en envio de documeto '&lt;/p&gt;</t>
  </si>
  <si>
    <t>FB01-1338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</si>
  <si>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20250000000000527299398 error: Error en envio de documeto '&lt;/p&gt;</t>
  </si>
  <si>
    <t>FB01-1337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</si>
  <si>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20250000000000527299409 error: Error en envio de documeto '&lt;/p&gt;</t>
  </si>
  <si>
    <t>FB01-1336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</si>
  <si>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20250000000000527299424 error: Error en envio de documeto '&lt;/p&gt;</t>
  </si>
  <si>
    <t>FB01-1335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</si>
  <si>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20250000000000527299434 error: Error en envio de documeto '&lt;/p&gt;</t>
  </si>
  <si>
    <t>BB01-710</t>
  </si>
  <si>
    <t>MARIA ANTONELA GUERRERO GONZALES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</si>
  <si>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20250000000000527299442 error: Error en envio de documeto '&lt;/p&gt;</t>
  </si>
  <si>
    <t>BB01-709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</si>
  <si>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20250000000000527299452 error: Error en envio de documeto '&lt;/p&gt;</t>
  </si>
  <si>
    <t>BB01-708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</si>
  <si>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20250000000000527299456 error: Error en envio de documeto '&lt;/p&gt;</t>
  </si>
  <si>
    <t>BB01-707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</si>
  <si>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20250000000000527299470 error: Error en envio de documeto '&lt;/p&gt;</t>
  </si>
  <si>
    <t>FFF1-217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</si>
  <si>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20250000000000527299480 error: Error en envio de documeto '&lt;/p&gt;</t>
  </si>
  <si>
    <t>FB01-1334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</si>
  <si>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20250000000000527299486 error: Error en envio de documeto '&lt;/p&gt;</t>
  </si>
  <si>
    <t>FB01-1333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</si>
  <si>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20250000000000527299495 error: Error en envio de documeto '&lt;/p&gt;</t>
  </si>
  <si>
    <t>FB01-1332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</si>
  <si>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20250000000000527299513 error: Error en envio de documeto '&lt;/p&gt;</t>
  </si>
  <si>
    <t>FB01-1331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</si>
  <si>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20250000000000527299523 error: Error en envio de documeto '&lt;/p&gt;</t>
  </si>
  <si>
    <t>FB01-1330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</si>
  <si>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20250000000000527299534 error: Error en envio de documeto '&lt;/p&gt;</t>
  </si>
  <si>
    <t>FB01-1329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</si>
  <si>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20250000000000527299543 error: Error en envio de documeto '&lt;/p&gt;</t>
  </si>
  <si>
    <t>FB01-1328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</si>
  <si>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20250000000000527299549 error: Error en envio de documeto '&lt;/p&gt;</t>
  </si>
  <si>
    <t>FB01-1327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</si>
  <si>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20250000000000527299553 error: Error en envio de documeto '&lt;/p&gt;</t>
  </si>
  <si>
    <t>FB01-1326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</si>
  <si>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20250000000000527299559 error: Error en envio de documeto '&lt;/p&gt;</t>
  </si>
  <si>
    <t>FB01-1325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</si>
  <si>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20250000000000527299597 error: Error en envio de documeto '&lt;/p&gt;</t>
  </si>
  <si>
    <t>FB01-1324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</si>
  <si>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20250000000000527299615 error: Error en envio de documeto '&lt;/p&gt;</t>
  </si>
  <si>
    <t>FB01-1323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</si>
  <si>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20250000000000527299646 error: Error en envio de documeto '&lt;/p&gt;</t>
  </si>
  <si>
    <t>FB01-1322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</si>
  <si>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20250000000000527299675 error: Error en envio de documeto '&lt;/p&gt;</t>
  </si>
  <si>
    <t>FB01-1321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</si>
  <si>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20250000000000527299723 error: Error en envio de documeto '&lt;/p&gt;</t>
  </si>
  <si>
    <t>FB01-1320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</si>
  <si>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20250000000000527299748 error: Error en envio de documeto '&lt;/p&gt;</t>
  </si>
  <si>
    <t>FB01-1319</t>
  </si>
  <si>
    <t>EMPRESA PROMOTORA DE EVENTOS MAGDA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</si>
  <si>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20250000000000527299770 error: Error en envio de documeto '&lt;/p&gt;</t>
  </si>
  <si>
    <t>FB01-1318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</si>
  <si>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20250000000000527299796 error: Error en envio de documeto '&lt;/p&gt;</t>
  </si>
  <si>
    <t>FB01-1317</t>
  </si>
  <si>
    <t>3A BUSINESS EMPRESA INDIVIDUAL DE RESPONSABILIDAD LIMITADA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</si>
  <si>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20250000000000527299807 error: Error en envio de documeto '&lt;/p&gt;</t>
  </si>
  <si>
    <t>FB01-1316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</si>
  <si>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20250000000000527299824 error: Error en envio de documeto '&lt;/p&gt;</t>
  </si>
  <si>
    <t>FB01-1315</t>
  </si>
  <si>
    <t>JC SAN MARTIN EN SU SALSA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</si>
  <si>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20250000000000527299838 error: Error en envio de documeto '&lt;/p&gt;</t>
  </si>
  <si>
    <t>FB01-1314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</si>
  <si>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20250000000000527299851 error: Error en envio de documeto '&lt;/p&gt;</t>
  </si>
  <si>
    <t>FB01-1313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</si>
  <si>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20250000000000527299869 error: Error en envio de documeto '&lt;/p&gt;</t>
  </si>
  <si>
    <t>BB01-706</t>
  </si>
  <si>
    <t>MARIA ALICIA CORONADO MALUQUIS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</si>
  <si>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20250000000000527299887 error: Error en envio de documeto '&lt;/p&gt;</t>
  </si>
  <si>
    <t>BB01-705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</si>
  <si>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20250000000000527299903 error: Error en envio de documeto '&lt;/p&gt;</t>
  </si>
  <si>
    <t>BB01-704</t>
  </si>
  <si>
    <t>ORLANDO ALDAIR POMACAJA CARVO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</si>
  <si>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20250000000000527299911 error: Error en envio de documeto '&lt;/p&gt;</t>
  </si>
  <si>
    <t>BB01-703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</si>
  <si>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20250000000000527299929 error: Error en envio de documeto '&lt;/p&gt;</t>
  </si>
  <si>
    <t>BB01-702</t>
  </si>
  <si>
    <t>NAHOMY TRILCE CHAMORRO TORRES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</si>
  <si>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20250000000000527299943 error: Error en envio de documeto '&lt;/p&gt;</t>
  </si>
  <si>
    <t>BB01-701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</si>
  <si>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20250000000000527299955 error: Error en envio de documeto '&lt;/p&gt;</t>
  </si>
  <si>
    <t>BB01-700</t>
  </si>
  <si>
    <t>JOHEL EDWIN RICALDI ARIAS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</si>
  <si>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20250000000000527299967 error: Error en envio de documeto '&lt;/p&gt;</t>
  </si>
  <si>
    <t>BB01-699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</si>
  <si>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20250000000000527299980 error: Error en envio de documeto '&lt;/p&gt;</t>
  </si>
  <si>
    <t>FFF1-216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</si>
  <si>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20250000000000527300000 error: Error en envio de documeto '&lt;/p&gt;</t>
  </si>
  <si>
    <t>FFF1-215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</si>
  <si>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20250000000000527300013 error: Error en envio de documeto '&lt;/p&gt;</t>
  </si>
  <si>
    <t>FB01-1312</t>
  </si>
  <si>
    <t>JESSMIR PRODUCCIONES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</si>
  <si>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20250000000000527300025 error: Error en envio de documeto '&lt;/p&gt;</t>
  </si>
  <si>
    <t>FB01-1311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</si>
  <si>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20250000000000527300031 error: Error en envio de documeto '&lt;/p&gt;</t>
  </si>
  <si>
    <t>FB01-1310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</si>
  <si>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20250000000000527300038 error: Error en envio de documeto '&lt;/p&gt;</t>
  </si>
  <si>
    <t>FB01-1309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</si>
  <si>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20250000000000527300065 error: Error en envio de documeto '&lt;/p&gt;</t>
  </si>
  <si>
    <t>FB01-1308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</si>
  <si>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20250000000000527300072 error: Error en envio de documeto '&lt;/p&gt;</t>
  </si>
  <si>
    <t>FB01-1307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</si>
  <si>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20250000000000527300081 error: Error en envio de documeto '&lt;/p&gt;</t>
  </si>
  <si>
    <t>FB01-1306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</si>
  <si>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20250000000000527300089 error: Error en envio de documeto '&lt;/p&gt;</t>
  </si>
  <si>
    <t>FB01-1305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</si>
  <si>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20250000000000527300096 error: Error en envio de documeto '&lt;/p&gt;</t>
  </si>
  <si>
    <t>FB01-1304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</si>
  <si>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20250000000000527300107 error: Error en envio de documeto '&lt;/p&gt;</t>
  </si>
  <si>
    <t>FB01-1303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</si>
  <si>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20250000000000527300115 error: Error en envio de documeto '&lt;/p&gt;</t>
  </si>
  <si>
    <t>FB01-1302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</si>
  <si>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20250000000000527300122 error: Error en envio de documeto '&lt;/p&gt;</t>
  </si>
  <si>
    <t>FB01-1301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</si>
  <si>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20250000000000527300128 error: Error en envio de documeto '&lt;/p&gt;</t>
  </si>
  <si>
    <t>FB01-1300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</si>
  <si>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20250000000000527300138 error: Error en envio de documeto '&lt;/p&gt;</t>
  </si>
  <si>
    <t>FB01-1299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</si>
  <si>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20250000000000527300150 error: Error en envio de documeto '&lt;/p&gt;</t>
  </si>
  <si>
    <t>FB01-1298</t>
  </si>
  <si>
    <t>FENCO GORDILLO MAXIMO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</si>
  <si>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20250000000000527300159 error: Error en envio de documeto '&lt;/p&gt;</t>
  </si>
  <si>
    <t>FB01-1297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</si>
  <si>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20250000000000527300167 error: Error en envio de documeto '&lt;/p&gt;</t>
  </si>
  <si>
    <t>FB01-1296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</si>
  <si>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20250000000000527300174 error: Error en envio de documeto '&lt;/p&gt;</t>
  </si>
  <si>
    <t>FB01-1295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</si>
  <si>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20250000000000527300188 error: Error en envio de documeto '&lt;/p&gt;</t>
  </si>
  <si>
    <t>FB01-1294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</si>
  <si>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20250000000000527300197 error: Error en envio de documeto '&lt;/p&gt;</t>
  </si>
  <si>
    <t>FB01-1293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</si>
  <si>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20250000000000527300210 error: Error en envio de documeto '&lt;/p&gt;</t>
  </si>
  <si>
    <t>FB01-1292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</si>
  <si>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20250000000000527300221 error: Error en envio de documeto '&lt;/p&gt;</t>
  </si>
  <si>
    <t>FB01-1291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</si>
  <si>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20250000000000527300233 error: Error en envio de documeto '&lt;/p&gt;</t>
  </si>
  <si>
    <t>FB01-1290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</si>
  <si>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20250000000000527300252 error: Error en envio de documeto '&lt;/p&gt;</t>
  </si>
  <si>
    <t>FB01-1289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</si>
  <si>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20250000000000527300262 error: Error en envio de documeto '&lt;/p&gt;</t>
  </si>
  <si>
    <t>FB01-1288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</si>
  <si>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20250000000000527300276 error: Error en envio de documeto '&lt;/p&gt;</t>
  </si>
  <si>
    <t>FB01-1287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</si>
  <si>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20250000000000527300284 error: Error en envio de documeto '&lt;/p&gt;</t>
  </si>
  <si>
    <t>FB01-1286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</si>
  <si>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20250000000000527300303 error: Error en envio de documeto '&lt;/p&gt;</t>
  </si>
  <si>
    <t>FB01-1285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</si>
  <si>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20250000000000527300336 error: Error en envio de documeto '&lt;/p&gt;</t>
  </si>
  <si>
    <t>FB01-1284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</si>
  <si>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20250000000000527300362 error: Error en envio de documeto '&lt;/p&gt;</t>
  </si>
  <si>
    <t>FB01-1283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</si>
  <si>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20250000000000527300389 error: Error en envio de documeto '&lt;/p&gt;</t>
  </si>
  <si>
    <t>FB01-1282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</si>
  <si>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20250000000000527300427 error: Error en envio de documeto '&lt;/p&gt;</t>
  </si>
  <si>
    <t>FB01-1281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</si>
  <si>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20250000000000527300464 error: Error en envio de documeto '&lt;/p&gt;</t>
  </si>
  <si>
    <t>FB01-1280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</si>
  <si>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20250000000000527300544 error: Error en envio de documeto '&lt;/p&gt;</t>
  </si>
  <si>
    <t>FB01-1279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</si>
  <si>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20250000000000527300562 error: Error en envio de documeto '&lt;/p&gt;</t>
  </si>
  <si>
    <t>FB01-1278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</si>
  <si>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20250000000000527300575 error: Error en envio de documeto '&lt;/p&gt;</t>
  </si>
  <si>
    <t>FB01-1277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</si>
  <si>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20250000000000527300597 error: Error en envio de documeto '&lt;/p&gt;</t>
  </si>
  <si>
    <t>FB01-1276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</si>
  <si>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20250000000000527300617 error: Error en envio de documeto '&lt;/p&gt;</t>
  </si>
  <si>
    <t>FB01-1275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</si>
  <si>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20250000000000527300640 error: Error en envio de documeto '&lt;/p&gt;</t>
  </si>
  <si>
    <t>FB01-1274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</si>
  <si>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20250000000000527300691 error: Error en envio de documeto '&lt;/p&gt;</t>
  </si>
  <si>
    <t>FB01-1273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</si>
  <si>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20250000000000527300719 error: Error en envio de documeto '&lt;/p&gt;</t>
  </si>
  <si>
    <t>FB01-1272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</si>
  <si>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20250000000000527300753 error: Error en envio de documeto '&lt;/p&gt;</t>
  </si>
  <si>
    <t>FB01-1271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</si>
  <si>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20250000000000527300803 error: Error en envio de documeto '&lt;/p&gt;</t>
  </si>
  <si>
    <t>FB01-1270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</si>
  <si>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20250000000000527300834 error: Error en envio de documeto '&lt;/p&gt;</t>
  </si>
  <si>
    <t>FB01-1269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</si>
  <si>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20250000000000527300877 error: Error en envio de documeto '&lt;/p&gt;</t>
  </si>
  <si>
    <t>FB01-1268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</si>
  <si>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20250000000000527300893 error: Error en envio de documeto '&lt;/p&gt;</t>
  </si>
  <si>
    <t>FB01-1267</t>
  </si>
  <si>
    <t>M.C.A. SERVICIOS INDUSTRIALES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</si>
  <si>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20250000000000527300908 error: Error en envio de documeto '&lt;/p&gt;</t>
  </si>
  <si>
    <t>FB01-1266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</si>
  <si>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20250000000000527300928 error: Error en envio de documeto '&lt;/p&gt;</t>
  </si>
  <si>
    <t>BB01-698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</si>
  <si>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20250000000000527300945 error: Error en envio de documeto '&lt;/p&gt;</t>
  </si>
  <si>
    <t>BB01-697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</si>
  <si>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20250000000000527300963 error: Error en envio de documeto '&lt;/p&gt;</t>
  </si>
  <si>
    <t>BB01-696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</si>
  <si>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20250000000000527300969 error: Error en envio de documeto '&lt;/p&gt;</t>
  </si>
  <si>
    <t>BB01-695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</si>
  <si>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20250000000000527300992 error: Error en envio de documeto '&lt;/p&gt;</t>
  </si>
  <si>
    <t>BB01-694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</si>
  <si>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20250000000000527301003 error: Error en envio de documeto '&lt;/p&gt;</t>
  </si>
  <si>
    <t>BB01-693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</si>
  <si>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20250000000000527301023 error: Error en envio de documeto '&lt;/p&gt;</t>
  </si>
  <si>
    <t>BB01-692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</si>
  <si>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20250000000000527301027 error: Error en envio de documeto '&lt;/p&gt;</t>
  </si>
  <si>
    <t>BB01-691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</si>
  <si>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20250000000000527301048 error: Error en envio de documeto '&lt;/p&gt;</t>
  </si>
  <si>
    <t>BB01-690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</si>
  <si>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20250000000000527301059 error: Error en envio de documeto '&lt;/p&gt;</t>
  </si>
  <si>
    <t>BB01-689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</si>
  <si>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20250000000000527301080 error: Error en envio de documeto '&lt;/p&gt;</t>
  </si>
  <si>
    <t>BB01-688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</si>
  <si>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20250000000000527301086 error: Error en envio de documeto '&lt;/p&gt;</t>
  </si>
  <si>
    <t>BB01-687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</si>
  <si>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20250000000000527301102 error: Error en envio de documeto '&lt;/p&gt;</t>
  </si>
  <si>
    <t>BB01-686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</si>
  <si>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20250000000000527301130 error: Error en envio de documeto '&lt;/p&gt;</t>
  </si>
  <si>
    <t>BB01-685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</si>
  <si>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20250000000000527301143 error: Error en envio de documeto '&lt;/p&gt;</t>
  </si>
  <si>
    <t>BB01-684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</si>
  <si>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20250000000000527301154 error: Error en envio de documeto '&lt;/p&gt;</t>
  </si>
  <si>
    <t>BB01-683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</si>
  <si>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20250000000000527301166 error: Error en envio de documeto '&lt;/p&gt;</t>
  </si>
  <si>
    <t>BB01-682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</si>
  <si>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20250000000000527301175 error: Error en envio de documeto '&lt;/p&gt;</t>
  </si>
  <si>
    <t>BB01-681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</si>
  <si>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20250000000000527301181 error: Error en envio de documeto '&lt;/p&gt;</t>
  </si>
  <si>
    <t>BB01-680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</si>
  <si>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20250000000000527301188 error: Error en envio de documeto '&lt;/p&gt;</t>
  </si>
  <si>
    <t>BB01-679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</si>
  <si>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20250000000000527301196 error: Error en envio de documeto '&lt;/p&gt;</t>
  </si>
  <si>
    <t>BB01-678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</si>
  <si>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20250000000000527301208 error: Error en envio de documeto '&lt;/p&gt;</t>
  </si>
  <si>
    <t>BB01-677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</si>
  <si>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20250000000000527301214 error: Error en envio de documeto '&lt;/p&gt;</t>
  </si>
  <si>
    <t>BB01-676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</si>
  <si>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20250000000000527301224 error: Error en envio de documeto '&lt;/p&gt;</t>
  </si>
  <si>
    <t>BB01-675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</si>
  <si>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20250000000000527301237 error: Error en envio de documeto '&lt;/p&gt;</t>
  </si>
  <si>
    <t>BB01-674</t>
  </si>
  <si>
    <t>JHONATHAN CALDERON QUISPE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</si>
  <si>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20250000000000527301264 error: Error en envio de documeto '&lt;/p&gt;</t>
  </si>
  <si>
    <t>BB01-673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</si>
  <si>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20250000000000527301273 error: Error en envio de documeto '&lt;/p&gt;</t>
  </si>
  <si>
    <t>BB01-672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</si>
  <si>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20250000000000527301283 error: Error en envio de documeto '&lt;/p&gt;</t>
  </si>
  <si>
    <t>BB01-671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</si>
  <si>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20250000000000527301289 error: Error en envio de documeto '&lt;/p&gt;</t>
  </si>
  <si>
    <t>BB01-670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</si>
  <si>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20250000000000527301296 error: Error en envio de documeto '&lt;/p&gt;</t>
  </si>
  <si>
    <t>BB01-669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</si>
  <si>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20250000000000527301313 error: Error en envio de documeto '&lt;/p&gt;</t>
  </si>
  <si>
    <t>BB01-668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</si>
  <si>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20250000000000527301319 error: Error en envio de documeto '&lt;/p&gt;</t>
  </si>
  <si>
    <t>BB01-667</t>
  </si>
  <si>
    <t>JORGE NIKITA GALLO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</si>
  <si>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20250000000000527301334 error: Error en envio de documeto '&lt;/p&gt;</t>
  </si>
  <si>
    <t>BB01-666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</si>
  <si>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20250000000000527301341 error: Error en envio de documeto '&lt;/p&gt;</t>
  </si>
  <si>
    <t>FFF1-214</t>
  </si>
  <si>
    <t>FIESTAS BRAVAS GROUP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</si>
  <si>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20250000000000527301355 error: Error en envio de documeto '&lt;/p&gt;</t>
  </si>
  <si>
    <t>FFF1-213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</si>
  <si>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20250000000000527301385 error: Error en envio de documeto '&lt;/p&gt;</t>
  </si>
  <si>
    <t>FFF1-212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</si>
  <si>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20250000000000527301408 error: Error en envio de documeto '&lt;/p&gt;</t>
  </si>
  <si>
    <t>FFF1-211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</si>
  <si>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20250000000000527301431 error: Error en envio de documeto '&lt;/p&gt;</t>
  </si>
  <si>
    <t>FB01-1265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</si>
  <si>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20250000000000527301461 error: Error en envio de documeto '&lt;/p&gt;</t>
  </si>
  <si>
    <t>FB01-1264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</si>
  <si>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20250000000000527301482 error: Error en envio de documeto '&lt;/p&gt;</t>
  </si>
  <si>
    <t>FB01-1263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</si>
  <si>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20250000000000527301493 error: Error en envio de documeto '&lt;/p&gt;</t>
  </si>
  <si>
    <t>FB01-1262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</si>
  <si>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20250000000000527301497 error: Error en envio de documeto '&lt;/p&gt;</t>
  </si>
  <si>
    <t>FB01-1261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</si>
  <si>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20250000000000527301504 error: Error en envio de documeto '&lt;/p&gt;</t>
  </si>
  <si>
    <t>FB01-1260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</si>
  <si>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20250000000000527301520 error: Error en envio de documeto '&lt;/p&gt;</t>
  </si>
  <si>
    <t>BB01-665</t>
  </si>
  <si>
    <t>GEINER DAVID QUIROZ GIL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</si>
  <si>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20250000000000527301541 error: Error en envio de documeto '&lt;/p&gt;</t>
  </si>
  <si>
    <t>BB01-664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</si>
  <si>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20250000000000527301554 error: Error en envio de documeto '&lt;/p&gt;</t>
  </si>
  <si>
    <t>BB01-663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</si>
  <si>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20250000000000527301571 error: Error en envio de documeto '&lt;/p&gt;</t>
  </si>
  <si>
    <t>BB01-662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</si>
  <si>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20250000000000527301579 error: Error en envio de documeto '&lt;/p&gt;</t>
  </si>
  <si>
    <t>FFF1-210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</si>
  <si>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20250000000000527301596 error: Error en envio de documeto '&lt;/p&gt;</t>
  </si>
  <si>
    <t>FFF1-209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</si>
  <si>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20250000000000527301604 error: Error en envio de documeto '&lt;/p&gt;</t>
  </si>
  <si>
    <t>FB01-1259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</si>
  <si>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20250000000000527301622 error: Error en envio de documeto '&lt;/p&gt;</t>
  </si>
  <si>
    <t>FB01-1258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</si>
  <si>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20250000000000527301629 error: Error en envio de documeto '&lt;/p&gt;</t>
  </si>
  <si>
    <t>FB01-1257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</si>
  <si>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20250000000000527301636 error: Error en envio de documeto '&lt;/p&gt;</t>
  </si>
  <si>
    <t>FB01-1256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</si>
  <si>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20250000000000527301643 error: Error en envio de documeto '&lt;/p&gt;</t>
  </si>
  <si>
    <t>FB01-1255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</si>
  <si>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20250000000000527301654 error: Error en envio de documeto '&lt;/p&gt;</t>
  </si>
  <si>
    <t>FB01-1254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</si>
  <si>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20250000000000527301663 error: Error en envio de documeto '&lt;/p&gt;</t>
  </si>
  <si>
    <t>FB01-1253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</si>
  <si>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20250000000000527301672 error: Error en envio de documeto '&lt;/p&gt;</t>
  </si>
  <si>
    <t>FB01-1252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</si>
  <si>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20250000000000527301688 error: Error en envio de documeto '&lt;/p&gt;</t>
  </si>
  <si>
    <t>FB01-1251</t>
  </si>
  <si>
    <t>PROMOTORA Y SONIDO MUSICAL WC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</si>
  <si>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20250000000000527301704 error: Error en envio de documeto '&lt;/p&gt;</t>
  </si>
  <si>
    <t>FB01-1250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</si>
  <si>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20250000000000527301712 error: Error en envio de documeto '&lt;/p&gt;</t>
  </si>
  <si>
    <t>FB01-1249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</si>
  <si>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20250000000000527301723 error: Error en envio de documeto '&lt;/p&gt;</t>
  </si>
  <si>
    <t>FB01-1248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</si>
  <si>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20250000000000527301728 error: Error en envio de documeto '&lt;/p&gt;</t>
  </si>
  <si>
    <t>FB01-1247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</si>
  <si>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20250000000000527301733 error: Error en envio de documeto '&lt;/p&gt;</t>
  </si>
  <si>
    <t>FB01-1246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</si>
  <si>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20250000000000527301743 error: Error en envio de documeto '&lt;/p&gt;</t>
  </si>
  <si>
    <t>FB01-1245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</si>
  <si>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20250000000000527301755 error: Error en envio de documeto '&lt;/p&gt;</t>
  </si>
  <si>
    <t>FB01-1244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</si>
  <si>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20250000000000527301760 error: Error en envio de documeto '&lt;/p&gt;</t>
  </si>
  <si>
    <t>FB01-1243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</si>
  <si>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20250000000000527301765 error: Error en envio de documeto '&lt;/p&gt;</t>
  </si>
  <si>
    <t>FB01-1242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</si>
  <si>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20250000000000527301785 error: Error en envio de documeto '&lt;/p&gt;</t>
  </si>
  <si>
    <t>FB01-1241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</si>
  <si>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20250000000000527301801 error: Error en envio de documeto '&lt;/p&gt;</t>
  </si>
  <si>
    <t>FB01-1240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</si>
  <si>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20250000000000527301810 error: Error en envio de documeto '&lt;/p&gt;</t>
  </si>
  <si>
    <t>FB01-1239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</si>
  <si>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20250000000000527301817 error: Error en envio de documeto '&lt;/p&gt;</t>
  </si>
  <si>
    <t>FB01-1238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</si>
  <si>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20250000000000527301822 error: Error en envio de documeto '&lt;/p&gt;</t>
  </si>
  <si>
    <t>FB01-1237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</si>
  <si>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20250000000000527301831 error: Error en envio de documeto '&lt;/p&gt;</t>
  </si>
  <si>
    <t>FB01-1236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</si>
  <si>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20250000000000527301842 error: Error en envio de documeto '&lt;/p&gt;</t>
  </si>
  <si>
    <t>FB01-1235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</si>
  <si>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20250000000000527301850 error: Error en envio de documeto '&lt;/p&gt;</t>
  </si>
  <si>
    <t>FB01-1234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</si>
  <si>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20250000000000527301861 error: Error en envio de documeto '&lt;/p&gt;</t>
  </si>
  <si>
    <t>FB01-1233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</si>
  <si>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20250000000000527301877 error: Error en envio de documeto '&lt;/p&gt;</t>
  </si>
  <si>
    <t>FB01-1232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</si>
  <si>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20250000000000527301896 error: Error en envio de documeto '&lt;/p&gt;</t>
  </si>
  <si>
    <t>FB01-1231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</si>
  <si>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20250000000000527301925 error: Error en envio de documeto '&lt;/p&gt;</t>
  </si>
  <si>
    <t>FB01-1230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</si>
  <si>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20250000000000527301957 error: Error en envio de documeto '&lt;/p&gt;</t>
  </si>
  <si>
    <t>FB01-1229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</si>
  <si>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20250000000000527301984 error: Error en envio de documeto '&lt;/p&gt;</t>
  </si>
  <si>
    <t>FB01-1228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</si>
  <si>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20250000000000527302015 error: Error en envio de documeto '&lt;/p&gt;</t>
  </si>
  <si>
    <t>FB01-1227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</si>
  <si>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20250000000000527302052 error: Error en envio de documeto '&lt;/p&gt;</t>
  </si>
  <si>
    <t>FB01-1226</t>
  </si>
  <si>
    <t>LIMA VIAJES Y TURISMO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</si>
  <si>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20250000000000527302071 error: Error en envio de documeto '&lt;/p&gt;</t>
  </si>
  <si>
    <t>FB01-1225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</si>
  <si>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20250000000000527302078 error: Error en envio de documeto '&lt;/p&gt;</t>
  </si>
  <si>
    <t>FB01-1224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</si>
  <si>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20250000000000527302102 error: Error en envio de documeto '&lt;/p&gt;</t>
  </si>
  <si>
    <t>FB01-1223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</si>
  <si>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20250000000000527302118 error: Error en envio de documeto '&lt;/p&gt;</t>
  </si>
  <si>
    <t>BB01-657</t>
  </si>
  <si>
    <t>ALFREDO CALDERON MEDINA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</si>
  <si>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20250000000000527302133 error: Error en envio de documeto '&lt;/p&gt;</t>
  </si>
  <si>
    <t>BB01-656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</si>
  <si>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20250000000000527302144 error: Error en envio de documeto '&lt;/p&gt;</t>
  </si>
  <si>
    <t>BB01-655</t>
  </si>
  <si>
    <t>ALAN GUILLERMO PAUCAR GARRO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</si>
  <si>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20250000000000527302161 error: Error en envio de documeto '&lt;/p&gt;</t>
  </si>
  <si>
    <t>BB01-654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</si>
  <si>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20250000000000527302170 error: Error en envio de documeto '&lt;/p&gt;</t>
  </si>
  <si>
    <t>BB01-653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</si>
  <si>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20250000000000527302182 error: Error en envio de documeto '&lt;/p&gt;</t>
  </si>
  <si>
    <t>BB01-652</t>
  </si>
  <si>
    <t>EMILIANO MINCHOLA RIVEROS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</si>
  <si>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20250000000000527302198 error: Error en envio de documeto '&lt;/p&gt;</t>
  </si>
  <si>
    <t>BB01-651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</si>
  <si>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20250000000000527302213 error: Error en envio de documeto '&lt;/p&gt;</t>
  </si>
  <si>
    <t>FB01-1222</t>
  </si>
  <si>
    <t>EMPRESA OK MEDIOS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</si>
  <si>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20250000000000527302231 error: Error en envio de documeto '&lt;/p&gt;</t>
  </si>
  <si>
    <t>FB01-1219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</si>
  <si>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20250000000000527302246 error: Error en envio de documeto '&lt;/p&gt;</t>
  </si>
  <si>
    <t>FB01-1218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</si>
  <si>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20250000000000527302260 error: Error en envio de documeto '&lt;/p&gt;</t>
  </si>
  <si>
    <t>FB01-1217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</si>
  <si>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20250000000000527302276 error: Error en envio de documeto '&lt;/p&gt;</t>
  </si>
  <si>
    <t>FB01-1216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</si>
  <si>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20250000000000527302279 error: Error en envio de documeto '&lt;/p&gt;</t>
  </si>
  <si>
    <t>FB01-1215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</si>
  <si>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20250000000000527302284 error: Error en envio de documeto '&lt;/p&gt;</t>
  </si>
  <si>
    <t>FB01-1214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</si>
  <si>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20250000000000527302291 error: Error en envio de documeto '&lt;/p&gt;</t>
  </si>
  <si>
    <t>FB01-1213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</si>
  <si>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20250000000000527302297 error: Error en envio de documeto '&lt;/p&gt;</t>
  </si>
  <si>
    <t>FB01-1212</t>
  </si>
  <si>
    <t>LA PLAZA GASTRONOMICA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</si>
  <si>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20250000000000527302306 error: Error en envio de documeto '&lt;/p&gt;</t>
  </si>
  <si>
    <t>FB01-1211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</si>
  <si>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20250000000000527302318 error: Error en envio de documeto '&lt;/p&gt;</t>
  </si>
  <si>
    <t>FB01-1210</t>
  </si>
  <si>
    <t>ECO CABAÑAS DEL ESTE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</si>
  <si>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20250000000000527302332 error: Error en envio de documeto '&lt;/p&gt;</t>
  </si>
  <si>
    <t>FB01-1209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</si>
  <si>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20250000000000527302342 error: Error en envio de documeto '&lt;/p&gt;</t>
  </si>
  <si>
    <t>FB01-1208</t>
  </si>
  <si>
    <t>SABORES CRIOLLOS DEL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</si>
  <si>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20250000000000527302358 error: Error en envio de documeto '&lt;/p&gt;</t>
  </si>
  <si>
    <t>FB01-1207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</si>
  <si>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20250000000000527302365 error: Error en envio de documeto '&lt;/p&gt;</t>
  </si>
  <si>
    <t>FB01-1206</t>
  </si>
  <si>
    <t>SAOCO FR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</si>
  <si>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20250000000000527302374 error: Error en envio de documeto '&lt;/p&gt;</t>
  </si>
  <si>
    <t>FB01-1205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</si>
  <si>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20250000000000527302376 error: Error en envio de documeto '&lt;/p&gt;</t>
  </si>
  <si>
    <t>FB01-1204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</si>
  <si>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20250000000000527302379 error: Error en envio de documeto '&lt;/p&gt;</t>
  </si>
  <si>
    <t>FB01-1203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</si>
  <si>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20250000000000527302401 error: Error en envio de documeto '&lt;/p&gt;</t>
  </si>
  <si>
    <t>FB01-1202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</si>
  <si>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20250000000000527302436 error: Error en envio de documeto '&lt;/p&gt;</t>
  </si>
  <si>
    <t>FB01-1201</t>
  </si>
  <si>
    <t>PROMOTORA SR. DE MURUHUAY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</si>
  <si>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20250000000000527302447 error: Error en envio de documeto '&lt;/p&gt;</t>
  </si>
  <si>
    <t>FB01-1200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</si>
  <si>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20250000000000527302453 error: Error en envio de documeto '&lt;/p&gt;</t>
  </si>
  <si>
    <t>FB01-1199</t>
  </si>
  <si>
    <t>COJAL ARROYO JAVIER MARCIANO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</si>
  <si>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20250000000000527302464 error: Error en envio de documeto '&lt;/p&gt;</t>
  </si>
  <si>
    <t>FB01-1198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</si>
  <si>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20250000000000527302481 error: Error en envio de documeto '&lt;/p&gt;</t>
  </si>
  <si>
    <t>FB01-1197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</si>
  <si>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20250000000000527302491 error: Error en envio de documeto '&lt;/p&gt;</t>
  </si>
  <si>
    <t>FB01-1196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</si>
  <si>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20250000000000527302494 error: Error en envio de documeto '&lt;/p&gt;</t>
  </si>
  <si>
    <t>FB01-1195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</si>
  <si>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20250000000000527302502 error: Error en envio de documeto '&lt;/p&gt;</t>
  </si>
  <si>
    <t>FB01-1194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</si>
  <si>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20250000000000527302513 error: Error en envio de documeto '&lt;/p&gt;</t>
  </si>
  <si>
    <t>FB01-1193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</si>
  <si>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20250000000000527302524 error: Error en envio de documeto '&lt;/p&gt;</t>
  </si>
  <si>
    <t>FB01-1192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</si>
  <si>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20250000000000527302537 error: Error en envio de documeto '&lt;/p&gt;</t>
  </si>
  <si>
    <t>FB01-1191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</si>
  <si>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20250000000000527302552 error: Error en envio de documeto '&lt;/p&gt;</t>
  </si>
  <si>
    <t>FB01-1190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</si>
  <si>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20250000000000527302555 error: Error en envio de documeto '&lt;/p&gt;</t>
  </si>
  <si>
    <t>FB01-1189</t>
  </si>
  <si>
    <t>SUPER LEO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</si>
  <si>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20250000000000527302573 error: Error en envio de documeto '&lt;/p&gt;</t>
  </si>
  <si>
    <t>FB01-1188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</si>
  <si>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20250000000000527302580 error: Error en envio de documeto '&lt;/p&gt;</t>
  </si>
  <si>
    <t>FB01-1187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</si>
  <si>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20250000000000527302586 error: Error en envio de documeto '&lt;/p&gt;</t>
  </si>
  <si>
    <t>FB01-1186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</si>
  <si>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20250000000000527302593 error: Error en envio de documeto '&lt;/p&gt;</t>
  </si>
  <si>
    <t>FB01-1185</t>
  </si>
  <si>
    <t>MAQUINA DEL TIEMPO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</si>
  <si>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20250000000000527302601 error: Error en envio de documeto '&lt;/p&gt;</t>
  </si>
  <si>
    <t>FB01-1184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</si>
  <si>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20250000000000527302632 error: Error en envio de documeto '&lt;/p&gt;</t>
  </si>
  <si>
    <t>BB01-650</t>
  </si>
  <si>
    <t>ADRIAN DOLORES FLORES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</si>
  <si>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20250000000000527302673 error: Error en envio de documeto '&lt;/p&gt;</t>
  </si>
  <si>
    <t>BB01-649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</si>
  <si>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20250000000000527302688 error: Error en envio de documeto '&lt;/p&gt;</t>
  </si>
  <si>
    <t>BB01-648</t>
  </si>
  <si>
    <t>ALEX DARWIN MUERAS PORRAS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</si>
  <si>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20250000000000527302709 error: Error en envio de documeto '&lt;/p&gt;</t>
  </si>
  <si>
    <t>BB01-647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</si>
  <si>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20250000000000527302731 error: Error en envio de documeto '&lt;/p&gt;</t>
  </si>
  <si>
    <t>BB01-646</t>
  </si>
  <si>
    <t>Dilbert Aguilar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</si>
  <si>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20250000000000527302753 error: Error en envio de documeto '&lt;/p&gt;</t>
  </si>
  <si>
    <t>BB01-645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</si>
  <si>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20250000000000527302767 error: Error en envio de documeto '&lt;/p&gt;</t>
  </si>
  <si>
    <t>BB01-644</t>
  </si>
  <si>
    <t>MARGARITA ARROYO FLORES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</si>
  <si>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20250000000000527302781 error: Error en envio de documeto '&lt;/p&gt;</t>
  </si>
  <si>
    <t>BB01-643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</si>
  <si>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20250000000000527302797 error: Error en envio de documeto '&lt;/p&gt;</t>
  </si>
  <si>
    <t>BB01-642</t>
  </si>
  <si>
    <t>HERMOGENES HUAMAN ESPINOZA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</si>
  <si>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20250000000000527302809 error: Error en envio de documeto '&lt;/p&gt;</t>
  </si>
  <si>
    <t>BB01-641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</si>
  <si>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20250000000000527302828 error: Error en envio de documeto '&lt;/p&gt;</t>
  </si>
  <si>
    <t>BB01-640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</si>
  <si>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20250000000000527302845 error: Error en envio de documeto '&lt;/p&gt;</t>
  </si>
  <si>
    <t>BB01-639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</si>
  <si>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20250000000000527302857 error: Error en envio de documeto '&lt;/p&gt;</t>
  </si>
  <si>
    <t>BB01-638</t>
  </si>
  <si>
    <t>JOSE CORPUS CERDAN DIAZ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</si>
  <si>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20250000000000527302882 error: Error en envio de documeto '&lt;/p&gt;</t>
  </si>
  <si>
    <t>BB01-637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</si>
  <si>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20250000000000527302907 error: Error en envio de documeto '&lt;/p&gt;</t>
  </si>
  <si>
    <t>FB01-1183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</si>
  <si>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20250000000000527302935 error: Error en envio de documeto '&lt;/p&gt;</t>
  </si>
  <si>
    <t>FB01-1182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</si>
  <si>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20250000000000527302973 error: Error en envio de documeto '&lt;/p&gt;</t>
  </si>
  <si>
    <t>FB01-1181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</si>
  <si>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20250000000000527302992 error: Error en envio de documeto '&lt;/p&gt;</t>
  </si>
  <si>
    <t>FB01-1180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</si>
  <si>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20250000000000527302997 error: Error en envio de documeto '&lt;/p&gt;</t>
  </si>
  <si>
    <t>FB01-1179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</si>
  <si>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20250000000000527303007 error: Error en envio de documeto '&lt;/p&gt;</t>
  </si>
  <si>
    <t>FB01-1178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</si>
  <si>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20250000000000527303024 error: Error en envio de documeto '&lt;/p&gt;</t>
  </si>
  <si>
    <t>FB01-1177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</si>
  <si>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20250000000000527303047 error: Error en envio de documeto '&lt;/p&gt;</t>
  </si>
  <si>
    <t>FB01-1176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</si>
  <si>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20250000000000527303058 error: Error en envio de documeto '&lt;/p&gt;</t>
  </si>
  <si>
    <t>FB01-1175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</si>
  <si>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20250000000000527303068 error: Error en envio de documeto '&lt;/p&gt;</t>
  </si>
  <si>
    <t>FB01-1174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</si>
  <si>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20250000000000527303073 error: Error en envio de documeto '&lt;/p&gt;</t>
  </si>
  <si>
    <t>FB01-1173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</si>
  <si>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20250000000000527303080 error: Error en envio de documeto '&lt;/p&gt;</t>
  </si>
  <si>
    <t>FB01-1172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</si>
  <si>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20250000000000527303092 error: Error en envio de documeto '&lt;/p&gt;</t>
  </si>
  <si>
    <t>FB01-1171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</si>
  <si>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20250000000000527303113 error: Error en envio de documeto '&lt;/p&gt;</t>
  </si>
  <si>
    <t>BB01-636</t>
  </si>
  <si>
    <t>JENNER ROBERTO CRISANTA RIOS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</si>
  <si>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20250000000000527303129 error: Error en envio de documeto '&lt;/p&gt;</t>
  </si>
  <si>
    <t>BB01-635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</si>
  <si>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20250000000000527303146 error: Error en envio de documeto '&lt;/p&gt;</t>
  </si>
  <si>
    <t>BB01-634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</si>
  <si>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20250000000000527303161 error: Error en envio de documeto '&lt;/p&gt;</t>
  </si>
  <si>
    <t>BB01-633</t>
  </si>
  <si>
    <t>CRISTHIAM ABEL ALDANA CASTILLO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</si>
  <si>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20250000000000527303183 error: Error en envio de documeto '&lt;/p&gt;</t>
  </si>
  <si>
    <t>BB01-632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</si>
  <si>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20250000000000527303193 error: Error en envio de documeto '&lt;/p&gt;</t>
  </si>
  <si>
    <t>BB01-631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</si>
  <si>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20250000000000527303205 error: Error en envio de documeto '&lt;/p&gt;</t>
  </si>
  <si>
    <t>BB01-630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</si>
  <si>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20250000000000527303222 error: Error en envio de documeto '&lt;/p&gt;</t>
  </si>
  <si>
    <t>BB01-629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</si>
  <si>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20250000000000527303236 error: Error en envio de documeto '&lt;/p&gt;</t>
  </si>
  <si>
    <t>BB01-628</t>
  </si>
  <si>
    <t>PERCY ORDINOLA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</si>
  <si>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20250000000000527303264 error: Error en envio de documeto '&lt;/p&gt;</t>
  </si>
  <si>
    <t>BB01-627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</si>
  <si>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20250000000000527303277 error: Error en envio de documeto '&lt;/p&gt;</t>
  </si>
  <si>
    <t>Ene</t>
  </si>
  <si>
    <t>(03) Boleta BOB1</t>
  </si>
  <si>
    <t>[{'id_producto': '1', 'codigo_producto': '02', 'nom_producto': 'COMISIÃ“N PAGOS DIGITALES SEGÃšN CONTRATO', 'categoria_producto': 'service', 'cantidad': '1.0', 'valor_unitario': 12.2, 'precio_unitario': 14.4, 'descuento': 0.0, 'subtotal': 12.2, 'porcentaje_de_igv': '18.03', 'igv': 2.2, 'total': 14.4, 'moneda': '1', 'tipo_de_cambio': '', 'id_estado': 'reversed', 'nombre_estado': 'Revertido', 'evento': {'id_evento': '3100', 'nom_evento': 'Trilogia Pxndx Festival III en Lince', 'Fecha_hora_ini_event': '2025-10-04', 'Fecha_hora_fin_event': '2025-10-04', 'id_organizador': '', 'nom_organizador': 'STHIVEN RANDOLF GARCIA MEDINA', 'tipo_organizador': ''}, 'id_vendedor': 2, 'nom_vendedor': 'SAMUEL CHUQUISTA', 'id_cuenta_analitica': 1106, 'nom_cuenta_analitica': '7012100 MercaderÃ­as-Venta Local-Terceros', 'distribucion_analitica': []}]</t>
  </si>
  <si>
    <t>02</t>
  </si>
  <si>
    <t>reversed</t>
  </si>
  <si>
    <t>[{'id_producto': '1', 'codigo_producto': '01', 'nom_producto': 'COMISIÃ“N VAOPE SEGÃšN CONTRATO', 'categoria_producto': 'service', 'cantidad': '1.0', 'valor_unitario': 41.14, 'precio_unitario': 48.55, 'descuento': 0.0, 'subtotal': 41.14, 'porcentaje_de_igv': '18.01', 'igv': 7.41, 'total': 48.55, 'moneda': '1', 'tipo_de_cambio': '', 'id_estado': 'not_paid', 'nombre_estado': 'Sin pagar', 'evento': {'id_evento': '3100', 'nom_evento': 'Trilogia Pxndx Festival III en Lince', 'Fecha_hora_ini_event': '2025-10-04', 'Fecha_hora_fin_event': '2025-10-04', 'id_organizador': '', 'nom_organizador': 'STHIVEN RANDOLF GARCIA MEDINA', 'tipo_organizador': ''}, 'id_vendedor': 2, 'nom_vendedor': 'SAMUEL CHUQUISTA', 'id_cuenta_analitica': 1106, 'nom_cuenta_analitica': '7012100 MercaderÃ­as-Venta Local-Terceros', 'distribucion_analitica': []}]</t>
  </si>
  <si>
    <t>01</t>
  </si>
  <si>
    <t>COMISIÃ“N VAOPE SEGÃšN CONTRATO</t>
  </si>
  <si>
    <t>(01) Factura FOF1</t>
  </si>
  <si>
    <t>[{'id_producto': '1', 'codigo_producto': '05', 'nom_producto': 'DELIVERY -', 'categoria_producto': 'service', 'cantidad': '1.0', 'valor_unitario': 14.5, 'precio_unitario': 17.11, 'descuento': 0.0, 'subtotal': 14.5, 'porcentaje_de_igv': '18.00', 'igv': 2.61, 'total': 17.11,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</si>
  <si>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05</t>
  </si>
  <si>
    <t>DELIVERY -</t>
  </si>
  <si>
    <t>El ClÃ¡sico de la Cumbia NorteÃ±a en Huancayo con Agua Marina y Walther Lozada &amp; Orquesta</t>
  </si>
  <si>
    <t>[{'id_producto': '1', 'codigo_producto': '06', 'nom_producto': 'COMISION CORTESIA -', 'categoria_producto': 'service', 'cantidad': '1.0', 'valor_unitario': 84.5, 'precio_unitario': 99.71, 'descuento': 0.0, 'subtotal': 84.5, 'porcentaje_de_igv': '18.00', 'igv': 15.21, 'total': 99.71,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</si>
  <si>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06</t>
  </si>
  <si>
    <t>COMISION CORTESIA -</t>
  </si>
  <si>
    <t>[{'id_producto': '1', 'codigo_producto': '03', 'nom_producto': 'PERSONAL - Servicio de  validador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</si>
  <si>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03</t>
  </si>
  <si>
    <t>PERSONAL - Servicio de  validador (Inc IGV)</t>
  </si>
  <si>
    <t>[{'id_producto': '1', 'codigo_producto': '07', 'nom_producto': 'ENTRADAS IMPRESAS - Orden de venta NÂº 1040 - El ClÃ¡sico de la Cumbia NorteÃ±a en Huancayo con Agua Marina y Walther Lozada &amp; Orquesta / 1000 FULL COLOR GENERAL / 2000 BRAZALETES VIP\xa0(S/1,888.00)', 'categoria_producto': 'consu', 'cantidad': '1.0', 'valor_unitario': 1600.0, 'precio_unitario': 1888.0, 'descuento': 0.0, 'subtotal': 1600.0, 'porcentaje_de_igv': '18.00', 'igv': 288.0, 'total': 1888.0,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</si>
  <si>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07</t>
  </si>
  <si>
    <t>ENTRADAS IMPRESAS - Orden de venta NÂº 1040 - El ClÃ¡sico de la Cumbia NorteÃ±a en Huancayo con Agua Marina y Walther Lozada &amp; Orquesta / 1000 FULL COLOR GENERAL / 2000 BRAZALETES VIPÂ (S/1,888.00)</t>
  </si>
  <si>
    <t>[{'id_producto': '1', 'codigo_producto': '07', 'nom_producto': 'ENTRADAS IMPRESAS - Orden de venta NÂº 1032 - El ClÃ¡sico de la Cumbia NorteÃ±a en Huancayo con Agua Marina y Walther Lozada &amp; Orquesta / 1000 FULL COLOR ZONA GENERAL / 1000 BRAZALETES ZONA VIP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</si>
  <si>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ENTRADAS IMPRESAS - Orden de venta NÂº 1032 - El ClÃ¡sico de la Cumbia NorteÃ±a en Huancayo con Agua Marina y Walther Lozada &amp; Orquesta / 1000 FULL COLOR ZONA GENERAL / 1000 BRAZALETES ZONA VIP (S/1,180.00)</t>
  </si>
  <si>
    <t>[{'id_producto': '1', 'codigo_producto': '02', 'nom_producto': 'COMISIÃ“N PAGOS DIGITALES SEGÃšN CONTRATO', 'categoria_producto': 'service', 'cantidad': '1.0', 'valor_unitario': 6305.08, 'precio_unitario': 7439.99, 'descuento': 0.0, 'subtotal': 6305.08, 'porcentaje_de_igv': '18.00', 'igv': 1134.91, 'total': 7439.99,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</si>
  <si>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2880.59, 'precio_unitario': 3399.1, 'descuento': 0.0, 'subtotal': 2880.59, 'porcentaje_de_igv': '18.00', 'igv': 518.51, 'total': 3399.1,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</si>
  <si>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 CORTESIA', 'categoria_producto': 'service', 'cantidad': '1.0', 'valor_unitario': 2701.0, 'precio_unitario': 3187.18, 'descuento': 0.0, 'subtotal': 2701.0, 'porcentaje_de_igv': '18.00', 'igv': 486.18, 'total': 3187.18,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</t>
  </si>
  <si>
    <t>04</t>
  </si>
  <si>
    <t>PAUTA PUBLICITARIA - CORTESIA</t>
  </si>
  <si>
    <t>Son del Duke y mucho mÃ¡s en el Crucero del Amor de SJL</t>
  </si>
  <si>
    <t>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</t>
  </si>
  <si>
    <t>08</t>
  </si>
  <si>
    <t>FEE ADMINISTRATIVO - Fee administrativo por adelanto de pago</t>
  </si>
  <si>
    <t>[{'id_producto': '1', 'codigo_producto': '02', 'nom_producto': 'COMISIÃ“N PAGOS DIGITALES SEGÃšN CONTRATO', 'categoria_producto': 'service', 'cantidad': '1.0', 'valor_unitario': 1688.56, 'precio_unitario': 1992.5, 'descuento': 0.0, 'subtotal': 1688.56, 'porcentaje_de_igv': '18.00', 'igv': 303.94, 'total': 1992.5,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</si>
  <si>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1340.25, 'precio_unitario': 1581.5, 'descuento': 0.0, 'subtotal': 1340.25, 'porcentaje_de_igv': '18.00', 'igv': 241.25, 'total': 1581.5,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</t>
  </si>
  <si>
    <t>ANGEL GABRIEL RODRÃGUEZ PINEDA</t>
  </si>
  <si>
    <t>00384366</t>
  </si>
  <si>
    <t>[{'id_producto': '1', 'codigo_producto': '02', 'nom_producto': 'COMISIÃ“N PAGOS DIGITALES SEGÃšN CONTRATO', 'categoria_producto': 'service', 'cantidad': '1.0', 'valor_unitario': 25.93, 'precio_unitario': 30.6, 'descuento': 0.0, 'subtotal': 25.93, 'porcentaje_de_igv': '18.01', 'igv': 4.67, 'total': 30.6,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'', 'nom_organizador': 'ANGEL GABRIEL RODRÃGUEZ PINEDA', 'tipo_organizador': ''}, 'id_vendedor': 2, 'nom_vendedor': 'SAMUEL CHUQUISTA', 'id_cuenta_analitica': 1106, 'nom_cuenta_analitica': '7012100 MercaderÃ­as-Venta Local-Terceros', 'distribucion_analitica': []}]</t>
  </si>
  <si>
    <t>3er Aniversario Complejo Deportivo y Cultural Los Cumpas con Alegres de Bambamarca, Martin Vera y mÃ¡s en Puente Piedra</t>
  </si>
  <si>
    <t>[{'id_producto': '1', 'codigo_producto': '01', 'nom_producto': 'COMISIÃ“N VAOPE SEGÃšN CONTRATO', 'categoria_producto': 'service', 'cantidad': '1.0', 'valor_unitario': 18.31, 'precio_unitario': 21.61, 'descuento': 0.0, 'subtotal': 18.31, 'porcentaje_de_igv': '18.02', 'igv': 3.3, 'total': 21.61,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'', 'nom_organizador': 'ANGEL GABRIEL RODRÃGUEZ PINEDA',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</si>
  <si>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369.41, 'precio_unitario': 435.9, 'descuento': 0.0, 'subtotal': 369.41, 'porcentaje_de_igv': '18.00', 'igv': 66.49, 'total': 435.9, 'moneda': '1', 'tipo_de_cambio': '', 'id_estado': 'not_paid', 'nombre_estado': 'Sin pagar', 'evento': {'id_evento': '3188', 'nom_evento': 'La Bella Luz y mÃ¡s en Ate Vitarte', 'Fecha_hora_ini_event': '2025-10-03', 'Fecha_hora_fin_event': '2025-10-03',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</si>
  <si>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La Bella Luz y mÃ¡s en Ate Vitarte</t>
  </si>
  <si>
    <t>[{'id_producto': '1', 'codigo_producto': '01', 'nom_producto': 'COMISIÃ“N VAOPE SEGÃšN CONTRATO', 'categoria_producto': 'service', 'cantidad': '1.0', 'valor_unitario': 256.61, 'precio_unitario': 302.8, 'descuento': 0.0, 'subtotal': 256.61, 'porcentaje_de_igv': '18.00', 'igv': 46.19, 'total': 302.8, 'moneda': '1', 'tipo_de_cambio': '', 'id_estado': 'not_paid', 'nombre_estado': 'Sin pagar', 'evento': {'id_evento': '3188', 'nom_evento': 'La Bella Luz y mÃ¡s en Ate Vitarte', 'Fecha_hora_ini_event': '2025-10-03', 'Fecha_hora_fin_event': '2025-10-03',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</si>
  <si>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00000037</t>
  </si>
  <si>
    <t>[{'id_producto': '1', 'codigo_producto': '06', 'nom_producto': 'COMISION CORTESIA - DELIVERY', 'categoria_producto': 'service', 'cantidad': '1.0', 'valor_unitario': 33.9, 'precio_unitario': 40.0, 'descuento': 0.0, 'subtotal': 33.9, 'porcentaje_de_igv': '17.99', 'igv': 6.1, 'total': 40.0,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</si>
  <si>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COMISION CORTESIA - DELIVERY</t>
  </si>
  <si>
    <t>[{'id_producto': '1', 'codigo_producto': '07', 'nom_producto': 'ENTRADAS IMPRESAS - Orden de venta NÂº 1041 - Agua Marina en Pichanaki / 2000 FULL COLOR GENERAL / 1000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</si>
  <si>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ENTRADAS IMPRESAS - Orden de venta NÂº 1041 - Agua Marina en Pichanaki / 2000 FULL COLOR GENERAL / 1000 BRAZALETES VIP (S/1,652.00)</t>
  </si>
  <si>
    <t>[{'id_producto': '1', 'codigo_producto': '02', 'nom_producto': 'COMISIÃ“N PAGOS DIGITALES SEGÃšN CONTRATO', 'categoria_producto': 'service', 'cantidad': '1.0', 'valor_unitario': 3741.1, 'precio_unitario': 4414.5, 'descuento': 0.0, 'subtotal': 3741.1, 'porcentaje_de_igv': '18.00', 'igv': 673.4, 'total': 4414.5,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</si>
  <si>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1571.02, 'precio_unitario': 1853.8, 'descuento': 0.0, 'subtotal': 1571.02, 'porcentaje_de_igv': '18.00', 'igv': 282.78, 'total': 1853.8,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</si>
  <si>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63.0, 'precio_unitario': 74.34, 'descuento': 0.0, 'subtotal': 63.0, 'porcentaje_de_igv': '18.00', 'igv': 11.34, 'total': 74.34,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</t>
  </si>
  <si>
    <t>TrilogÃ­a de Oro con Max Castro, William Luna y Marco Antonio en Pucallpa</t>
  </si>
  <si>
    <t>[{'id_producto': '1', 'codigo_producto': '03', 'nom_producto': 'PERSONAL - Servicio de gestiÃ³n de pauta publicitaria para evento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</t>
  </si>
  <si>
    <t>PERSONAL - Servicio de gestiÃ³n de pauta publicitaria para evento (Inc IGV)</t>
  </si>
  <si>
    <t>[{'id_producto': '1', 'codigo_producto': '02', 'nom_producto': 'COMISIÃ“N PAGOS DIGITALES SEGÃšN CONTRATO', 'categoria_producto': 'service', 'cantidad': '1.0', 'valor_unitario': 785.59, 'precio_unitario': 927.0, 'descuento': 0.0, 'subtotal': 785.59, 'porcentaje_de_igv': '18.00', 'igv': 141.41, 'total': 927.0,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</si>
  <si>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943.14, 'precio_unitario': 1112.91, 'descuento': 0.0, 'subtotal': 943.14, 'porcentaje_de_igv': '18.00', 'igv': 169.77, 'total': 1112.91,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</si>
  <si>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1820.0, 'precio_unitario': 2147.6, 'descuento': 0.0, 'subtotal': 1820.0, 'porcentaje_de_igv': '18.00', 'igv': 327.6, 'total': 2147.6, 'moneda': '1', 'tipo_de_cambio': '', 'id_estado': 'not_paid', 'nombre_estado': 'Sin pagar', 'evento': {'id_evento': '2897', 'nom_evento': 'Amaranta en Cusco', 'Fecha_hora_ini_event': '2025-10-02', 'Fecha_hora_fin_event': '2025-10-02',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</si>
  <si>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2213.98, 'precio_unitario': 2612.5, 'descuento': 0.0, 'subtotal': 2213.98, 'porcentaje_de_igv': '18.00', 'igv': 398.52, 'total': 2612.5, 'moneda': '1', 'tipo_de_cambio': '', 'id_estado': 'not_paid', 'nombre_estado': 'Sin pagar', 'evento': {'id_evento': '2897', 'nom_evento': 'Amaranta en Cusco', 'Fecha_hora_ini_event': '2025-10-02', 'Fecha_hora_fin_event': '2025-10-02',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</si>
  <si>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'2899', 'nom_evento': 'Amaranta en Juliaca', 'Fecha_hora_ini_event': '2025-10-03', 'Fecha_hora_fin_event': '2025-10-03',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</si>
  <si>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1174.24, 'precio_unitario': 1385.6, 'descuento': 0.0, 'subtotal': 1174.24, 'porcentaje_de_igv': '18.00', 'igv': 211.36, 'total': 1385.6, 'moneda': '1', 'tipo_de_cambio': '', 'id_estado': 'not_paid', 'nombre_estado': 'Sin pagar', 'evento': {'id_evento': '2899', 'nom_evento': 'Amaranta en Juliaca', 'Fecha_hora_ini_event': '2025-10-03', 'Fecha_hora_fin_event': '2025-10-03',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</si>
  <si>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1463.05, 'precio_unitario': 1726.4, 'descuento': 0.0, 'subtotal': 1463.05, 'porcentaje_de_igv': '18.00', 'igv': 263.35, 'total': 1726.4, 'moneda': '1', 'tipo_de_cambio': '', 'id_estado': 'not_paid', 'nombre_estado': 'Sin pagar', 'evento': {'id_evento': '2899', 'nom_evento': 'Amaranta en Juliaca', 'Fecha_hora_ini_event': '2025-10-03', 'Fecha_hora_fin_event': '2025-10-03',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</si>
  <si>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'2898', 'nom_evento': 'Amaranta en Arequipa', 'Fecha_hora_ini_event': '2025-10-04', 'Fecha_hora_fin_event': '2025-10-04',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</si>
  <si>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3056.19, 'precio_unitario': 3606.3, 'descuento': 0.0, 'subtotal': 3056.19, 'porcentaje_de_igv': '18.00', 'igv': 550.11, 'total': 3606.3, 'moneda': '1', 'tipo_de_cambio': '', 'id_estado': 'not_paid', 'nombre_estado': 'Sin pagar', 'evento': {'id_evento': '2898', 'nom_evento': 'Amaranta en Arequipa', 'Fecha_hora_ini_event': '2025-10-04', 'Fecha_hora_fin_event': '2025-10-04',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</si>
  <si>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3740.42, 'precio_unitario': 4413.7, 'descuento': 0.0, 'subtotal': 3740.42, 'porcentaje_de_igv': '18.00', 'igv': 673.28, 'total': 4413.7, 'moneda': '1', 'tipo_de_cambio': '', 'id_estado': 'not_paid', 'nombre_estado': 'Sin pagar', 'evento': {'id_evento': '2898', 'nom_evento': 'Amaranta en Arequipa', 'Fecha_hora_ini_event': '2025-10-04', 'Fecha_hora_fin_event': '2025-10-04',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</si>
  <si>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'05', 'nom_producto': 'DELIVERY -', 'categoria_producto': 'service',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</si>
  <si>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Primer Festival de la MÃºsica Latino Americana en Chiclayo</t>
  </si>
  <si>
    <t>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</si>
  <si>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-', 'categoria_producto': 'service', 'cantidad': '1.0', 'valor_unitario': 2687.46, 'precio_unitario': 3171.2, 'descuento': 0.0, 'subtotal': 2687.46, 'porcentaje_de_igv': '18.00', 'igv': 483.74, 'total': 3171.2,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</si>
  <si>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PAUTA PUBLICITARIA -</t>
  </si>
  <si>
    <t>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</si>
  <si>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'03', 'nom_producto': 'PERSONAL - Servicio de 2 validadores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</si>
  <si>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PERSONAL - Servicio de 2 validadores (Inc IGV)</t>
  </si>
  <si>
    <t>[{'id_producto': '1', 'codigo_producto': '07', 'nom_producto': 'ENTRADAS IMPRESAS - Orden de venta NÂº 997\n Primer Festival de la MÃºsica Latino Americana en Chiclayo/ 1000 BRAZALETE PERSONALIZADO ZONA VIP / 1000 BRAZALETE PERSONALIZADO ZONA CULTURAL / 1000 BRAZALETE PERSONALIZADO ZONA BOX (S/1,924.00)', 'categoria_producto': 'consu', 'cantidad': '1.0', 'valor_unitario': 1630.51, 'precio_unitario': 1924.0, 'descuento': 0.0, 'subtotal': 1630.51, 'porcentaje_de_igv': '18.00', 'igv': 293.49, 'total': 1924.0,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</si>
  <si>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ENTRADAS IMPRESAS - Orden de venta NÂº 997
 Primer Festival de la MÃºsica Latino Americana en Chiclayo/ 1000 BRAZALETE PERSONALIZADO ZONA VIP / 1000 BRAZALETE PERSONALIZADO ZONA CULTURAL / 1000 BRAZALETE PERSONALIZADO ZONA BOX (S/1,924.00)</t>
  </si>
  <si>
    <t>[{'id_producto': '1', 'codigo_producto': '02', 'nom_producto': 'COMISIÃ“N PAGOS DIGITALES SEGÃšN CONTRATO', 'categoria_producto': 'service', 'cantidad': '1.0', 'valor_unitario': 988.4, 'precio_unitario': 1166.31, 'descuento': 0.0, 'subtotal': 988.4, 'porcentaje_de_igv': '18.00', 'igv': 177.91, 'total': 1166.31,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</si>
  <si>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904.65, 'precio_unitario': 1067.49, 'descuento': 0.0, 'subtotal': 904.65, 'porcentaje_de_igv': '18.00', 'igv': 162.84, 'total': 1067.49,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</si>
  <si>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1934.24, 'precio_unitario': 2282.4, 'descuento': 0.0, 'subtotal': 1934.24, 'porcentaje_de_igv': '18.00', 'igv': 348.16, 'total': 2282.4,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'', 'nom_organizador': 'ALAN INVERSIONES &amp; REPRESENTACIONES S.A.C.', 'tipo_organizador': ''}, 'id_vendedor': 2, 'nom_vendedor': 'SAMUEL CHUQUISTA', 'id_cuenta_analitica': 1106, 'nom_cuenta_analitica': '7012100 MercaderÃ­as-Venta Local-Terceros', 'distribucion_analitica': []}]</t>
  </si>
  <si>
    <t>24 Aniversario de Victor Manuel del PerÃº, Max Castro, Milder Ore y mÃ¡s en Trujillo</t>
  </si>
  <si>
    <t>[{'id_producto': '1', 'codigo_producto': '01', 'nom_producto': 'COMISIÃ“N VAOPE SEGÃšN CONTRATO', 'categoria_producto': 'service', 'cantidad': '1.0', 'valor_unitario': 2316.61, 'precio_unitario': 2733.6, 'descuento': 0.0, 'subtotal': 2316.61, 'porcentaje_de_igv': '18.00', 'igv': 416.99, 'total': 2733.6,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'', 'nom_organizador': 'ALAN INVERSIONES &amp; REPRESENTACIONES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</si>
  <si>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1427.8, 'precio_unitario': 1684.8, 'descuento': 0.0, 'subtotal': 1427.8, 'porcentaje_de_igv': '18.00', 'igv': 257.0, 'total': 1684.8, 'moneda': '1', 'tipo_de_cambio': '', 'id_estado': 'not_paid', 'nombre_estado': 'Sin pagar', 'evento': {'id_evento': '3172', 'nom_evento': 'La Bella Luz en Pachacamac', 'Fecha_hora_ini_event': '2025-10-06', 'Fecha_hora_fin_event': '2025-10-06',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</si>
  <si>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976.78, 'precio_unitario': 1152.6, 'descuento': 0.0, 'subtotal': 976.78, 'porcentaje_de_igv': '18.00', 'igv': 175.82, 'total': 1152.6, 'moneda': '1', 'tipo_de_cambio': '', 'id_estado': 'not_paid', 'nombre_estado': 'Sin pagar', 'evento': {'id_evento': '3172', 'nom_evento': 'La Bella Luz en Pachacamac', 'Fecha_hora_ini_event': '2025-10-06', 'Fecha_hora_fin_event': '2025-10-06',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</si>
  <si>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651.53, 'precio_unitario': 768.81, 'descuento': 0.0, 'subtotal': 651.53, 'porcentaje_de_igv': '18.00', 'igv': 117.28, 'total': 768.81,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'', 'nom_organizador': 'RIVERA GUERRERO ANGGELA RINA',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</si>
  <si>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556.44, 'precio_unitario': 656.6, 'descuento': 0.0, 'subtotal': 556.44, 'porcentaje_de_igv': '18.00', 'igv': 100.16, 'total': 656.6,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'', 'nom_organizador': 'RIVERA GUERRERO ANGGELA RINA',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</si>
  <si>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'05', 'nom_producto': 'DELIVERY -', 'categoria_producto': 'service',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</si>
  <si>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12.5, 'precio_unitario': 14.75, 'descuento': 0.0, 'subtotal': 12.5, 'porcentaje_de_igv': '18.00', 'igv': 2.25, 'total': 14.75,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</t>
  </si>
  <si>
    <t>CorazÃ³n Serrano en la Isla del ParaÃ­so del Callao</t>
  </si>
  <si>
    <t>[{'id_producto': '1', 'codigo_producto': '04', 'nom_producto': 'PAUTA PUBLICITARIA -', 'categoria_producto': 'service', 'cantidad': '1.0', 'valor_unitario': 1271.19, 'precio_unitario': 1500.0, 'descuento': 0.0, 'subtotal': 1271.19, 'porcentaje_de_igv': '18.00', 'igv': 228.81, 'total': 1500.0,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</si>
  <si>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4676.95, 'precio_unitario': 5518.8, 'descuento': 0.0, 'subtotal': 4676.95, 'porcentaje_de_igv': '18.00', 'igv': 841.85, 'total': 5518.8,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</si>
  <si>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'03', 'nom_producto': 'PERSONAL - Servicio de 1 validadores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</t>
  </si>
  <si>
    <t>PERSONAL - Servicio de 1 validadores (Inc IGV)</t>
  </si>
  <si>
    <t>[{'id_producto': '1', 'codigo_producto': '07', 'nom_producto': 'ENTRADAS IMPRESAS - Orden de venta NÂº 1016\nCorazÃ³n Serrano en la Isla del ParaÃ­so del Callao/ 1000 BOLETOS PREMIUM VIP PERSONALIZADOS (S/1,062.00)', 'categoria_producto': 'consu', 'cantidad': '1.0', 'valor_unitario': 900.0, 'precio_unitario': 1062.0, 'descuento': 0.0, 'subtotal': 900.0, 'porcentaje_de_igv': '18.00', 'igv': 162.0, 'total': 1062.0,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</t>
  </si>
  <si>
    <t>ENTRADAS IMPRESAS - Orden de venta NÂº 1016
CorazÃ³n Serrano en la Isla del ParaÃ­so del Callao/ 1000 BOLETOS PREMIUM VIP PERSONALIZADOS (S/1,062.00)</t>
  </si>
  <si>
    <t>[{'id_producto': '1', 'codigo_producto': '04', 'nom_producto': 'PAUTA PUBLICITARIA -', 'categoria_producto': 'service',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</si>
  <si>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1042\nCUMBIA CON CLASE - 17/10 / 1000 BRAZALETES BRAZALETES VIP / 1000 FULL COLOR GENERAL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84, 'nom_distribucion': 'Impresos', 'sub_categoria': 'OPERATIVOS', 'porcentaje': '100.00'}]]}]</t>
  </si>
  <si>
    <t>ENTRADAS IMPRESAS - Orden de venta NÂº 1042
CUMBIA CON CLASE - 17/10 / 1000 BRAZALETES BRAZALETES VIP / 1000 FULL COLOR GENERAL (S/1,180.00)</t>
  </si>
  <si>
    <t>[[{'codigo': 84, 'nom_distribucion': 'Impresos', 'sub_categoria': 'OPERATIVOS', 'porcentaje': '100.00'}]]</t>
  </si>
  <si>
    <t>[{'id_producto': '1', 'codigo_producto': '13', 'nom_producto': 'ENTRADAS IMPRESAS - Orden de venta NÂº 1015 Agua Marina en Barranca / 1000 BRAZALETES PER ZONA GENERAL /2000 BRAZALETES PER ZONA VIP (S/2,124.00)', 'categoria_producto': 'service',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</t>
  </si>
  <si>
    <t>ENTRADAS IMPRESAS - Orden de venta NÂº 1015 Agua Marina en Barranca / 1000 BRAZALETES PER ZONA GENERAL /2000 BRAZALETES PER ZONA VIP (S/2,124.00)</t>
  </si>
  <si>
    <t>[{'id_producto': '1', 'codigo_producto': '02', 'nom_producto': 'COMISIÃ“N PAGOS DIGITALES SEGÃšN CONTRATO', 'categoria_producto': 'service', 'cantidad': '1.0', 'valor_unitario': 638.31, 'precio_unitario': 753.21, 'descuento': 0.0, 'subtotal': 638.31, 'porcentaje_de_igv': '18.00', 'igv': 114.9, 'total': 753.21,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</si>
  <si>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652.2, 'precio_unitario': 769.6, 'descuento': 0.0, 'subtotal': 652.2, 'porcentaje_de_igv': '18.00', 'igv': 117.4, 'total': 769.6,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</si>
  <si>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75.0, 'precio_unitario': 88.5, 'descuento': 0.0, 'subtotal': 75.0, 'porcentaje_de_igv': '18.00', 'igv': 13.5, 'total': 88.5,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</si>
  <si>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Feliz DÃ­a de la Suegra con la Bella Luz y mÃ¡s en El Huaralino</t>
  </si>
  <si>
    <t>[{'id_producto': '1', 'codigo_producto': '04', 'nom_producto': 'PAUTA PUBLICITARIA -', 'categoria_producto': 'service',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</si>
  <si>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1695.17, 'precio_unitario': 2000.3, 'descuento': 0.0, 'subtotal': 1695.17, 'porcentaje_de_igv': '18.00', 'igv': 305.13, 'total': 2000.3,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</si>
  <si>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1163.56, 'precio_unitario': 1373.0, 'descuento': 0.0, 'subtotal': 1163.56, 'porcentaje_de_igv': '18.00', 'igv': 209.44, 'total': 1373.0,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</si>
  <si>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375.53, 'precio_unitario': 443.13, 'descuento': 0.0, 'subtotal': 375.53, 'porcentaje_de_igv': '18.00', 'igv': 67.6, 'total': 443.13,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[]}]</t>
  </si>
  <si>
    <t>Flor PileÃ±a, Alegres de Bambarmarca y Victor Manuel en Cajabamba</t>
  </si>
  <si>
    <t>[{'id_producto': '1', 'codigo_producto': '01', 'nom_producto': 'COMISIÃ“N VAOPE SEGÃšN CONTRATO', 'categoria_producto': 'service', 'cantidad': '1.0', 'valor_unitario': 268.53, 'precio_unitario': 316.87, 'descuento': 0.0, 'subtotal': 268.53, 'porcentaje_de_igv': '18.00', 'igv': 48.34, 'total': 316.87,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</si>
  <si>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708.9, 'precio_unitario': 836.5, 'descuento': 0.0, 'subtotal': 708.9, 'porcentaje_de_igv': '18.00', 'igv': 127.6, 'total': 836.5,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</si>
  <si>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488.81, 'precio_unitario': 576.8, 'descuento': 0.0, 'subtotal': 488.81, 'porcentaje_de_igv': '18.00', 'igv': 87.99, 'total': 576.8,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</si>
  <si>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79.75, 'precio_unitario': 94.11, 'descuento': 0.0, 'subtotal': 79.75, 'porcentaje_de_igv': '18.01', 'igv': 14.36, 'total': 94.11,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'', 'nom_organizador': 'JUAN EDGAR VENTURA MACAZANA', 'tipo_organizador': ''}, 'id_vendedor': 2, 'nom_vendedor': 'SAMUEL CHUQUISTA', 'id_cuenta_analitica': 1106, 'nom_cuenta_analitica': '7012100 MercaderÃ­as-Venta Local-Terceros', 'distribucion_analitica': []}]</t>
  </si>
  <si>
    <t>18Â° Aniversario de Illari del Cusco con Chinito del Ande, Osito Pardo, Los Puntos del Amor y mÃ¡s en Huaracondo de SJL</t>
  </si>
  <si>
    <t>[{'id_producto': '1', 'codigo_producto': '01', 'nom_producto': 'COMISIÃ“N VAOPE SEGÃšN CONTRATO', 'categoria_producto': 'service', 'cantidad': '1.0', 'valor_unitario': 73.47, 'precio_unitario': 86.69, 'descuento': 0.0, 'subtotal': 73.47, 'porcentaje_de_igv': '17.99', 'igv': 13.22, 'total': 86.69,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'', 'nom_organizador': 'JUAN EDGAR VENTURA MACAZANA',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</si>
  <si>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482.54, 'precio_unitario': 569.4, 'descuento': 0.0, 'subtotal': 482.54, 'porcentaje_de_igv': '18.00', 'igv': 86.86, 'total': 569.4, 'moneda': '1', 'tipo_de_cambio': '', 'id_estado': 'not_paid', 'nombre_estado': 'Sin pagar', 'evento': {'id_evento': '3157', 'nom_evento': 'CorazÃ³n Serrano en Huacho', 'Fecha_hora_ini_event': '2025-09-25', 'Fecha_hora_fin_event': '2025-09-25', 'id_organizador': '', 'nom_organizador': 'G &amp; N MUSIC S.A.C.', 'tipo_organizador': ''}, 'id_vendedor': 2, 'nom_vendedor': 'SAMUEL CHUQUISTA', 'id_cuenta_analitica': 1106, 'nom_cuenta_analitica': '7012100 MercaderÃ­as-Venta Local-Terceros', 'distribucion_analitica': []}]</t>
  </si>
  <si>
    <t>CorazÃ³n Serrano en Huacho</t>
  </si>
  <si>
    <t>[{'id_producto': '1', 'codigo_producto': '01', 'nom_producto': 'COMISIÃ“N VAOPE SEGÃšN CONTRATO', 'categoria_producto': 'service', 'cantidad': '1.0', 'valor_unitario': 317.5, 'precio_unitario': 374.65, 'descuento': 0.0, 'subtotal': 317.5, 'porcentaje_de_igv': '18.00', 'igv': 57.15, 'total': 374.65, 'moneda': '1', 'tipo_de_cambio': '', 'id_estado': 'not_paid', 'nombre_estado': 'Sin pagar', 'evento': {'id_evento': '3157', 'nom_evento': 'CorazÃ³n Serrano en Huacho', 'Fecha_hora_ini_event': '2025-09-25', 'Fecha_hora_fin_event': '2025-09-25', 'id_organizador': '', 'nom_organizador': 'G &amp; N MUSIC S.A.C.', 'tipo_organizador': ''}, 'id_vendedor': 2, 'nom_vendedor': 'SAMUEL CHUQUISTA', 'id_cuenta_analitica': 1106, 'nom_cuenta_analitica': '7012100 MercaderÃ­as-Venta Local-Terceros', 'distribucion_analitica': []}]</t>
  </si>
  <si>
    <t>03826765</t>
  </si>
  <si>
    <t>[{'id_producto': '1', 'codigo_producto': '01', 'nom_producto': 'COMISIÃ“N VAOPE SEGÃšN CONTRATO', 'categoria_producto': 'service', 'cantidad': '1.0', 'valor_unitario': 4123.66, 'precio_unitario': 4865.92, 'descuento': 0.0, 'subtotal': 4123.66, 'porcentaje_de_igv': '18.00', 'igv': 742.26, 'total': 4865.92, 'moneda': '1', 'tipo_de_cambio': '', 'id_estado': 'not_paid', 'nombre_estado': 'Sin pagar', 'evento': {'id_evento': '3185', 'nom_evento': 'AtlÃ©tico Torino vs Bagua FC - Copa PerÃº 2025', 'Fecha_hora_ini_event': '2025-10-05', 'Fecha_hora_fin_event': '2025-10-05', 'id_organizador': '', 'nom_organizador': 'JOSE MANUEL BACA ANTON PRESIDENTE DE LA LIGA DEPARTAMENTAL PIURA', 'tipo_organizador': ''}, 'id_vendedor': 2, 'nom_vendedor': 'SAMUEL CHUQUISTA', 'id_cuenta_analitica': 1106, 'nom_cuenta_analitica': '7012100 MercaderÃ­as-Venta Local-Terceros', 'distribucion_analitica': []}]</t>
  </si>
  <si>
    <t>AtlÃ©tico Torino vs Bagua FC - Copa PerÃº 2025</t>
  </si>
  <si>
    <t>[{'id_producto': '1', 'codigo_producto': '01', 'nom_producto': 'COMISIÃ“N VAOPE SEGUN CONTRATO -', 'categoria_producto': 'service', 'cantidad': '1.0', 'valor_unitario': 5603.9, 'precio_unitario': 6612.6, 'descuento': 0.0, 'subtotal': 5603.9, 'porcentaje_de_igv': '18.00', 'igv': 1008.7, 'total': 6612.6,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</si>
  <si>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'985', 'nom_producto': 'BRAZALETES VIP-ARMONIA 10 EN DISCOTECA COCOS DE LINCE, BRAZALETES PLATINIUM Y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'', 'nom_organizador': 'PERUVIAN PRODUCTIONS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</si>
  <si>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BRAZALETES VIP-ARMONIA 10 EN DISCOTECA COCOS DE LINCE, BRAZALETES PLATINIUM Y PERSONAL DELIVERY</t>
  </si>
  <si>
    <t>[[{'codigo': 83, 'nom_distribucion': 'Impresos', 'sub_categoria': 'Suministros Compra', 'porcentaje': '100.00'}]]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</si>
  <si>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0.0,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</si>
  <si>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'983', 'nom_producto': 'ENTRADAS IMPRESAS * FULL COLOR GENERAL ', 'categoria_producto': 'consu', 'cantidad': '1.0', 'valor_unitario': 400.0, 'precio_unitario': 472.0, 'descuento': 0.0,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</si>
  <si>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'982', 'nom_producto': 'COMISION CORTESIA - ACTUALIZACION GRAFICA', 'categoria_producto': 'consu', 'cantidad': '1.0', 'valor_unitario': 107.37, 'precio_unitario': 126.7, 'descuento': 0.0,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</si>
  <si>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[[{'codigo': 105, 'nom_distribucion': 'Administrativo', 'sub_categoria': 'Capacitaciones', 'porcentaje': '100.00'}]]</t>
  </si>
  <si>
    <t>[{'id_producto': '1', 'codigo_producto': '877', 'nom_producto': 'COMISIÃ“N PAGOS DIGITALES SEGÃšN CONTRATO', 'categoria_producto': 'consu', 'cantidad': '1.0', 'valor_unitario': 30.68, 'precio_unitario': 36.2, 'descuento': 0.0, 'subtotal': 30.68, 'porcentaje_de_igv': '17.99', 'igv': 5.52, 'total': 36.2,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</si>
  <si>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20.19, 'precio_unitario': 23.83, 'descuento': 0.0, 'subtotal': 20.19, 'porcentaje_de_igv': '18.03', 'igv': 3.64, 'total': 23.83,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</si>
  <si>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BB01</t>
  </si>
  <si>
    <t>RODRIGO ANTONIO QUISPE MONTAÃ‘EZ</t>
  </si>
  <si>
    <t>[{'id_producto': '1', 'codigo_producto': '877', 'nom_producto': 'COMISIÃ“N PAGOS DIGITALES SEGÃšN CONTRATO', 'categoria_producto': 'consu', 'cantidad': '1.0', 'valor_unitario': 50.85, 'precio_unitario': 60.0, 'descuento': 0.0,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'RODRIGO ANTONIO QUISPE MONTAÃ‘EZ',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</si>
  <si>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'', 'nom_evento': '', 'Fecha_hora_ini_event': '', 'Fecha_hora_fin_event': '', 'id_organizador': '', 'nom_organizador': 'RODRIGO ANTONIO QUISPE MONTAÃ‘EZ',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</si>
  <si>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FIESTA KARIBEÃ‘A SOCIEDAD ANONIMA CERRADA</t>
  </si>
  <si>
    <t>[{'id_producto': '1', 'codigo_producto': '981', 'nom_producto': 'COMISION CORTESIA - PUNTO DE VENTA', 'categoria_producto': 'consu', 'cantidad': '1.0', 'valor_unitario': 12.75, 'precio_unitario': 15.04, 'descuento': 0.0, 'subtotal': 12.75, 'porcentaje_de_igv': '17.96', 'igv': 2.29, 'total': 15.04,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</si>
  <si>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 - PUNTO DE VENTA</t>
  </si>
  <si>
    <t>[{'id_producto': '1', 'codigo_producto': '877', 'nom_producto': 'COMISIÃ“N PAGOS DIGITALES SEGÃšN CONTRATO', 'categoria_producto': 'consu', 'cantidad': '1.0', 'valor_unitario': 392.2, 'precio_unitario': 462.8, 'descuento': 0.0, 'subtotal': 392.2, 'porcentaje_de_igv': '18.00', 'igv': 70.6, 'total': 462.8,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</si>
  <si>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527.39, 'precio_unitario': 622.32, 'descuento': 0.0, 'subtotal': 527.39, 'porcentaje_de_igv': '18.00', 'igv': 94.93, 'total': 622.32,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</si>
  <si>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'980', 'nom_producto': 'PERSONAL - PAUTA PUBLICITARIA - EULALIA PEREZ', 'categoria_producto': 'consu', 'cantidad': '1.0', 'valor_unitario': 980.0, 'precio_unitario': 1156.4, 'descuento': 0.0, 'subtotal': 980.0, 'porcentaje_de_igv': '18.00', 'igv': 176.4, 'total': 1156.4,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</si>
  <si>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 - EULALIA PEREZ</t>
  </si>
  <si>
    <t>[[{'codigo': 89, 'nom_distribucion': 'Marketing', 'sub_categoria': 'Pauta', 'porcentaje': '100.00'}]]</t>
  </si>
  <si>
    <t>[{'id_producto': '1', 'codigo_producto': '940', 'nom_producto': 'COMISIÃ“N PAGOS DIGITALES SEGUN CONTRATO - EULALIA PEREZ', 'categoria_producto': 'consu', 'cantidad': '1.0', 'valor_unitario': 437.8, 'precio_unitario': 516.6, 'descuento': 0.0, 'subtotal': 437.8, 'porcentaje_de_igv': '18.00', 'igv': 78.8, 'total': 516.6,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</si>
  <si>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PAGOS DIGITALES SEGUN CONTRATO - EULALIA PEREZ</t>
  </si>
  <si>
    <t>[{'id_producto': '1', 'codigo_producto': '979', 'nom_producto': 'COMISIÃ“N VAOPE SEGUN CONTRATO - EULALIA PEREZ ', 'categoria_producto': 'consu', 'cantidad': '1.0', 'valor_unitario': 391.08, 'precio_unitario': 461.47, 'descuento': 0.0, 'subtotal': 391.08, 'porcentaje_de_igv': '18.00', 'igv': 70.39, 'total': 461.47,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</si>
  <si>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VAOPE SEGUN CONTRATO - EULALIA PEREZ </t>
  </si>
  <si>
    <t>[{'id_producto': '1', 'codigo_producto': '978', 'nom_producto': 'PERSONAL - PAUTA PUBLICITARIA JULIO MACHA',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</si>
  <si>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 JULIO MACHA</t>
  </si>
  <si>
    <t>[{'id_producto': '1', 'codigo_producto': '938', 'nom_producto': 'COMISIÃ“N PAGOS DIGITALES SEGUN CONTRATO - JULIO MACHA 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</si>
  <si>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PAGOS DIGITALES SEGUN CONTRATO - JULIO MACHA </t>
  </si>
  <si>
    <t>[{'id_producto': '1', 'codigo_producto': '937', 'nom_producto': 'COMISIÃ“N VAOPE SEGUN CONTRATO - JULIO MACHA',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</si>
  <si>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 - JULIO MACHA</t>
  </si>
  <si>
    <t>[{'id_producto': '1', 'codigo_producto': '977', 'nom_producto': 'PERSONAL - PAUTA PUBLICITARIA - YARIT ALANYA',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</si>
  <si>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 - YARIT ALANYA</t>
  </si>
  <si>
    <t>[{'id_producto': '1', 'codigo_producto': '936', 'nom_producto': 'COMISIÃ“N PAGOS DIGITALES SEGUN CONTRATO - YARIT ALANYA',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</si>
  <si>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PAGOS DIGITALES SEGUN CONTRATO - YARIT ALANYA</t>
  </si>
  <si>
    <t>[{'id_producto': '1', 'codigo_producto': '935', 'nom_producto': 'COMISIÃ“N VAOPE SEGUN CONTRATO - YARIT ALANYA',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</si>
  <si>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 - YARIT ALANYA</t>
  </si>
  <si>
    <t>Erol Aylas MarquiÃ±o</t>
  </si>
  <si>
    <t>[{'id_producto': '1', 'codigo_producto': '976', 'nom_producto': 'PERSONAL - PAUTA PUBLICITARIA',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'Erol Aylas MarquiÃ±o',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</si>
  <si>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</t>
  </si>
  <si>
    <t>[{'id_producto': '1', 'codigo_producto': '871', 'nom_producto': 'COMISIÃ“N PAGOS DIGITALES SEGÃšN CONTRATO ', 'categoria_producto': 'consu', 'cantidad': '1.0', 'valor_unitario': 57.2, 'precio_unitario': 67.5, 'descuento': 0.0, 'subtotal': 57.2, 'porcentaje_de_igv': '18.01', 'igv': 10.3, 'total': 67.5, 'moneda': '1', 'tipo_de_cambio': '', 'id_estado': 'not_paid', 'nombre_estado': 'Sin pagar', 'evento': {'id_evento': '', 'nom_evento': '', 'Fecha_hora_ini_event': '', 'Fecha_hora_fin_event': '', 'id_organizador': '', 'nom_organizador': 'Erol Aylas MarquiÃ±o',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</si>
  <si>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PAGOS DIGITALES SEGÃšN CONTRATO </t>
  </si>
  <si>
    <t>[{'id_producto': '1', 'codigo_producto': '870', 'nom_producto': 'COMISIÃ“N VAOPE SEGÃšN CONTRATO', 'categoria_producto': 'consu', 'cantidad': '1.0', 'valor_unitario': 33.47, 'precio_unitario': 39.5, 'descuento': 0.0, 'subtotal': 33.47, 'porcentaje_de_igv': '18.02', 'igv': 6.03, 'total': 39.5, 'moneda': '1', 'tipo_de_cambio': '', 'id_estado': 'not_paid', 'nombre_estado': 'Sin pagar', 'evento': {'id_evento': '', 'nom_evento': '', 'Fecha_hora_ini_event': '', 'Fecha_hora_fin_event': '', 'id_organizador': '', 'nom_organizador': 'Erol Aylas MarquiÃ±o',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</si>
  <si>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190.17, 'precio_unitario': 224.4, 'descuento': 0.0, 'subtotal': 190.17, 'porcentaje_de_igv': '18.00', 'igv': 34.23, 'total': 224.4, 'moneda': '1', 'tipo_de_cambio': '', 'id_estado': 'not_paid', 'nombre_estado': 'Sin pagar', 'evento': {'id_evento': '', 'nom_evento': '', 'Fecha_hora_ini_event': '', 'Fecha_hora_fin_event': '', 'id_organizador': '', 'nom_organizador': 'MAKWA ENTERTAINMENT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</si>
  <si>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140.34, 'precio_unitario': 165.6, 'descuento': 0.0, 'subtotal': 140.34, 'porcentaje_de_igv': '18.00', 'igv': 25.26, 'total': 165.6, 'moneda': '1', 'tipo_de_cambio': '', 'id_estado': 'not_paid', 'nombre_estado': 'Sin pagar', 'evento': {'id_evento': '', 'nom_evento': '', 'Fecha_hora_ini_event': '', 'Fecha_hora_fin_event': '', 'id_organizador': '', 'nom_organizador': 'MAKWA ENTERTAINMENT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</si>
  <si>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18.64, 'precio_unitario': 22.0, 'descuento': 0.0, 'subtotal': 18.64, 'porcentaje_de_igv': '18.03', 'igv': 3.36, 'total': 22.0,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</si>
  <si>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12.71, 'precio_unitario': 15.0, 'descuento': 0.0, 'subtotal': 12.71, 'porcentaje_de_igv': '18.02', 'igv': 2.29, 'total': 15.0,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</si>
  <si>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6.95, 'precio_unitario': 8.2, 'descuento': 0.0, 'subtotal': 6.95, 'porcentaje_de_igv': '17.99', 'igv': 1.25, 'total': 8.2,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</si>
  <si>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4.58, 'precio_unitario': 5.4, 'descuento': 0.0, 'subtotal': 4.58, 'porcentaje_de_igv': '17.90', 'igv': 0.82, 'total': 5.4,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</si>
  <si>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'Humberto Ronald Mendoza Chacha',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</si>
  <si>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</t>
  </si>
  <si>
    <t>[{'id_producto': '1', 'codigo_producto': '877', 'nom_producto': 'COMISIÃ“N PAGOS DIGITALES SEGÃšN CONTRATO', 'categoria_producto': 'consu', 'cantidad': '1.0', 'valor_unitario': 275.32, 'precio_unitario': 324.88, 'descuento': 0.0, 'subtotal': 275.32, 'porcentaje_de_igv': '18.00', 'igv': 49.56, 'total': 324.88, 'moneda': '1', 'tipo_de_cambio': '', 'id_estado': 'not_paid', 'nombre_estado': 'Sin pagar', 'evento': {'id_evento': '', 'nom_evento': '', 'Fecha_hora_ini_event': '', 'Fecha_hora_fin_event': '', 'id_organizador': '', 'nom_organizador': 'Humberto Ronald Mendoza Chacha',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</si>
  <si>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165.5, 'precio_unitario': 195.29, 'descuento': 0.0, 'subtotal': 165.5, 'porcentaje_de_igv': '18.00', 'igv': 29.79, 'total': 195.29, 'moneda': '1', 'tipo_de_cambio': '', 'id_estado': 'not_paid', 'nombre_estado': 'Sin pagar', 'evento': {'id_evento': '', 'nom_evento': '', 'Fecha_hora_ini_event': '', 'Fecha_hora_fin_event': '', 'id_organizador': '', 'nom_organizador': 'Humberto Ronald Mendoza Chacha',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</si>
  <si>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</si>
  <si>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'975', 'nom_producto': 'PERSONAL - SERV, DEVOLUCIONES', 'categoria_producto': 'consu', 'cantidad': '1.0', 'valor_unitario': 200.0, 'precio_unitario': 236.0, 'descuento': 0.0, 'subtotal': 200.0, 'porcentaje_de_igv': '18.00', 'igv': 36.0, 'total': 236.0,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</si>
  <si>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PERSONAL - SERV, DEVOLUCIONES</t>
  </si>
  <si>
    <t>[[{'codigo': 61, 'nom_distribucion': 'Administrativo', 'sub_categoria': 'Operativos', 'porcentaje': '100.00'}]]</t>
  </si>
  <si>
    <t>[{'id_producto': '1', 'codigo_producto': '877', 'nom_producto': 'COMISIÃ“N PAGOS DIGITALES SEGÃšN CONTRATO', 'categoria_producto': 'consu', 'cantidad': '1.0', 'valor_unitario': 69.42, 'precio_unitario': 81.92, 'descuento': 0.0, 'subtotal': 69.42, 'porcentaje_de_igv': '18.01', 'igv': 12.5, 'total': 81.92,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</si>
  <si>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42.58, 'precio_unitario': 50.24, 'descuento': 0.0, 'subtotal': 42.58, 'porcentaje_de_igv': '17.99', 'igv': 7.66, 'total': 50.24,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</si>
  <si>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'974', 'nom_producto': 'PERSONAL - PAUTA PUBLICITARIA -PIERO MACHA',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</si>
  <si>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 -PIERO MACHA</t>
  </si>
  <si>
    <t>[{'id_producto': '1', 'codigo_producto': '934', 'nom_producto': 'COMISIÃ“N PAGOS DIGITALES SEGUN CONTRATO - PIERO MACHA', 'categoria_producto': 'consu', 'cantidad': '1.0', 'valor_unitario': 8.93, 'precio_unitario': 10.54, 'descuento': 0.0, 'subtotal': 8.93, 'porcentaje_de_igv': '18.03', 'igv': 1.61, 'total': 10.54,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</si>
  <si>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PAGOS DIGITALES SEGUN CONTRATO - PIERO MACHA</t>
  </si>
  <si>
    <t>[{'id_producto': '1', 'codigo_producto': '933', 'nom_producto': 'COMISIÃ“N VAOPE SEGUN CONTRATO - PIERO MACHA', 'categoria_producto': 'consu', 'cantidad': '1.0', 'valor_unitario': 7.98, 'precio_unitario': 9.42, 'descuento': 0.0, 'subtotal': 7.98, 'porcentaje_de_igv': '18.05', 'igv': 1.44, 'total': 9.42,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</si>
  <si>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 - PIERO MACHA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</si>
  <si>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</si>
  <si>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'921', 'nom_producto': 'PERSONAL - Servicio de 04 validadores (Inc IGV)',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</si>
  <si>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Servicio de 04 validadores (Inc IGV)</t>
  </si>
  <si>
    <t>[[{'codigo': 103, 'nom_distribucion': 'Validadores', 'sub_categoria': 'Personal temporal', 'porcentaje': '100.00'}]]</t>
  </si>
  <si>
    <t>[{'id_producto': '1', 'codigo_producto': '973', 'nom_producto': 'ENTRADAS IMPRESAS - ORDEN DE VENTA NÂ°569\n * FiestÃ³n de Carnavales con La Bella Luz, Linda Caba y Deyvis Orosco en El Remanso de Comas / 1,500 FULL COLOR ADULTO, 1,000 FULL COLOR PROMO ADULTO, 500 FULL COLOR NIÃ‘O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</si>
  <si>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NÂ°569
 * FiestÃ³n de Carnavales con La Bella Luz, Linda Caba y Deyvis Orosco en El Remanso de Comas / 1,500 FULL COLOR ADULTO, 1,000 FULL COLOR PROMO ADULTO, 500 FULL COLOR NIÃ‘O (S/1,416.00)
</t>
  </si>
  <si>
    <t>[{'id_producto': '1', 'codigo_producto': '877', 'nom_producto': 'COMISIÃ“N PAGOS DIGITALES SEGÃšN CONTRATO', 'categoria_producto': 'consu', 'cantidad': '1.0', 'valor_unitario': 1693.39, 'precio_unitario': 1998.2, 'descuento': 0.0, 'subtotal': 1693.39, 'porcentaje_de_igv': '18.00', 'igv': 304.81, 'total': 1998.2,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</si>
  <si>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</si>
  <si>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'972', 'nom_producto': 'COMISION CORTESIA - PAUTA PUIBLICITARIA', 'categoria_producto': 'consu', 'cantidad': '1.0', 'valor_unitario': 308.0, 'precio_unitario': 363.44, 'descuento': 0.0, 'subtotal': 308.0, 'porcentaje_de_igv': '18.00', 'igv': 55.44, 'total': 363.44, 'moneda': '1', 'tipo_de_cambio': '', 'id_estado': 'not_paid', 'nombre_estado': 'Sin pagar', 'evento': {'id_evento': '', 'nom_evento': '', 'Fecha_hora_ini_event': '', 'Fecha_hora_fin_event': '', 'id_organizador': '', 'nom_organizador': 'TARPUY PRODUCCIONES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</si>
  <si>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 - PAUTA PUIBLICITARIA</t>
  </si>
  <si>
    <t>[{'id_producto': '1', 'codigo_producto': '877', 'nom_producto': 'COMISIÃ“N PAGOS DIGITALES SEGÃšN CONTRATO', 'categoria_producto': 'consu', 'cantidad': '1.0', 'valor_unitario': 298.87, 'precio_unitario': 352.67, 'descuento': 0.0, 'subtotal': 298.87, 'porcentaje_de_igv': '18.00', 'igv': 53.8, 'total': 352.67, 'moneda': '1', 'tipo_de_cambio': '', 'id_estado': 'not_paid', 'nombre_estado': 'Sin pagar', 'evento': {'id_evento': '', 'nom_evento': '', 'Fecha_hora_ini_event': '', 'Fecha_hora_fin_event': '', 'id_organizador': '', 'nom_organizador': 'TARPUY PRODUCCIONES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</si>
  <si>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183.02, 'precio_unitario': 215.96, 'descuento': 0.0, 'subtotal': 183.02, 'porcentaje_de_igv': '18.00', 'igv': 32.94, 'total': 215.96, 'moneda': '1', 'tipo_de_cambio': '', 'id_estado': 'not_paid', 'nombre_estado': 'Sin pagar', 'evento': {'id_evento': '', 'nom_evento': '', 'Fecha_hora_ini_event': '', 'Fecha_hora_fin_event': '', 'id_organizador': '', 'nom_organizador': 'TARPUY PRODUCCIONES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</si>
  <si>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3.48, 'precio_unitario': 4.11, 'descuento': 0.0, 'subtotal': 3.48, 'porcentaje_de_igv': '18.10', 'igv': 0.63, 'total': 4.11, 'moneda': '1', 'tipo_de_cambio': '', 'id_estado': 'not_paid', 'nombre_estado': 'Sin pagar', 'evento': {'id_evento': '', 'nom_evento': '', 'Fecha_hora_ini_event': '', 'Fecha_hora_fin_event': '', 'id_organizador': '', 'nom_organizador': 'GARELD ZAID HERRERA CARDENAS\n',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</si>
  <si>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GARELD ZAID HERRERA CARDENAS
</t>
  </si>
  <si>
    <t>[{'id_producto': '1', 'codigo_producto': '870', 'nom_producto': 'COMISIÃ“N VAOPE SEGÃšN CONTRATO', 'categoria_producto': 'consu', 'cantidad': '1.0', 'valor_unitario': 3.0, 'precio_unitario': 3.54, 'descuento': 0.0, 'subtotal': 3.0, 'porcentaje_de_igv': '18.00', 'igv': 0.54, 'total': 3.54, 'moneda': '1', 'tipo_de_cambio': '', 'id_estado': 'not_paid', 'nombre_estado': 'Sin pagar', 'evento': {'id_evento': '', 'nom_evento': '', 'Fecha_hora_ini_event': '', 'Fecha_hora_fin_event': '', 'id_organizador': '', 'nom_organizador': 'GARELD ZAID HERRERA CARDENAS\n',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</si>
  <si>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54.07, 'precio_unitario': 63.8, 'descuento': 0.0, 'subtotal': 54.07, 'porcentaje_de_igv': '18.00', 'igv': 9.73, 'total': 63.8,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</si>
  <si>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29.49, 'precio_unitario': 34.8, 'descuento': 0.0, 'subtotal': 29.49, 'porcentaje_de_igv': '18.01', 'igv': 5.31, 'total': 34.8,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</si>
  <si>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16.44, 'precio_unitario': 19.4, 'descuento': 0.0, 'subtotal': 16.44, 'porcentaje_de_igv': '18.00', 'igv': 2.96, 'total': 19.4, 'moneda': '1', 'tipo_de_cambio': '', 'id_estado': 'not_paid', 'nombre_estado': 'Sin pagar', 'evento': {'id_evento': '', 'nom_evento': '', 'Fecha_hora_ini_event': '', 'Fecha_hora_fin_event': '', 'id_organizador': '', 'nom_organizador': 'MULTISERVICIOS YATACO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</si>
  <si>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'', 'nom_organizador': 'MULTISERVICIOS YATACO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</si>
  <si>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30.34, 'precio_unitario': 35.8, 'descuento': 0.0, 'subtotal': 30.34, 'porcentaje_de_igv': '18.00', 'igv': 5.46, 'total': 35.8,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</si>
  <si>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17.29, 'precio_unitario': 20.4, 'descuento': 0.0, 'subtotal': 17.29, 'porcentaje_de_igv': '17.99', 'igv': 3.11, 'total': 20.4,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</si>
  <si>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11.47, 'precio_unitario': 13.54, 'descuento': 0.0, 'subtotal': 11.47, 'porcentaje_de_igv': '18.05', 'igv': 2.07, 'total': 13.54, 'moneda': '1', 'tipo_de_cambio': '', 'id_estado': 'not_paid', 'nombre_estado': 'Sin pagar', 'evento': {'id_evento': '', 'nom_evento': '', 'Fecha_hora_ini_event': '', 'Fecha_hora_fin_event': '', 'id_organizador': '', 'nom_organizador': 'INVERSIONES SAM &amp; ASOCIADOS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</si>
  <si>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'', 'nom_organizador': 'INVERSIONES SAM &amp; ASOCIADOS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</si>
  <si>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1553.9, 'precio_unitario': 1833.6, 'descuento': 0.0, 'subtotal': 1553.9, 'porcentaje_de_igv': '18.00', 'igv': 279.7, 'total': 1833.6,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</si>
  <si>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1180.25, 'precio_unitario': 1392.7, 'descuento': 0.0, 'subtotal': 1180.25, 'porcentaje_de_igv': '18.00', 'igv': 212.45, 'total': 1392.7,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</si>
  <si>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2327.53, 'precio_unitario': 2746.48, 'descuento': 0.0, 'subtotal': 2327.53, 'porcentaje_de_igv': '18.00', 'igv': 418.95, 'total': 2746.48,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</si>
  <si>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1440.93, 'precio_unitario': 1700.3, 'descuento': 0.0, 'subtotal': 1440.93, 'porcentaje_de_igv': '18.00', 'igv': 259.37, 'total': 1700.3,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</si>
  <si>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799.58, 'precio_unitario': 943.5, 'descuento': 0.0, 'subtotal': 799.58, 'porcentaje_de_igv': '18.00', 'igv': 143.92, 'total': 943.5,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</si>
  <si>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614.24, 'precio_unitario': 724.8, 'descuento': 0.0, 'subtotal': 614.24, 'porcentaje_de_igv': '18.00', 'igv': 110.56, 'total': 724.8,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</si>
  <si>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272.2, 'precio_unitario': 321.2, 'descuento': 0.0, 'subtotal': 272.2, 'porcentaje_de_igv': '18.00', 'igv': 49.0, 'total': 321.2,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</si>
  <si>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222.71, 'precio_unitario': 262.8, 'descuento': 0.0, 'subtotal': 222.71, 'porcentaje_de_igv': '18.00', 'igv': 40.09, 'total': 262.8,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</si>
  <si>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'971', 'nom_producto': 'PERSONAL - PAUTA PUBLICITARIA - DELIVERY', 'categoria_producto': 'consu', 'cantidad': '1.0', 'valor_unitario': 650.0, 'precio_unitario': 767.0, 'descuento': 0.0, 'subtotal': 650.0, 'porcentaje_de_igv': '18.00', 'igv': 117.0, 'total': 767.0,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</si>
  <si>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 - DELIVERY</t>
  </si>
  <si>
    <t>[{'id_producto': '1', 'codigo_producto': '970', 'nom_producto': 'ENTRADAS IMPRESAS - Orden de venta NÂº 580\n * LA ÃšNICA TROPICAL PAITA - 08 DE FEB - I - P / 1,000 BRAZALETES VIP (S/708.00)\n',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</si>
  <si>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NÂº 580
 * LA ÃšNICA TROPICAL PAITA - 08 DE FEB - I - P / 1,000 BRAZALETES VIP (S/708.00)
</t>
  </si>
  <si>
    <t>[{'id_producto': '1', 'codigo_producto': '969', 'nom_producto': 'ENTRADAS IMPRESAS - Orden de venta NÂº 579\n * LA ÃšNICA TROPICAL MOTUPE - 05 DE FEB - I - P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</si>
  <si>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NÂº 579
 * LA ÃšNICA TROPICAL MOTUPE - 05 DE FEB - I - P / 2,000 BRAZALETES VIP (S/1,416.00)</t>
  </si>
  <si>
    <t>[{'id_producto': '1', 'codigo_producto': '968', 'nom_producto': 'ENTRADAS IMPRESAS - ORDEN DE VENTA NÂ°573\n * La Ãšnica Tropical en Sullana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</si>
  <si>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NÂ°573
 * La Ãšnica Tropical en Sullana / 2,000 BRAZALETES VIP (S/1,416.00)</t>
  </si>
  <si>
    <t>[{'id_producto': '1', 'codigo_producto': '877', 'nom_producto': 'COMISIÃ“N PAGOS DIGITALES SEGÃšN CONTRATO', 'categoria_producto': 'consu', 'cantidad': '1.0', 'valor_unitario': 2530.92, 'precio_unitario': 2986.48, 'descuento': 0.0, 'subtotal': 2530.92, 'porcentaje_de_igv': '18.00', 'igv': 455.56, 'total': 2986.48,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</si>
  <si>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1544.46, 'precio_unitario': 1822.46, 'descuento': 0.0, 'subtotal': 1544.46, 'porcentaje_de_igv': '18.00', 'igv': 278.0, 'total': 1822.46,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</si>
  <si>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'967', 'nom_producto': 'COMISIÃ“N PAGOS DIGITALES SEGUN CONTRAT', 'categoria_producto': 'consu', 'cantidad': '1.0', 'valor_unitario': 1885.17, 'precio_unitario': 2224.5, 'descuento': 0.0, 'subtotal': 1885.17, 'porcentaje_de_igv': '18.00', 'igv': 339.33, 'total': 2224.5,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</si>
  <si>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PAGOS DIGITALES SEGUN CONTRAT</t>
  </si>
  <si>
    <t>[{'id_producto': '1', 'codigo_producto': '885', 'nom_producto': 'COMISIÃ“N VAOPE SEGUN CONTRATO', 'categoria_producto': 'consu', 'cantidad': '1.0', 'valor_unitario': 2021.19, 'precio_unitario': 2385.0, 'descuento': 0.0, 'subtotal': 2021.19, 'porcentaje_de_igv': '18.00', 'igv': 363.81, 'total': 2385.0,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</si>
  <si>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</t>
  </si>
  <si>
    <t>[{'id_producto': '1', 'codigo_producto': '992', 'nom_producto': 'COMISION CORTESIA - DELIVERY', 'categoria_producto': 'consu', 'cantidad': '1.0', 'valor_unitario': 32.0, 'precio_unitario': 37.76, 'descuento': 0.0, 'subtotal': 32.0, 'porcentaje_de_igv': '18.00', 'igv': 5.76, 'total': 37.76,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</si>
  <si>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'966', 'nom_producto': 'PERSONAL - PUBLICIDAD',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</si>
  <si>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PUBLICIDAD</t>
  </si>
  <si>
    <t>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</si>
  <si>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FEE ADMINISTRATIVO_Fee administrativo por adelanto</t>
  </si>
  <si>
    <t>[{'id_producto': '1', 'codigo_producto': '965', 'nom_producto': 'ENTRADAS IMPRESAS - ORDEN DE VENTA NÂ°529\n * CORAZÃ“N SERRANO Y DINA PAUCAR EN REAL HOTEL HUASCARÃN EN HUARAZ/ 500 TICKETS PREMIUM PLATINUM/ 500 TICKETS PREMIUM VIP (S/1,097.40)', 'categoria_producto': 'consu', 'cantidad': '1.0', 'valor_unitario': 930.0, 'precio_unitario': 1097.4, 'descuento': 0.0, 'subtotal': 930.0, 'porcentaje_de_igv': '18.00', 'igv': 167.4, 'total': 1097.4,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</si>
  <si>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NÂ°529
 * CORAZÃ“N SERRANO Y DINA PAUCAR EN REAL HOTEL HUASCARÃN EN HUARAZ/ 500 TICKETS PREMIUM PLATINUM/ 500 TICKETS PREMIUM VIP (S/1,097.40)</t>
  </si>
  <si>
    <t>[{'id_producto': '1', 'codigo_producto': '877', 'nom_producto': 'COMISIÃ“N PAGOS DIGITALES SEGÃšN CONTRATO', 'categoria_producto': 'consu', 'cantidad': '1.0', 'valor_unitario': 25.85, 'precio_unitario': 30.5, 'descuento': 0.0, 'subtotal': 25.85, 'porcentaje_de_igv': '17.99', 'igv': 4.65, 'total': 30.5,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</si>
  <si>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20.34, 'precio_unitario': 24.0, 'descuento': 0.0, 'subtotal': 20.34, 'porcentaje_de_igv': '17.99', 'igv': 3.66, 'total': 24.0,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</si>
  <si>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24.75, 'precio_unitario': 29.2, 'descuento': 0.0, 'subtotal': 24.75, 'porcentaje_de_igv': '17.98', 'igv': 4.45, 'total': 29.2,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</si>
  <si>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</si>
  <si>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'964', 'nom_producto': 'ENTRADAS IMPRESAS - ORDEN DE VENTA NÂ°575\n * La Ãšnica Tropical en ColÃ¡n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</si>
  <si>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NÂ°575
 * La Ãšnica Tropical en ColÃ¡n / 1,000 BRAZALETES VIP (S/708.00)</t>
  </si>
  <si>
    <t>[{'id_producto': '1', 'codigo_producto': '877', 'nom_producto': 'COMISIÃ“N PAGOS DIGITALES SEGÃšN CONTRATO', 'categoria_producto': 'consu', 'cantidad': '1.0', 'valor_unitario': 1264.92, 'precio_unitario': 1492.6, 'descuento': 0.0, 'subtotal': 1264.92, 'porcentaje_de_igv': '18.00', 'igv': 227.68, 'total': 1492.6,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</si>
  <si>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896.27, 'precio_unitario': 1057.6, 'descuento': 0.0, 'subtotal': 896.27, 'porcentaje_de_igv': '18.00', 'igv': 161.33, 'total': 1057.6,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</si>
  <si>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4.95, 'precio_unitario': 5.84, 'descuento': 0.0, 'subtotal': 4.95, 'porcentaje_de_igv': '17.98', 'igv': 0.89, 'total': 5.84, 'moneda': '1', 'tipo_de_cambio': '', 'id_estado': 'not_paid', 'nombre_estado': 'Sin pagar', 'evento': {'id_evento': '', 'nom_evento': '', 'Fecha_hora_ini_event': '', 'Fecha_hora_fin_event': '', 'id_organizador': '', 'nom_organizador': 'RAMOS CRUZ MILAGRITOS',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</si>
  <si>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'RAMOS CRUZ MILAGRITOS',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</si>
  <si>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'963', 'nom_producto': 'COMISION CORTESIA 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</si>
  <si>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COMISION CORTESIA </t>
  </si>
  <si>
    <t>[{'id_producto': '1', 'codigo_producto': '962', 'nom_producto': 'ENTRADAS IMPRESAS - ORDEN DE VENTA NÂ°574\n * La Ãšnica Tropical en Talara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</si>
  <si>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NÂ°574
 * La Ãšnica Tropical en Talara / 1,000 BRAZALETES VIP (S/708.00)</t>
  </si>
  <si>
    <t>[{'id_producto': '1', 'codigo_producto': '877', 'nom_producto': 'COMISIÃ“N PAGOS DIGITALES SEGÃšN CONTRATO', 'categoria_producto': 'consu', 'cantidad': '1.0', 'valor_unitario': 1854.82, 'precio_unitario': 2188.69, 'descuento': 0.0, 'subtotal': 1854.82, 'porcentaje_de_igv': '18.00', 'igv': 333.87, 'total': 2188.69,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</si>
  <si>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1170.39, 'precio_unitario': 1381.06, 'descuento': 0.0, 'subtotal': 1170.39, 'porcentaje_de_igv': '18.00', 'igv': 210.67, 'total': 1381.06,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</si>
  <si>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138.18, 'precio_unitario': 163.05, 'descuento': 0.0, 'subtotal': 138.18, 'porcentaje_de_igv': '18.00', 'igv': 24.87, 'total': 163.05,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</si>
  <si>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132.97, 'precio_unitario': 156.9, 'descuento': 0.0, 'subtotal': 132.97, 'porcentaje_de_igv': '18.00', 'igv': 23.93, 'total': 156.9,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</si>
  <si>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'961', 'nom_producto': 'PERSONAL - ENVIO',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</si>
  <si>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PERSONAL - ENVIO</t>
  </si>
  <si>
    <t>[[{'codigo': 81, 'nom_distribucion': 'Impresos', 'sub_categoria': 'Otros', 'porcentaje': '100.00'}]]</t>
  </si>
  <si>
    <t>[{'id_producto': '1', 'codigo_producto': '960', 'nom_producto': 'ENTRADAS IMPRESAS FULL COLOR GENERAL -ARMONIA 10 Y PERSONAL DELIVERY', 'categoria_producto': 'consu', 'cantidad': '1.0', 'valor_unitario': 830.0, 'precio_unitario': 979.4, 'descuento': 0.0, 'subtotal': 830.0, 'porcentaje_de_igv': '18.00', 'igv': 149.4, 'total': 979.4, 'moneda': '1', 'tipo_de_cambio': '', 'id_estado': 'not_paid', 'nombre_estado': 'Sin pagar', 'evento': {'id_evento': '', 'nom_evento': '', 'Fecha_hora_ini_event': '', 'Fecha_hora_fin_event': '', 'id_organizador': '', 'nom_organizador': 'PERUVIAN PRODUCTIONS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</si>
  <si>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FULL COLOR GENERAL -ARMONIA 10 Y PERSONAL DELIVERY</t>
  </si>
  <si>
    <t>[{'id_producto': '1', 'codigo_producto': '877', 'nom_producto': 'COMISIÃ“N PAGOS DIGITALES SEGÃšN CONTRATO', 'categoria_producto': 'consu', 'cantidad': '1.0', 'valor_unitario': 24.56, 'precio_unitario': 28.98, 'descuento': 0.0, 'subtotal': 24.56, 'porcentaje_de_igv': '18.00', 'igv': 4.42, 'total': 28.98, 'moneda': '1', 'tipo_de_cambio': '', 'id_estado': 'not_paid', 'nombre_estado': 'Sin pagar', 'evento': {'id_evento': '', 'nom_evento': '', 'Fecha_hora_ini_event': '', 'Fecha_hora_fin_event': '', 'id_organizador': '', 'nom_organizador': 'JHON DANNY BERNABLE BERNABLE',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</si>
  <si>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26.45, 'precio_unitario': 31.21, 'descuento': 0.0, 'subtotal': 26.45, 'porcentaje_de_igv': '18.00', 'igv': 4.76, 'total': 31.21, 'moneda': '1', 'tipo_de_cambio': '', 'id_estado': 'not_paid', 'nombre_estado': 'Sin pagar', 'evento': {'id_evento': '', 'nom_evento': '', 'Fecha_hora_ini_event': '', 'Fecha_hora_fin_event': '', 'id_organizador': '', 'nom_organizador': 'JHON DANNY BERNABLE BERNABLE',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</si>
  <si>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117.97, 'precio_unitario': 139.2, 'descuento': 0.0, 'subtotal': 117.97, 'porcentaje_de_igv': '18.00', 'igv': 21.23, 'total': 139.2,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</si>
  <si>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</si>
  <si>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212.8, 'precio_unitario': 251.1, 'descuento': 0.0, 'subtotal': 212.8, 'porcentaje_de_igv': '18.00', 'igv': 38.3, 'total': 251.1, 'moneda': '1', 'tipo_de_cambio': '', 'id_estado': 'not_paid', 'nombre_estado': 'Sin pagar', 'evento': {'id_evento': '', 'nom_evento': '', 'Fecha_hora_ini_event': '', 'Fecha_hora_fin_event': '', 'id_organizador': '', 'nom_organizador': 'CHAMORRO AYALA ERIKA SOLEDAD',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</si>
  <si>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125.25, 'precio_unitario': 147.8, 'descuento': 0.0, 'subtotal': 125.25, 'porcentaje_de_igv': '18.00', 'igv': 22.55, 'total': 147.8, 'moneda': '1', 'tipo_de_cambio': '', 'id_estado': 'not_paid', 'nombre_estado': 'Sin pagar', 'evento': {'id_evento': '', 'nom_evento': '', 'Fecha_hora_ini_event': '', 'Fecha_hora_fin_event': '', 'id_organizador': '', 'nom_organizador': 'CHAMORRO AYALA ERIKA SOLEDAD',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</si>
  <si>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374.24, 'precio_unitario': 441.6, 'descuento': 0.0, 'subtotal': 374.24, 'porcentaje_de_igv': '18.00', 'igv': 67.36, 'total': 441.6,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</si>
  <si>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279.66, 'precio_unitario': 330.0, 'descuento': 0.0, 'subtotal': 279.66, 'porcentaje_de_igv': '18.00', 'igv': 50.34, 'total': 330.0,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</si>
  <si>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'959', 'nom_producto': 'PERSONAL - punto de venta',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'', 'nom_organizador': ' ALEJANDRA FLORES TICONA', 'tipo_organizador': ''}, 'id_vendedor': 2, 'nom_vendedor': 'SAMUEL CHUQUISTA', 'id_cuenta_analitica': 1106, 'nom_cuenta_analitica': '7012100 MercaderÃ­as-Venta Local-Terceros', 'distribucion_analitica': [[{'codigo': 63, 'nom_distribucion': 'Administrativo', 'sub_categoria': 'Delivery', 'porcentaje': '100.00'}]]}]</t>
  </si>
  <si>
    <t>PERSONAL - punto de venta</t>
  </si>
  <si>
    <t>[[{'codigo': 63, 'nom_distribucion': 'Administrativo', 'sub_categoria': 'Delivery', 'porcentaje': '100.00'}]]</t>
  </si>
  <si>
    <t xml:space="preserve"> ALEJANDRA FLORES TICONA</t>
  </si>
  <si>
    <t>[{'id_producto': '1', 'codigo_producto': '877', 'nom_producto': 'COMISIÃ“N PAGOS DIGITALES SEGÃšN CONTRATO', 'categoria_producto': 'consu', 'cantidad': '1.0', 'valor_unitario': 4.83, 'precio_unitario': 5.7, 'descuento': 0.0, 'subtotal': 4.83, 'porcentaje_de_igv': '18.01', 'igv': 0.87, 'total': 5.7, 'moneda': '1', 'tipo_de_cambio': '', 'id_estado': 'not_paid', 'nombre_estado': 'Sin pagar', 'evento': {'id_evento': '', 'nom_evento': '', 'Fecha_hora_ini_event': '', 'Fecha_hora_fin_event': '', 'id_organizador': '', 'nom_organizador': ' ALEJANDRA FLORES TICONA',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</si>
  <si>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35.55, 'precio_unitario': 41.95, 'descuento': 0.0, 'subtotal': 35.55, 'porcentaje_de_igv': '18.00', 'igv': 6.4, 'total': 41.95, 'moneda': '1', 'tipo_de_cambio': '', 'id_estado': 'not_paid', 'nombre_estado': 'Sin pagar', 'evento': {'id_evento': '', 'nom_evento': '', 'Fecha_hora_ini_event': '', 'Fecha_hora_fin_event': '', 'id_organizador': '', 'nom_organizador': ' ALEJANDRA FLORES TICONA',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</si>
  <si>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370.08, 'precio_unitario': 436.7, 'descuento': 0.0, 'subtotal': 370.08, 'porcentaje_de_igv': '18.00', 'igv': 66.62, 'total': 436.7, 'moneda': '1', 'tipo_de_cambio': '', 'id_estado': 'not_paid', 'nombre_estado': 'Sin pagar', 'evento': {'id_evento': '', 'nom_evento': '', 'Fecha_hora_ini_event': '', 'Fecha_hora_fin_event': '', 'id_organizador': '', 'nom_organizador': 'JORGE ANDRES RAMOS VILCAS',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</si>
  <si>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283.73, 'precio_unitario': 334.8, 'descuento': 0.0, 'subtotal': 283.73, 'porcentaje_de_igv': '18.00', 'igv': 51.07, 'total': 334.8, 'moneda': '1', 'tipo_de_cambio': '', 'id_estado': 'not_paid', 'nombre_estado': 'Sin pagar', 'evento': {'id_evento': '', 'nom_evento': '', 'Fecha_hora_ini_event': '', 'Fecha_hora_fin_event': '', 'id_organizador': '', 'nom_organizador': 'JORGE ANDRES RAMOS VILCAS',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</si>
  <si>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53.56, 'precio_unitario': 63.2, 'descuento': 0.0, 'subtotal': 53.56, 'porcentaje_de_igv': '18.00', 'igv': 9.64, 'total': 63.2, 'moneda': '1', 'tipo_de_cambio': '', 'id_estado': 'not_paid', 'nombre_estado': 'Sin pagar', 'evento': {'id_evento': '', 'nom_evento': '', 'Fecha_hora_ini_event': '', 'Fecha_hora_fin_event': '', 'id_organizador': '', 'nom_organizador': 'MOGROVEJO RAMOS ERWIN KERMER',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</si>
  <si>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34.75, 'precio_unitario': 41.0, 'descuento': 0.0, 'subtotal': 34.75, 'porcentaje_de_igv': '17.99', 'igv': 6.25, 'total': 41.0, 'moneda': '1', 'tipo_de_cambio': '', 'id_estado': 'not_paid', 'nombre_estado': 'Sin pagar', 'evento': {'id_evento': '', 'nom_evento': '', 'Fecha_hora_ini_event': '', 'Fecha_hora_fin_event': '', 'id_organizador': '', 'nom_organizador': 'MOGROVEJO RAMOS ERWIN KERMER',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</si>
  <si>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VAOPE SEGÃšN CONTRATO </t>
  </si>
  <si>
    <t>[{'id_producto': '1', 'codigo_producto': '949', 'nom_producto': 'COMISION CORTESIA - pauta publicitaria', 'categoria_producto': 'consu', 'cantidad': '1.0', 'valor_unitario': 483.73, 'precio_unitario': 570.8, 'descuento': 0.0, 'subtotal': 483.73, 'porcentaje_de_igv': '18.00', 'igv': 87.07, 'total': 570.8,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</si>
  <si>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 - pauta publicitaria</t>
  </si>
  <si>
    <t>[{'id_producto': '1', 'codigo_producto': '958', 'nom_producto': 'ENTRADAS IMPRESAS - ORDEN DE VENTA NÂ°563\n * 2do Aniversario de Suu Rabanal con La Ãšnica Tropical, Tony Rosado y mÃ¡s en la Explanada de Agua Dulce / 4,000 FULL COLOR GENERAL / 2,000 BRAZALETES VIP / 500 BRAZALETES PLATINUM (S/3,658.00)', 'categoria_producto': 'consu', 'cantidad': '1.0', 'valor_unitario': 3100.0, 'precio_unitario': 3658.0, 'descuento': 0.0, 'subtotal': 3100.0, 'porcentaje_de_igv': '18.00', 'igv': 558.0, 'total': 3658.0,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</si>
  <si>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NÂ°563
 * 2do Aniversario de Suu Rabanal con La Ãšnica Tropical, Tony Rosado y mÃ¡s en la Explanada de Agua Dulce / 4,000 FULL COLOR GENERAL / 2,000 BRAZALETES VIP / 500 BRAZALETES PLATINUM (S/3,658.00)</t>
  </si>
  <si>
    <t>[{'id_producto': '1', 'codigo_producto': '877', 'nom_producto': 'COMISIÃ“N PAGOS DIGITALES SEGÃšN CONTRATO', 'categoria_producto': 'consu', 'cantidad': '1.0', 'valor_unitario': 5235.68, 'precio_unitario': 6178.1, 'descuento': 0.0, 'subtotal': 5235.68, 'porcentaje_de_igv': '18.00', 'igv': 942.42, 'total': 6178.1,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</si>
  <si>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4611.78, 'precio_unitario': 5441.9, 'descuento': 0.0, 'subtotal': 4611.78, 'porcentaje_de_igv': '18.00', 'igv': 830.12, 'total': 5441.9,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</si>
  <si>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'955',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</si>
  <si>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PUBLICIDAD - FACEBOOK</t>
  </si>
  <si>
    <t>[{'id_producto': '1', 'codigo_producto': '957', 'nom_producto': 'COMISION CORTESIA - punto de venta ', 'categoria_producto': 'consu',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</si>
  <si>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COMISION CORTESIA - punto de venta </t>
  </si>
  <si>
    <t>[{'id_producto': '1', 'codigo_producto': '956', 'nom_producto': 'PERSONAL - Servicio de 01 validador (Inc IGV)',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</si>
  <si>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Servicio de 01 validador (Inc IGV)</t>
  </si>
  <si>
    <t>[{'id_producto': '1', 'codigo_producto': '877', 'nom_producto': 'COMISIÃ“N PAGOS DIGITALES SEGÃšN CONTRATO', 'categoria_producto': 'consu', 'cantidad': '1.0', 'valor_unitario': 1608.31, 'precio_unitario': 1897.8, 'descuento': 0.0, 'subtotal': 1608.31, 'porcentaje_de_igv': '18.00', 'igv': 289.49, 'total': 1897.8,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</si>
  <si>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991.19, 'precio_unitario': 1169.6, 'descuento': 0.0, 'subtotal': 991.19, 'porcentaje_de_igv': '18.00', 'igv': 178.41, 'total': 1169.6,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</si>
  <si>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418.22, 'precio_unitario': 493.5, 'descuento': 0.0, 'subtotal': 418.22, 'porcentaje_de_igv': '18.00', 'igv': 75.28, 'total': 493.5,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</si>
  <si>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250.51, 'precio_unitario': 295.6, 'descuento': 0.0, 'subtotal': 250.51, 'porcentaje_de_igv': '18.00', 'igv': 45.09, 'total': 295.6,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</si>
  <si>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'954', 'nom_producto': 'PERSONAL - PAUTA PUBLICITARIA- CORTESIA', 'categoria_producto': 'consu', 'cantidad': '1.0', 'valor_unitario': 438.73, 'precio_unitario': 517.7, 'descuento': 0.0, 'subtotal': 438.73, 'porcentaje_de_igv': '18.00', 'igv': 78.97, 'total': 517.7,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</si>
  <si>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PUBLICITARIA- CORTESIA</t>
  </si>
  <si>
    <t>[{'id_producto': '1', 'codigo_producto': '877', 'nom_producto': 'COMISIÃ“N PAGOS DIGITALES SEGÃšN CONTRATO', 'categoria_producto': 'consu', 'cantidad': '1.0', 'valor_unitario': 139.75, 'precio_unitario': 164.9, 'descuento': 0.0, 'subtotal': 139.75, 'porcentaje_de_igv': '18.00', 'igv': 25.15, 'total': 164.9,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</si>
  <si>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79.15, 'precio_unitario': 93.4, 'descuento': 0.0, 'subtotal': 79.15, 'porcentaje_de_igv': '18.00', 'igv': 14.25, 'total': 93.4,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</si>
  <si>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'953', 'nom_producto': 'COMISION CORTESIA - PAUTA PUBLICITARIA- FACEBOOK- PUNTO VENTA ', 'categoria_producto': 'consu', 'cantidad': '1.0', 'valor_unitario': 447.73, 'precio_unitario': 528.32, 'descuento': 0.0, 'subtotal': 447.73, 'porcentaje_de_igv': '18.00', 'igv': 80.59, 'total': 528.32,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</si>
  <si>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COMISION CORTESIA - PAUTA PUBLICITARIA- FACEBOOK- PUNTO VENTA </t>
  </si>
  <si>
    <t>[{'id_producto': '1', 'codigo_producto': '952', 'nom_producto': 'PERSONAL - Servicio de 01 validador (Inc IGV) 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</si>
  <si>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 xml:space="preserve">PERSONAL - Servicio de 01 validador (Inc IGV) </t>
  </si>
  <si>
    <t>[{'id_producto': '1', 'codigo_producto': '877', 'nom_producto': 'COMISIÃ“N PAGOS DIGITALES SEGÃšN CONTRATO', 'categoria_producto': 'consu', 'cantidad': '1.0', 'valor_unitario': 2377.37, 'precio_unitario': 2805.3, 'descuento': 0.0, 'subtotal': 2377.37, 'porcentaje_de_igv': '18.00', 'igv': 427.93, 'total': 2805.3,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</si>
  <si>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1467.71, 'precio_unitario': 1731.9, 'descuento': 0.0, 'subtotal': 1467.71, 'porcentaje_de_igv': '18.00', 'igv': 264.19, 'total': 1731.9,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</si>
  <si>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'951', 'nom_producto': 'PERSONAL - PAUTA PUBLICITARIA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</si>
  <si>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PERSONAL - PAUTA PUBLICITARIA - FACEBOOK</t>
  </si>
  <si>
    <t>[{'id_producto': '1', 'codigo_producto': '877', 'nom_producto': 'COMISIÃ“N PAGOS DIGITALES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</si>
  <si>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304.83, 'precio_unitario': 359.7, 'descuento': 0.0, 'subtotal': 304.83, 'porcentaje_de_igv': '18.00', 'igv': 54.87, 'total': 359.7,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</si>
  <si>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'950', 'nom_producto': 'PERSONAL - PUBLICIDAD - FACEBOOK 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</si>
  <si>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 xml:space="preserve">PERSONAL - PUBLICIDAD - FACEBOOK 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</si>
  <si>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</si>
  <si>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</si>
  <si>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Servicio de 02 validadores (Inc IGV)</t>
  </si>
  <si>
    <t>[{'id_producto': '1', 'codigo_producto': '877', 'nom_producto': 'COMISIÃ“N PAGOS DIGITALES SEGÃšN CONTRATO', 'categoria_producto': 'consu', 'cantidad': '1.0', 'valor_unitario': 3637.63, 'precio_unitario': 4292.4, 'descuento': 0.0, 'subtotal': 3637.63, 'porcentaje_de_igv': '18.00', 'igv': 654.77, 'total': 4292.4,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</si>
  <si>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2347.03, 'precio_unitario': 2769.5, 'descuento': 0.0, 'subtotal': 2347.03, 'porcentaje_de_igv': '18.00', 'igv': 422.47, 'total': 2769.5,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</si>
  <si>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'949', 'nom_producto': 'COMISION CORTESIA - pauta publicitaria',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</si>
  <si>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'948', 'nom_producto': 'ENTRADAS IMPRESAS - *ORDEN DE VENTA NÂ°564*\n * La Ãšnica Tropical en el Padrino Club de Jicamarca / 1,000 FULL COLOR GENERAL / 1,000 BRAZALETES VIP / 500 FULL COLOR NIÃ‘OS',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</si>
  <si>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*ORDEN DE VENTA NÂ°564*
 * La Ãšnica Tropical en el Padrino Club de Jicamarca / 1,000 FULL COLOR GENERAL / 1,000 BRAZALETES VIP / 500 FULL COLOR NIÃ‘OS</t>
  </si>
  <si>
    <t>[{'id_producto': '1', 'codigo_producto': '877', 'nom_producto': 'COMISIÃ“N PAGOS DIGITALES SEGÃšN CONTRATO', 'categoria_producto': 'consu', 'cantidad': '1.0', 'valor_unitario': 872.71, 'precio_unitario': 1029.8, 'descuento': 0.0, 'subtotal': 872.71, 'porcentaje_de_igv': '18.00', 'igv': 157.09, 'total': 1029.8,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</si>
  <si>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</si>
  <si>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</si>
  <si>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'882', 'nom_producto': 'PERSONAL - Servicio de 05 validadores (Inc IGV)', 'categoria_producto': 'consu', 'cantidad': '1.0', 'valor_unitario': 750.0, 'precio_unitario': 885.0, 'descuento': 0.0, 'subtotal': 750.0, 'porcentaje_de_igv': '18.00', 'igv': 135.0, 'total': 885.0,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</si>
  <si>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Servicio de 05 validadores (Inc IGV)</t>
  </si>
  <si>
    <t>[{'id_producto': '1', 'codigo_producto': '947', 'nom_producto': 'ENTRADAS IMPRESAS - ORDEN DE VENTA NÂ°557\n PRIMER PISCINAZO 2025 CON EL AGUA MÃS RICA DEL PERÃš / 3,000 FULL COLOR GENERAL ADULTO / 500 FULL COLOR GENERAL NIÃ‘OS (S/1,858.50)', 'categoria_producto': 'consu', 'cantidad': '1.0', 'valor_unitario': 1575.0, 'precio_unitario': 1858.5, 'descuento': 0.0, 'subtotal': 1575.0, 'porcentaje_de_igv': '18.00', 'igv': 283.5, 'total': 1858.5,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</si>
  <si>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NÂ°557
 PRIMER PISCINAZO 2025 CON EL AGUA MÃS RICA DEL PERÃš / 3,000 FULL COLOR GENERAL ADULTO / 500 FULL COLOR GENERAL NIÃ‘OS (S/1,858.50)</t>
  </si>
  <si>
    <t>[{'id_producto': '1', 'codigo_producto': '877', 'nom_producto': 'COMISIÃ“N PAGOS DIGITALES SEGÃšN CONTRATO', 'categoria_producto': 'consu', 'cantidad': '1.0', 'valor_unitario': 3585.68, 'precio_unitario': 4231.1, 'descuento': 0.0, 'subtotal': 3585.68, 'porcentaje_de_igv': '18.00', 'igv': 645.42, 'total': 4231.1,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</si>
  <si>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2103.31, 'precio_unitario': 2481.9, 'descuento': 0.0, 'subtotal': 2103.31, 'porcentaje_de_igv': '18.00', 'igv': 378.59, 'total': 2481.9,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</si>
  <si>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16.81, 'precio_unitario': 19.84, 'descuento': 0.0, 'subtotal': 16.81, 'porcentaje_de_igv': '18.02', 'igv': 3.03, 'total': 19.84,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</si>
  <si>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16.0, 'precio_unitario': 18.88, 'descuento': 0.0, 'subtotal': 16.0, 'porcentaje_de_igv': '18.00', 'igv': 2.88, 'total': 18.88,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</si>
  <si>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11.44, 'precio_unitario': 13.5, 'descuento': 0.0, 'subtotal': 11.44, 'porcentaje_de_igv': '18.01', 'igv': 2.06, 'total': 13.5,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</si>
  <si>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6.36, 'precio_unitario': 7.5, 'descuento': 0.0, 'subtotal': 6.36, 'porcentaje_de_igv': '17.92', 'igv': 1.14, 'total': 7.5,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</si>
  <si>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41.1, 'precio_unitario': 48.5, 'descuento': 0.0, 'subtotal': 41.1, 'porcentaje_de_igv': '18.00', 'igv': 7.4, 'total': 48.5,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</si>
  <si>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27.46, 'precio_unitario': 32.4, 'descuento': 0.0, 'subtotal': 27.46, 'porcentaje_de_igv': '17.99', 'igv': 4.94, 'total': 32.4,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</si>
  <si>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34.32, 'precio_unitario': 40.5, 'descuento': 0.0, 'subtotal': 34.32, 'porcentaje_de_igv': '18.01', 'igv': 6.18, 'total': 40.5, 'moneda': '1', 'tipo_de_cambio': '', 'id_estado': 'not_paid', 'nombre_estado': 'Sin pagar', 'evento': {'id_evento': '', 'nom_evento': '', 'Fecha_hora_ini_event': '', 'Fecha_hora_fin_event': '', 'id_organizador': '', 'nom_organizador': 'MARIA ALICIA CORONADO MALUQUIS',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</si>
  <si>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19.07, 'precio_unitario': 22.5, 'descuento': 0.0, 'subtotal': 19.07, 'porcentaje_de_igv': '17.99', 'igv': 3.43, 'total': 22.5, 'moneda': '1', 'tipo_de_cambio': '', 'id_estado': 'not_paid', 'nombre_estado': 'Sin pagar', 'evento': {'id_evento': '', 'nom_evento': '', 'Fecha_hora_ini_event': '', 'Fecha_hora_fin_event': '', 'id_organizador': '', 'nom_organizador': 'MARIA ALICIA CORONADO MALUQUIS',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</si>
  <si>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240.25, 'precio_unitario': 283.5, 'descuento': 0.0, 'subtotal': 240.25, 'porcentaje_de_igv': '18.00', 'igv': 43.25, 'total': 283.5, 'moneda': '1', 'tipo_de_cambio': '', 'id_estado': 'not_paid', 'nombre_estado': 'Sin pagar', 'evento': {'id_evento': '', 'nom_evento': '', 'Fecha_hora_ini_event': '', 'Fecha_hora_fin_event': '', 'id_organizador': '', 'nom_organizador': 'ORLANDO ALDAIR POMACAJA CARVO',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</si>
  <si>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133.47, 'precio_unitario': 157.5, 'descuento': 0.0, 'subtotal': 133.47, 'porcentaje_de_igv': '18.00', 'igv': 24.03, 'total': 157.5, 'moneda': '1', 'tipo_de_cambio': '', 'id_estado': 'not_paid', 'nombre_estado': 'Sin pagar', 'evento': {'id_evento': '', 'nom_evento': '', 'Fecha_hora_ini_event': '', 'Fecha_hora_fin_event': '', 'id_organizador': '', 'nom_organizador': 'ORLANDO ALDAIR POMACAJA CARVO',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</si>
  <si>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1346.2, 'precio_unitario': 1588.52, 'descuento': 0.0, 'subtotal': 1346.2, 'porcentaje_de_igv': '18.00', 'igv': 242.32, 'total': 1588.52, 'moneda': '1', 'tipo_de_cambio': '', 'id_estado': 'not_paid', 'nombre_estado': 'Sin pagar', 'evento': {'id_evento': '', 'nom_evento': '', 'Fecha_hora_ini_event': '', 'Fecha_hora_fin_event': '', 'id_organizador': '', 'nom_organizador': 'NAHOMY TRILCE CHAMORRO TORRES',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</si>
  <si>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824.87, 'precio_unitario': 973.35, 'descuento': 0.0, 'subtotal': 824.87, 'porcentaje_de_igv': '18.00', 'igv': 148.48, 'total': 973.35, 'moneda': '1', 'tipo_de_cambio': '', 'id_estado': 'not_paid', 'nombre_estado': 'Sin pagar', 'evento': {'id_evento': '', 'nom_evento': '', 'Fecha_hora_ini_event': '', 'Fecha_hora_fin_event': '', 'id_organizador': '', 'nom_organizador': 'NAHOMY TRILCE CHAMORRO TORRES',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</si>
  <si>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274.92, 'precio_unitario': 324.4, 'descuento': 0.0, 'subtotal': 274.92, 'porcentaje_de_igv': '18.00', 'igv': 49.48, 'total': 324.4, 'moneda': '1', 'tipo_de_cambio': '', 'id_estado': 'not_paid', 'nombre_estado': 'Sin pagar', 'evento': {'id_evento': '', 'nom_evento': '', 'Fecha_hora_ini_event': '', 'Fecha_hora_fin_event': '', 'id_organizador': '', 'nom_organizador': 'EMPRESA PROMOTORA DE EVENTOS MAGDA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</si>
  <si>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159.29, 'precio_unitario': 187.96, 'descuento': 0.0, 'subtotal': 159.29, 'porcentaje_de_igv': '18.00', 'igv': 28.67, 'total': 187.96, 'moneda': '1', 'tipo_de_cambio': '', 'id_estado': 'not_paid', 'nombre_estado': 'Sin pagar', 'evento': {'id_evento': '', 'nom_evento': '', 'Fecha_hora_ini_event': '', 'Fecha_hora_fin_event': '', 'id_organizador': '', 'nom_organizador': 'EMPRESA PROMOTORA DE EVENTOS MAGDA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</si>
  <si>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'', 'nom_organizador': 'JOHEL EDWIN RICALDI ARIAS',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</si>
  <si>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95.97, 'precio_unitario': 113.24, 'descuento': 0.0, 'subtotal': 95.97, 'porcentaje_de_igv': '18.00', 'igv': 17.27, 'total': 113.24, 'moneda': '1', 'tipo_de_cambio': '', 'id_estado': 'not_paid', 'nombre_estado': 'Sin pagar', 'evento': {'id_evento': '', 'nom_evento': '', 'Fecha_hora_ini_event': '', 'Fecha_hora_fin_event': '', 'id_organizador': '', 'nom_organizador': 'JOHEL EDWIN RICALDI ARIAS',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</si>
  <si>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967.12, 'precio_unitario': 1141.2, 'descuento': 0.0, 'subtotal': 967.12, 'porcentaje_de_igv': '18.00', 'igv': 174.08, 'total': 1141.2, 'moneda': '1', 'tipo_de_cambio': '', 'id_estado': 'not_paid', 'nombre_estado': 'Sin pagar', 'evento': {'id_evento': '', 'nom_evento': '', 'Fecha_hora_ini_event': '', 'Fecha_hora_fin_event': '', 'id_organizador': '', 'nom_organizador': '3A BUSINESS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</si>
  <si>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777.2, 'precio_unitario': 917.1, 'descuento': 0.0, 'subtotal': 777.2, 'porcentaje_de_igv': '18.00', 'igv': 139.9, 'total': 917.1, 'moneda': '1', 'tipo_de_cambio': '', 'id_estado': 'not_paid', 'nombre_estado': 'Sin pagar', 'evento': {'id_evento': '', 'nom_evento': '', 'Fecha_hora_ini_event': '', 'Fecha_hora_fin_event': '', 'id_organizador': '', 'nom_organizador': '3A BUSINESS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</si>
  <si>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'JC SAN MARTIN EN SU SALSA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</si>
  <si>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276.53, 'precio_unitario': 326.3, 'descuento': 0.0, 'subtotal': 276.53, 'porcentaje_de_igv': '18.00', 'igv': 49.77, 'total': 326.3, 'moneda': '1', 'tipo_de_cambio': '', 'id_estado': 'not_paid', 'nombre_estado': 'Sin pagar', 'evento': {'id_evento': '', 'nom_evento': '', 'Fecha_hora_ini_event': '', 'Fecha_hora_fin_event': '', 'id_organizador': '', 'nom_organizador': 'JC SAN MARTIN EN SU SALSA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</si>
  <si>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177.63, 'precio_unitario': 209.6, 'descuento': 0.0, 'subtotal': 177.63, 'porcentaje_de_igv': '18.00', 'igv': 31.97, 'total': 209.6, 'moneda': '1', 'tipo_de_cambio': '', 'id_estado': 'not_paid', 'nombre_estado': 'Sin pagar', 'evento': {'id_evento': '', 'nom_evento': '', 'Fecha_hora_ini_event': '', 'Fecha_hora_fin_event': '', 'id_organizador': '', 'nom_organizador': 'JC SAN MARTIN EN SU SALSA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</si>
  <si>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'946', 'nom_producto': 'ENTRADAS IMPRESAS FULL COLOR GENERALARMONIA 10 EN YAPATERA 22 DE ENE Y HUAMACHUCO 25 DE ENE, BRAZALETES VIP Y PERSONAL DELIVERY', 'categoria_producto': 'consu', 'cantidad': '1.0', 'valor_unitario': 2080.0, 'precio_unitario': 2454.4, 'descuento': 0.0, 'subtotal': 2080.0, 'porcentaje_de_igv': '18.00', 'igv': 374.4, 'total': 2454.4, 'moneda': '1', 'tipo_de_cambio': '', 'id_estado': 'not_paid', 'nombre_estado': 'Sin pagar', 'evento': {'id_evento': '', 'nom_evento': '', 'Fecha_hora_ini_event': '', 'Fecha_hora_fin_event': '', 'id_organizador': '', 'nom_organizador': 'PERUVIAN PRODUCTIONS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</si>
  <si>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FULL COLOR GENERALARMONIA 10 EN YAPATERA 22 DE ENE Y HUAMACHUCO 25 DE ENE, BRAZALETES VIP Y PERSONAL DELIVERY</t>
  </si>
  <si>
    <t>[{'id_producto': '1', 'codigo_producto': '945', 'nom_producto': 'ENTRADAS IMPRESAS FULL COLOR GENERAL -CORAZÃ“N SERRANO CHANCAY - 26/01, BRAZALETES VIP Y PERSONAL DELIVERY 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</si>
  <si>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FULL COLOR GENERAL -CORAZÃ“N SERRANO CHANCAY - 26/01, BRAZALETES VIP Y PERSONAL DELIVERY </t>
  </si>
  <si>
    <t>[{'id_producto': '1', 'codigo_producto': '944', 'nom_producto': 'ENTRADAS IMPRESAS FULL COLOR GENERAL -CORAZÃ“N SERRANO YAPATERA - 24/01 Y PERSONAL DELIVERY', 'categoria_producto': 'consu', 'cantidad': '1.0', 'valor_unitario': 910.0, 'precio_unitario': 1073.8, 'descuento': 0.0, 'subtotal': 910.0, 'porcentaje_de_igv': '18.00', 'igv': 163.8, 'total': 1073.8,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</si>
  <si>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FULL COLOR GENERAL -CORAZÃ“N SERRANO YAPATERA - 24/01 Y PERSONAL DELIVERY</t>
  </si>
  <si>
    <t>[{'id_producto': '1', 'codigo_producto': '940', 'nom_producto': 'COMISIÃ“N PAGOS DIGITALES SEGUN CONTRATO - EULALIA PEREZ', 'categoria_producto': 'consu', 'cantidad': '1.0', 'valor_unitario': 1181.29, 'precio_unitario': 1393.92, 'descuento': 0.0, 'subtotal': 1181.29, 'porcentaje_de_igv': '18.00', 'igv': 212.63, 'total': 1393.92,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</si>
  <si>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'939', 'nom_producto': 'COMISIÃ“N VAOPE SEGUN CONTRATO - EULALIA PEREZ', 'categoria_producto': 'consu', 'cantidad': '1.0', 'valor_unitario': 1028.46, 'precio_unitario': 1213.58, 'descuento': 0.0, 'subtotal': 1028.46, 'porcentaje_de_igv': '18.00', 'igv': 185.12, 'total': 1213.58,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</si>
  <si>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 - EULALIA PEREZ</t>
  </si>
  <si>
    <t>[{'id_producto': '1', 'codigo_producto': '942', 'nom_producto': 'COMISIÃ“N PAGOS DIGITALES SEGUN CONTRATO - JULIO MACHA',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</si>
  <si>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PAGOS DIGITALES SEGUN CONTRATO - JULIO MACHA</t>
  </si>
  <si>
    <t>[{'id_producto': '1', 'codigo_producto': '937', 'nom_producto': 'COMISIÃ“N VAOPE SEGUN CONTRATO - JULIO MACHA',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</si>
  <si>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'936', 'nom_producto': 'COMISIÃ“N PAGOS DIGITALES SEGUN CONTRATO - YARIT ALANYA',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</si>
  <si>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'935', 'nom_producto': 'COMISIÃ“N VAOPE SEGUN CONTRATO - YARIT ALANYA',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</si>
  <si>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'934', 'nom_producto': 'COMISIÃ“N PAGOS DIGITALES SEGUN CONTRATO - PIERO MACHA', 'categoria_producto': 'consu', 'cantidad': '1.0', 'valor_unitario': 24.11, 'precio_unitario': 28.45, 'descuento': 0.0, 'subtotal': 24.11, 'porcentaje_de_igv': '18.00', 'igv': 4.34, 'total': 28.45,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</si>
  <si>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'943', 'nom_producto': 'COMISIÃ“N VAOPE SEGUN CONTRATO - PIERO MACHA ', 'categoria_producto': 'consu', 'cantidad': '1.0', 'valor_unitario': 20.99, 'precio_unitario': 24.77, 'descuento': 0.0, 'subtotal': 20.99, 'porcentaje_de_igv': '18.01', 'igv': 3.78, 'total': 24.77,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</si>
  <si>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VAOPE SEGUN CONTRATO - PIERO MACHA </t>
  </si>
  <si>
    <t>[{'id_producto': '1', 'codigo_producto': '940', 'nom_producto': 'COMISIÃ“N PAGOS DIGITALES SEGUN CONTRATO - EULALIA PEREZ', 'categoria_producto': 'consu', 'cantidad': '1.0', 'valor_unitario': 1029.36, 'precio_unitario': 1214.64, 'descuento': 0.0, 'subtotal': 1029.36, 'porcentaje_de_igv': '18.00', 'igv': 185.28, 'total': 1214.64,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</si>
  <si>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'939', 'nom_producto': 'COMISIÃ“N VAOPE SEGUN CONTRATO - EULALIA PEREZ', 'categoria_producto': 'consu', 'cantidad': '1.0', 'valor_unitario': 886.52, 'precio_unitario': 1046.09, 'descuento': 0.0, 'subtotal': 886.52, 'porcentaje_de_igv': '18.00', 'igv': 159.57, 'total': 1046.09,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</si>
  <si>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'942', 'nom_producto': 'COMISIÃ“N PAGOS DIGITALES SEGUN CONTRATO - JULIO MACHA',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</si>
  <si>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'937', 'nom_producto': 'COMISIÃ“N VAOPE SEGUN CONTRATO - JULIO MACHA',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</si>
  <si>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'941', 'nom_producto': 'COMISIÃ“N PAGOS DIGITALES SEGUN CONTRATO - YARIT ALANYA 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</si>
  <si>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PAGOS DIGITALES SEGUN CONTRATO - YARIT ALANYA </t>
  </si>
  <si>
    <t>[{'id_producto': '1', 'codigo_producto': '935', 'nom_producto': 'COMISIÃ“N VAOPE SEGUN CONTRATO - YARIT ALANYA',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</si>
  <si>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'934', 'nom_producto': 'COMISIÃ“N PAGOS DIGITALES SEGUN CONTRATO - PIERO MACHA', 'categoria_producto': 'consu', 'cantidad': '1.0', 'valor_unitario': 21.01, 'precio_unitario': 24.79, 'descuento': 0.0, 'subtotal': 21.01, 'porcentaje_de_igv': '17.99', 'igv': 3.78, 'total': 24.79,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</si>
  <si>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'933', 'nom_producto': 'COMISIÃ“N VAOPE SEGUN CONTRATO - PIERO MACHA', 'categoria_producto': 'consu', 'cantidad': '1.0', 'valor_unitario': 18.09, 'precio_unitario': 21.35, 'descuento': 0.0, 'subtotal': 18.09, 'porcentaje_de_igv': '18.02', 'igv': 3.26, 'total': 21.35,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</si>
  <si>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'940', 'nom_producto': 'COMISIÃ“N PAGOS DIGITALES SEGUN CONTRATO - EULALIA PEREZ', 'categoria_producto': 'consu', 'cantidad': '1.0', 'valor_unitario': 293.38, 'precio_unitario': 346.19, 'descuento': 0.0, 'subtotal': 293.38, 'porcentaje_de_igv': '18.00', 'igv': 52.81, 'total': 346.19,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</si>
  <si>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'939', 'nom_producto': 'COMISIÃ“N VAOPE SEGUN CONTRATO - EULALIA PEREZ', 'categoria_producto': 'consu', 'cantidad': '1.0', 'valor_unitario': 248.53, 'precio_unitario': 293.26, 'descuento': 0.0, 'subtotal': 248.53, 'porcentaje_de_igv': '18.00', 'igv': 44.73, 'total': 293.26,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</si>
  <si>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'938', 'nom_producto': 'COMISIÃ“N PAGOS DIGITALES SEGUN CONTRATO - JULIO MACHA 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</si>
  <si>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'937', 'nom_producto': 'COMISIÃ“N VAOPE SEGUN CONTRATO - JULIO MACHA',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</si>
  <si>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'936', 'nom_producto': 'COMISIÃ“N PAGOS DIGITALES SEGUN CONTRATO - YARIT ALANYA',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</si>
  <si>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'935', 'nom_producto': 'COMISIÃ“N VAOPE SEGUN CONTRATO - YARIT ALANYA',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</si>
  <si>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'934', 'nom_producto': 'COMISIÃ“N PAGOS DIGITALES SEGUN CONTRATO - PIERO MACHA', 'categoria_producto': 'consu', 'cantidad': '1.0', 'valor_unitario': 5.99, 'precio_unitario': 7.07, 'descuento': 0.0, 'subtotal': 5.99, 'porcentaje_de_igv': '18.03', 'igv': 1.08, 'total': 7.07,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</si>
  <si>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'933', 'nom_producto': 'COMISIÃ“N VAOPE SEGUN CONTRATO - PIERO MACHA', 'categoria_producto': 'consu', 'cantidad': '1.0', 'valor_unitario': 5.07, 'precio_unitario': 5.98, 'descuento': 0.0, 'subtotal': 5.07, 'porcentaje_de_igv': '17.95', 'igv': 0.91, 'total': 5.98,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</si>
  <si>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25.35, 'precio_unitario': 29.91, 'descuento': 0.0, 'subtotal': 25.35, 'porcentaje_de_igv': '17.99', 'igv': 4.56, 'total': 29.91,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</si>
  <si>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'932', 'nom_producto': 'FEE ADMINISTRATIVO - Fee por adelanto a agua marina 2 (Inc IGV) 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</si>
  <si>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 xml:space="preserve">FEE ADMINISTRATIVO - Fee por adelanto a agua marina 2 (Inc IGV) </t>
  </si>
  <si>
    <t>[{'id_producto': '1', 'codigo_producto': '931', 'nom_producto': 'FEE ADMINISTRATIVO - Fee por adelanto a agua marina (Inc IGV)',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</si>
  <si>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FEE ADMINISTRATIVO - Fee por adelanto a agua marina (Inc IGV)</t>
  </si>
  <si>
    <t>[{'id_producto': '1', 'codigo_producto': '877', 'nom_producto': 'COMISIÃ“N PAGOS DIGITALES SEGÃšN CONTRATO', 'categoria_producto': 'consu', 'cantidad': '1.0', 'valor_unitario': 6508.39, 'precio_unitario': 7679.9, 'descuento': 0.0, 'subtotal': 6508.39, 'porcentaje_de_igv': '18.00', 'igv': 1171.51, 'total': 7679.9,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</si>
  <si>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5640.85, 'precio_unitario': 6656.2, 'descuento': 0.0, 'subtotal': 5640.85, 'porcentaje_de_igv': '18.00', 'igv': 1015.35, 'total': 6656.2,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</si>
  <si>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170.0, 'precio_unitario': 200.6, 'descuento': 0.0, 'subtotal': 170.0, 'porcentaje_de_igv': '18.00', 'igv': 30.6, 'total': 200.6,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</si>
  <si>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187.63, 'precio_unitario': 221.4, 'descuento': 0.0, 'subtotal': 187.63, 'porcentaje_de_igv': '18.00', 'igv': 33.77, 'total': 221.4,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</si>
  <si>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</si>
  <si>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400.93, 'precio_unitario': 473.1, 'descuento': 0.0, 'subtotal': 400.93, 'porcentaje_de_igv': '18.00', 'igv': 72.17, 'total': 473.1,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</si>
  <si>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289.32, 'precio_unitario': 341.4, 'descuento': 0.0, 'subtotal': 289.32, 'porcentaje_de_igv': '18.00', 'igv': 52.08, 'total': 341.4,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</si>
  <si>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106.95, 'precio_unitario': 126.2, 'descuento': 0.0, 'subtotal': 106.95, 'porcentaje_de_igv': '18.00', 'igv': 19.25, 'total': 126.2,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</si>
  <si>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66.69, 'precio_unitario': 78.7, 'descuento': 0.0, 'subtotal': 66.69, 'porcentaje_de_igv': '18.01', 'igv': 12.01, 'total': 78.7,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</si>
  <si>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</si>
  <si>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33.22, 'precio_unitario': 39.2, 'descuento': 0.0, 'subtotal': 33.22, 'porcentaje_de_igv': '18.00', 'igv': 5.98, 'total': 39.2,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</si>
  <si>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97.37, 'precio_unitario': 114.9, 'descuento': 0.0, 'subtotal': 97.37, 'porcentaje_de_igv': '18.00', 'igv': 17.53, 'total': 114.9, 'moneda': '1', 'tipo_de_cambio': '', 'id_estado': 'not_paid', 'nombre_estado': 'Sin pagar', 'evento': {'id_evento': '', 'nom_evento': '', 'Fecha_hora_ini_event': '', 'Fecha_hora_fin_event': '', 'id_organizador': '', 'nom_organizador': 'FENCO GORDILLO MAXIMO',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</si>
  <si>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59.07, 'precio_unitario': 69.7, 'descuento': 0.0, 'subtotal': 59.07, 'porcentaje_de_igv': '18.00', 'igv': 10.63, 'total': 69.7, 'moneda': '1', 'tipo_de_cambio': '', 'id_estado': 'not_paid', 'nombre_estado': 'Sin pagar', 'evento': {'id_evento': '', 'nom_evento': '', 'Fecha_hora_ini_event': '', 'Fecha_hora_fin_event': '', 'id_organizador': '', 'nom_organizador': 'FENCO GORDILLO MAXIMO',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</si>
  <si>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'930', 'nom_producto': 'ENTRADAS IMPRESAS - ORDEN DE VENTA NÂ°541\n * LA UNICA TROPICAL EN CHEPEN - 20 DE ENERO - I - P / 2,000 FULL COLOR GENERAL / 1,000 BRAZALETES VIP (S/1,652.00)\n',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</si>
  <si>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NÂ°541
 * LA UNICA TROPICAL EN CHEPEN - 20 DE ENERO - I - P / 2,000 FULL COLOR GENERAL / 1,000 BRAZALETES VIP (S/1,652.00)
</t>
  </si>
  <si>
    <t>[{'id_producto': '1', 'codigo_producto': '929', 'nom_producto': 'ENTRADAS IMPRESAS - ORDEN DE VENTA NÂ°537\n * La Ãšnica Tropical en Ilo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</si>
  <si>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NÂ°537
 * La Ãšnica Tropical en Ilo / 2,000 FULL COLOR GENERAL / 1,000 BRAZALETES VIP (S/1,652.00)</t>
  </si>
  <si>
    <t>[{'id_producto': '1', 'codigo_producto': '877', 'nom_producto': 'COMISIÃ“N PAGOS DIGITALES SEGÃšN CONTRATO', 'categoria_producto': 'consu', 'cantidad': '1.0', 'valor_unitario': 3754.15, 'precio_unitario': 4429.9, 'descuento': 0.0, 'subtotal': 3754.15, 'porcentaje_de_igv': '18.00', 'igv': 675.75, 'total': 4429.9,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</si>
  <si>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288.14, 'precio_unitario': 340.0, 'descuento': 0.0, 'subtotal': 288.14, 'porcentaje_de_igv': '18.00', 'igv': 51.86, 'total': 340.0,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</si>
  <si>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'928', 'nom_producto': 'ENTRADAS IMPRESAS - ORDEN DE VENTA NÂ°538\n * La Ãšnica Tropical en Tacna / 3,000 FULL COLOR GENERAL / 2,000 BRAZALETES VIP (S/2,832.00)', 'categoria_producto': 'consu', 'cantidad': '1.0', 'valor_unitario': 2400.0, 'precio_unitario': 2832.0, 'descuento': 0.0, 'subtotal': 2400.0, 'porcentaje_de_igv': '18.00', 'igv': 432.0, 'total': 2832.0,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</si>
  <si>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NÂ°538
 * La Ãšnica Tropical en Tacna / 3,000 FULL COLOR GENERAL / 2,000 BRAZALETES VIP (S/2,832.00)</t>
  </si>
  <si>
    <t>[{'id_producto': '1', 'codigo_producto': '927', 'nom_producto': 'ENTRADAS IMPRESAS - ORDEN DE VENTA NÂ°517\n * LA UNICA TROPICAL - CIUDAD DE DIOS - 06 DE ENERO - I - P/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</si>
  <si>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NÂ°517
 * LA UNICA TROPICAL - CIUDAD DE DIOS - 06 DE ENERO - I - P/ 2,000 FULL COLOR GENERAL (S/944.00)
</t>
  </si>
  <si>
    <t>[{'id_producto': '1', 'codigo_producto': '926', 'nom_producto': 'ENTRADAS IMPRESAS - ORDEN DE VENTA NÂ°516\n * LA UNICA TROPICAL CARTAVIO - 03 DE ENERO - I - P 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</si>
  <si>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NÂ°516
 * LA UNICA TROPICAL CARTAVIO - 03 DE ENERO - I - P / 2,000 FULL COLOR GENERAL (S/944.00)
</t>
  </si>
  <si>
    <t>[{'id_producto': '1', 'codigo_producto': '925', 'nom_producto': 'ENTRADAS IMPRESAS - ORDEN DE VENTA NÂ°515\n * La Ãšnica Tropical en Talara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</si>
  <si>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NÂ°515
 * La Ãšnica Tropical en Talara / 2,000 FULL COLOR GENERAL (S/944.00)</t>
  </si>
  <si>
    <t>[{'id_producto': '1', 'codigo_producto': '924', 'nom_producto': 'ENTRADAS IMPRESAS - ORDEN DE VENTA NÂ°513\n * LA UNICA TROPICAL COLAN - 05 DE ENERO - I - P / 5,000 FULL COLOR GENERAL / 1,000 BRAZALETES VIP (S/2,596.00)\n', 'categoria_producto': 'consu', 'cantidad': '1.0', 'valor_unitario': 2200.0, 'precio_unitario': 2596.0, 'descuento': 0.0, 'subtotal': 2200.0, 'porcentaje_de_igv': '18.00', 'igv': 396.0, 'total': 2596.0,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</si>
  <si>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NÂ°513
 * LA UNICA TROPICAL COLAN - 05 DE ENERO - I - P / 5,000 FULL COLOR GENERAL / 1,000 BRAZALETES VIP (S/2,596.00)
</t>
  </si>
  <si>
    <t>[{'id_producto': '1', 'codigo_producto': '871', 'nom_producto': 'COMISIÃ“N PAGOS DIGITALES SEGÃšN CONTRATO ', 'categoria_producto': 'consu', 'cantidad': '1.0', 'valor_unitario': 5158.56, 'precio_unitario': 6087.1, 'descuento': 0.0, 'subtotal': 5158.56, 'porcentaje_de_igv': '18.00', 'igv': 928.54, 'total': 6087.1,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</si>
  <si>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3246.44, 'precio_unitario': 3830.8, 'descuento': 0.0, 'subtotal': 3246.44, 'porcentaje_de_igv': '18.00', 'igv': 584.36, 'total': 3830.8,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</si>
  <si>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25.34, 'precio_unitario': 29.9, 'descuento': 0.0, 'subtotal': 25.34, 'porcentaje_de_igv': '18.00', 'igv': 4.56, 'total': 29.9,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</si>
  <si>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'992', 'nom_producto': 'COMISION CORTESIA - DELIVERY', 'categoria_producto': 'consu', 'cantidad': '1.0', 'valor_unitario': 65.0, 'precio_unitario': 76.7, 'descuento': 0.0, 'subtotal': 65.0, 'porcentaje_de_igv': '18.00', 'igv': 11.7, 'total': 76.7,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</si>
  <si>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46.78, 'precio_unitario': 55.2, 'descuento': 0.0, 'subtotal': 46.78, 'porcentaje_de_igv': '18.00', 'igv': 8.42, 'total': 55.2, 'moneda': '1', 'tipo_de_cambio': '', 'id_estado': 'not_paid', 'nombre_estado': 'Sin pagar', 'evento': {'id_evento': '', 'nom_evento': '', 'Fecha_hora_ini_event': '', 'Fecha_hora_fin_event': '', 'id_organizador': '', 'nom_organizador': 'JHONATHAN CALDERON QUISPE',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</si>
  <si>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32.88, 'precio_unitario': 38.8, 'descuento': 0.0, 'subtotal': 32.88, 'porcentaje_de_igv': '18.00', 'igv': 5.92, 'total': 38.8, 'moneda': '1', 'tipo_de_cambio': '', 'id_estado': 'not_paid', 'nombre_estado': 'Sin pagar', 'evento': {'id_evento': '', 'nom_evento': '', 'Fecha_hora_ini_event': '', 'Fecha_hora_fin_event': '', 'id_organizador': '', 'nom_organizador': 'JHONATHAN CALDERON QUISPE',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</si>
  <si>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'923', 'nom_producto': 'ENTRADAS IMPRESAS - ORDEN DE VENTA NÂ°550\n â€¢? ?FIESTA BLANCA HUACHO - ZAPEROKO 31 DE DICIEMBRE - I - P/ 500 BRAZALETES VIP/ 500 BRAZALETES PLATINUM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</si>
  <si>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NÂ°550
 â€¢? ?FIESTA BLANCA HUACHO - ZAPEROKO 31 DE DICIEMBRE - I - P/ 500 BRAZALETES VIP/ 500 BRAZALETES PLATINUM (S/708.00)</t>
  </si>
  <si>
    <t>[{'id_producto': '1', 'codigo_producto': '922', 'nom_producto': 'ENTRADAS IMPRESAS - ORDEN DE VENTA NÂ°528\n * Marama en Explanada Bahua en Barranca/ 500 BRAZALETES VIP/ 200 BRAZALETES GENERAL / 300 BRAZALETES BOX (S/778.80',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</si>
  <si>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NÂ°528
 * Marama en Explanada Bahua en Barranca/ 500 BRAZALETES VIP/ 200 BRAZALETES GENERAL / 300 BRAZALETES BOX (S/778.80</t>
  </si>
  <si>
    <t>[{'id_producto': '1', 'codigo_producto': '877', 'nom_producto': 'COMISIÃ“N PAGOS DIGITALES SEGÃšN CONTRATO', 'categoria_producto': 'consu', 'cantidad': '1.0', 'valor_unitario': 281.61, 'precio_unitario': 332.3, 'descuento': 0.0, 'subtotal': 281.61, 'porcentaje_de_igv': '18.00', 'igv': 50.69, 'total': 332.3,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</si>
  <si>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238.98, 'precio_unitario': 282.0, 'descuento': 0.0, 'subtotal': 238.98, 'porcentaje_de_igv': '18.00', 'igv': 43.02, 'total': 282.0,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</si>
  <si>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'920', 'nom_producto': 'ENTRADAS IMPRESAS - * Duelo de Divas con Pamela Franco, Marisol y Brunella Torpoco en El Remanso de Comas / 2,000 FULL COLOR GENERAL ADULTO / 500 FULL COLOR GENERAL NIÃ‘OS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</si>
  <si>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* Duelo de Divas con Pamela Franco, Marisol y Brunella Torpoco en El Remanso de Comas / 2,000 FULL COLOR GENERAL ADULTO / 500 FULL COLOR GENERAL NIÃ‘OS (S/1,180.00)</t>
  </si>
  <si>
    <t>[{'id_producto': '1', 'codigo_producto': '877', 'nom_producto': 'COMISIÃ“N PAGOS DIGITALES SEGÃšN CONTRATO', 'categoria_producto': 'consu', 'cantidad': '1.0', 'valor_unitario': 3384.15, 'precio_unitario': 3993.3, 'descuento': 0.0, 'subtotal': 3384.15, 'porcentaje_de_igv': '18.00', 'igv': 609.15, 'total': 3993.3,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</si>
  <si>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1669.75, 'precio_unitario': 1970.3, 'descuento': 0.0, 'subtotal': 1669.75, 'porcentaje_de_igv': '18.00', 'igv': 300.55, 'total': 1970.3,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</si>
  <si>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19.41, 'precio_unitario': 22.9, 'descuento': 0.0, 'subtotal': 19.41, 'porcentaje_de_igv': '17.98', 'igv': 3.49, 'total': 22.9, 'moneda': '1', 'tipo_de_cambio': '', 'id_estado': 'not_paid', 'nombre_estado': 'Sin pagar', 'evento': {'id_evento': '', 'nom_evento': '', 'Fecha_hora_ini_event': '', 'Fecha_hora_fin_event': '', 'id_organizador': '', 'nom_organizador': 'JORGE NIKITA GALLO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</si>
  <si>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'', 'nom_organizador': 'JORGE NIKITA GALLO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</si>
  <si>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'919', 'nom_producto': 'ENTRADAS IMPRESAS - ORDEN DE VENTA NÂ°540\n * La Ãšnica Tropical en MejÃ­a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</si>
  <si>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NÂ°540
 * La Ãšnica Tropical en MejÃ­a Arequipa / 2,000 FULL COLOR GENERAL / 1,000 BRAZALETES VIP (S/1,652.00)</t>
  </si>
  <si>
    <t>[{'id_producto': '1', 'codigo_producto': '877', 'nom_producto': 'COMISIÃ“N PAGOS DIGITALES SEGÃšN CONTRATO', 'categoria_producto': 'consu', 'cantidad': '1.0', 'valor_unitario': 2372.24, 'precio_unitario': 2799.24, 'descuento': 0.0, 'subtotal': 2372.24, 'porcentaje_de_igv': '18.00', 'igv': 427.0, 'total': 2799.24,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</si>
  <si>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1467.44, 'precio_unitario': 1731.58, 'descuento': 0.0, 'subtotal': 1467.44, 'porcentaje_de_igv': '18.00', 'igv': 264.14, 'total': 1731.58,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</si>
  <si>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'918', 'nom_producto': 'ENTRADAS IMPRESAS - ORDEN DE VENTA NÂ°539\n * La Ãšnica Tropical en CamanÃ¡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</si>
  <si>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NÂ°539
 * La Ãšnica Tropical en CamanÃ¡ Arequipa / 2,000 FULL COLOR GENERAL / 1,000 BRAZALETES VIP (S/1,652.00)</t>
  </si>
  <si>
    <t>[{'id_producto': '1', 'codigo_producto': '877', 'nom_producto': 'COMISIÃ“N PAGOS DIGITALES SEGÃšN CONTRATO', 'categoria_producto': 'consu', 'cantidad': '1.0', 'valor_unitario': 2382.31, 'precio_unitario': 2811.12, 'descuento': 0.0, 'subtotal': 2382.31, 'porcentaje_de_igv': '18.00', 'igv': 428.81, 'total': 2811.12,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</si>
  <si>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1468.68, 'precio_unitario': 1733.04, 'descuento': 0.0, 'subtotal': 1468.68, 'porcentaje_de_igv': '18.00', 'igv': 264.36, 'total': 1733.04,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</si>
  <si>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22.0, 'precio_unitario': 25.96, 'descuento': 0.0, 'subtotal': 22.0, 'porcentaje_de_igv': '18.00', 'igv': 3.96, 'total': 25.96,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</si>
  <si>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20.5, 'precio_unitario': 24.19, 'descuento': 0.0, 'subtotal': 20.5, 'porcentaje_de_igv': '18.00', 'igv': 3.69, 'total': 24.19,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</si>
  <si>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52.29, 'precio_unitario': 61.7, 'descuento': 0.0, 'subtotal': 52.29, 'porcentaje_de_igv': '18.00', 'igv': 9.41, 'total': 61.7, 'moneda': '1', 'tipo_de_cambio': '', 'id_estado': 'not_paid', 'nombre_estado': 'Sin pagar', 'evento': {'id_evento': '', 'nom_evento': '', 'Fecha_hora_ini_event': '', 'Fecha_hora_fin_event': '', 'id_organizador': '', 'nom_organizador': 'M.C.A. SERVICIOS INDUSTRIALES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</si>
  <si>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32.2, 'precio_unitario': 38.0, 'descuento': 0.0, 'subtotal': 32.2, 'porcentaje_de_igv': '18.01', 'igv': 5.8, 'total': 38.0, 'moneda': '1', 'tipo_de_cambio': '', 'id_estado': 'not_paid', 'nombre_estado': 'Sin pagar', 'evento': {'id_evento': '', 'nom_evento': '', 'Fecha_hora_ini_event': '', 'Fecha_hora_fin_event': '', 'id_organizador': '', 'nom_organizador': 'M.C.A. SERVICIOS INDUSTRIALES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</si>
  <si>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'917', 'nom_producto': 'BRAZALETES STICKERS SIN ZONA - CARNABRAVAZO - 09 DE MARZO - I - P Y 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'', 'nom_organizador': 'FIESTAS BRAVAS GROUP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</si>
  <si>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BRAZALETES STICKERS SIN ZONA - CARNABRAVAZO - 09 DE MARZO - I - P Y  PERSONAL DELIVERY</t>
  </si>
  <si>
    <t>[{'id_producto': '1', 'codigo_producto': '916', 'nom_producto': 'ENTRADAS IMPRESAS FULL COLOR -CORAZON SERRANO PAITA- 20/01 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</si>
  <si>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FULL COLOR -CORAZON SERRANO PAITA- 20/01 </t>
  </si>
  <si>
    <t>[{'id_producto': '1', 'codigo_producto': '915', 'nom_producto': 'ENTRADAS IMPRESAS FULL COLOR - CORAZON SERRANO VICE- 19/01',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</si>
  <si>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FULL COLOR - CORAZON SERRANO VICE- 19/01</t>
  </si>
  <si>
    <t>[{'id_producto': '1', 'codigo_producto': '914', 'nom_producto': 'ENTRADAS IMPRESAS FULL COLOR -CORAZON SERRANO PARACHIQUE- 17/01 Y PERSONAL DELIVERY', 'categoria_producto': 'consu', 'cantidad': '1.0', 'valor_unitario': 209.66, 'precio_unitario': 247.4, 'descuento': 0.0, 'subtotal': 209.66, 'porcentaje_de_igv': '18.00', 'igv': 37.74, 'total': 247.4,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</si>
  <si>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FULL COLOR -CORAZON SERRANO PARACHIQUE- 17/01 Y PERSONAL DELIVERY</t>
  </si>
  <si>
    <t>[{'id_producto': '1', 'codigo_producto': '877', 'nom_producto': 'COMISIÃ“N PAGOS DIGITALES SEGÃšN CONTRATO', 'categoria_producto': 'consu', 'cantidad': '1.0', 'valor_unitario': 109.83, 'precio_unitario': 129.6, 'descuento': 0.0, 'subtotal': 109.83, 'porcentaje_de_igv': '18.00', 'igv': 19.77, 'total': 129.6, 'moneda': '1', 'tipo_de_cambio': '', 'id_estado': 'not_paid', 'nombre_estado': 'Sin pagar', 'evento': {'id_evento': '', 'nom_evento': '', 'Fecha_hora_ini_event': '', 'Fecha_hora_fin_event': '', 'id_organizador': '', 'nom_organizador': 'GEINER DAVID QUIROZ GIL\n',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</si>
  <si>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GEINER DAVID QUIROZ GIL
</t>
  </si>
  <si>
    <t>[{'id_producto': '1', 'codigo_producto': '878', 'nom_producto': 'COMISIÃ“N VAOPE SEGÃšN CONTRATO ', 'categoria_producto': 'consu', 'cantidad': '1.0', 'valor_unitario': 61.02, 'precio_unitario': 72.0, 'descuento': 0.0, 'subtotal': 61.02, 'porcentaje_de_igv': '17.99', 'igv': 10.98, 'total': 72.0, 'moneda': '1', 'tipo_de_cambio': '', 'id_estado': 'not_paid', 'nombre_estado': 'Sin pagar', 'evento': {'id_evento': '', 'nom_evento': '', 'Fecha_hora_ini_event': '', 'Fecha_hora_fin_event': '', 'id_organizador': '', 'nom_organizador': 'GEINER DAVID QUIROZ GIL\n',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</si>
  <si>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</si>
  <si>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'877', 'nom_producto': 'COMISIÃ“N PAGOS DIGITALES SEGÃšN CONTRATO', 'categoria_producto': 'consu', 'cantidad': '1.0', 'valor_unitario': 933.64, 'precio_unitario': 1101.7, 'descuento': 0.0, 'subtotal': 933.64, 'porcentaje_de_igv': '18.00', 'igv': 168.06, 'total': 1101.7,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</si>
  <si>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364.66, 'precio_unitario': 430.3, 'descuento': 0.0, 'subtotal': 364.66, 'porcentaje_de_igv': '18.00', 'igv': 65.64, 'total': 430.3,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</si>
  <si>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</si>
  <si>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95.0, 'precio_unitario': 112.1, 'descuento': 0.0, 'subtotal': 95.0, 'porcentaje_de_igv': '18.00', 'igv': 17.1, 'total': 112.1,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</si>
  <si>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56.69, 'precio_unitario': 66.9, 'descuento': 0.0, 'subtotal': 56.69, 'porcentaje_de_igv': '18.01', 'igv': 10.21, 'total': 66.9,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</si>
  <si>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518.81, 'precio_unitario': 612.2, 'descuento': 0.0, 'subtotal': 518.81, 'porcentaje_de_igv': '18.00', 'igv': 93.39, 'total': 612.2,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</si>
  <si>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511.53, 'precio_unitario': 603.6, 'descuento': 0.0, 'subtotal': 511.53, 'porcentaje_de_igv': '18.00', 'igv': 92.07, 'total': 603.6,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</si>
  <si>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'912', 'nom_producto': 'BRAZALETES VIP-CORAZON SERRANO SAN JUAN DE BIGOTE- 11/01, ENTRADAS IMPRESAS FULL COLOR, PERSONAL DELIVERY', 'categoria_producto': 'consu', 'cantidad': '1.0', 'valor_unitario': 976.5, 'precio_unitario': 1152.27, 'descuento': 0.0, 'subtotal': 976.5, 'porcentaje_de_igv': '18.00', 'igv': 175.77, 'total': 1152.27,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</si>
  <si>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BRAZALETES VIP-CORAZON SERRANO SAN JUAN DE BIGOTE- 11/01, ENTRADAS IMPRESAS FULL COLOR, PERSONAL DELIVERY</t>
  </si>
  <si>
    <t>[{'id_producto': '1', 'codigo_producto': '911', 'nom_producto': 'BRAZALETES vip- CORAZON SERRANO CRUCETA - 10/01 Y ENTRADAS IMPRESAS FULL COLOR', 'categoria_producto': 'consu', 'cantidad': '1.0', 'valor_unitario': 970.0, 'precio_unitario': 1144.6, 'descuento': 0.0, 'subtotal': 970.0, 'porcentaje_de_igv': '18.00', 'igv': 174.6, 'total': 1144.6,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</si>
  <si>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BRAZALETES vip- CORAZON SERRANO CRUCETA - 10/01 Y ENTRADAS IMPRESAS FULL COLOR</t>
  </si>
  <si>
    <t>[{'id_producto': '1', 'codigo_producto': '910', 'nom_producto': 'COMISION CORTESIA - JP PRODUCCIONES GENERALES SAC', 'categoria_producto': 'consu', 'cantidad': '1.0', 'valor_unitario': 44.97, 'precio_unitario': 53.07, 'descuento': 0.0, 'subtotal': 44.97, 'porcentaje_de_igv': '18.01', 'igv': 8.1, 'total': 53.07,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</si>
  <si>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 - JP PRODUCCIONES GENERALES SAC</t>
  </si>
  <si>
    <t>[{'id_producto': '1', 'codigo_producto': '909', 'nom_producto': 'PERSONAL - VALIDADORES- JP PRODUCCIONES GENERALES SAC', 'categoria_producto': 'consu', 'cantidad': '1.0', 'valor_unitario': 210.0, 'precio_unitario': 247.8, 'descuento': 0.0, 'subtotal': 210.0, 'porcentaje_de_igv': '18.00', 'igv': 37.8, 'total': 247.8,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</si>
  <si>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VALIDADORES- JP PRODUCCIONES GENERALES SAC</t>
  </si>
  <si>
    <t>[{'id_producto': '1', 'codigo_producto': '908', 'nom_producto': 'COMISIÃ“N PAGOS DIGITALES SEGUN CONTRATO - JP PRODUCCIONES GENERALES SAC', 'categoria_producto': 'consu', 'cantidad': '1.0', 'valor_unitario': 2551.03, 'precio_unitario': 3010.21, 'descuento': 0.0, 'subtotal': 2551.03, 'porcentaje_de_igv': '18.00', 'igv': 459.18, 'total': 3010.21,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</si>
  <si>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PAGOS DIGITALES SEGUN CONTRATO - JP PRODUCCIONES GENERALES SAC</t>
  </si>
  <si>
    <t>[{'id_producto': '1', 'codigo_producto': '907', 'nom_producto': 'COMISIÃ“N VAOPE SEGUN CONTRATO - JP PRODUCCIONES GENERALES SAC', 'categoria_producto': 'consu', 'cantidad': '1.0', 'valor_unitario': 1594.55, 'precio_unitario': 1881.57, 'descuento': 0.0, 'subtotal': 1594.55, 'porcentaje_de_igv': '18.00', 'igv': 287.02, 'total': 1881.57,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</si>
  <si>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 - JP PRODUCCIONES GENERALES SAC</t>
  </si>
  <si>
    <t>[{'id_producto': '1', 'codigo_producto': '906', 'nom_producto': 'COMISION CORTESIA - G&amp;N MUSIC SAC', 'categoria_producto': 'consu', 'cantidad': '1.0', 'valor_unitario': 83.53, 'precio_unitario': 98.56, 'descuento': 0.0, 'subtotal': 83.53, 'porcentaje_de_igv': '17.99', 'igv': 15.03, 'total': 98.56,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</si>
  <si>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 - G&amp;N MUSIC SAC</t>
  </si>
  <si>
    <t>[{'id_producto': '1', 'codigo_producto': '905', 'nom_producto': 'COMISIÃ“N PAGOS DIGITALES SEGUN CONTRATO - G&amp;N MUSIC SAC ', 'categoria_producto': 'consu', 'cantidad': '1.0', 'valor_unitario': 4737.62, 'precio_unitario': 5590.39, 'descuento': 0.0, 'subtotal': 4737.62, 'porcentaje_de_igv': '18.00', 'igv': 852.77, 'total': 5590.39,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</si>
  <si>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PAGOS DIGITALES SEGUN CONTRATO - G&amp;N MUSIC SAC </t>
  </si>
  <si>
    <t>[{'id_producto': '1', 'codigo_producto': '904', 'nom_producto': 'COMISIÃ“N VAOPE SEGUN CONTRATO - G&amp;N MUSIC SAC', 'categoria_producto': 'consu', 'cantidad': '1.0', 'valor_unitario': 2961.31, 'precio_unitario': 3494.34, 'descuento': 0.0, 'subtotal': 2961.31, 'porcentaje_de_igv': '18.00', 'igv': 533.03, 'total': 3494.34,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</si>
  <si>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COMISIÃ“N VAOPE SEGUN CONTRATO - G&amp;N MUSIC SAC</t>
  </si>
  <si>
    <t>[{'id_producto': '1', 'codigo_producto': '903', 'nom_producto': 'PERSONAL - Servicio de 04 validadores (Inc IGV) ', 'categoria_producto': 'consu', 'cantidad': '1.0', 'valor_unitario': 390.0, 'precio_unitario': 460.2, 'descuento': 0.0, 'subtotal': 390.0, 'porcentaje_de_igv': '18.00', 'igv': 70.2, 'total': 460.2,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</si>
  <si>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 xml:space="preserve">PERSONAL - Servicio de 04 validadores (Inc IGV) </t>
  </si>
  <si>
    <t>[{'id_producto': '1', 'codigo_producto': '877', 'nom_producto': 'COMISIÃ“N PAGOS DIGITALES SEGÃšN CONTRATO', 'categoria_producto': 'consu', 'cantidad': '1.0', 'valor_unitario': 788.9, 'precio_unitario': 930.9, 'descuento': 0.0, 'subtotal': 788.9, 'porcentaje_de_igv': '18.00', 'igv': 142.0, 'total': 930.9, 'moneda': '1', 'tipo_de_cambio': '', 'id_estado': 'not_paid', 'nombre_estado': 'Sin pagar', 'evento': {'id_evento': '', 'nom_evento': '', 'Fecha_hora_ini_event': '', 'Fecha_hora_fin_event': '', 'id_organizador': '', 'nom_organizador': 'PROMOTORA Y SONIDO MUSICAL WC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</si>
  <si>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461.61, 'precio_unitario': 544.7, 'descuento': 0.0, 'subtotal': 461.61, 'porcentaje_de_igv': '18.00', 'igv': 83.09, 'total': 544.7, 'moneda': '1', 'tipo_de_cambio': '', 'id_estado': 'not_paid', 'nombre_estado': 'Sin pagar', 'evento': {'id_evento': '', 'nom_evento': '', 'Fecha_hora_ini_event': '', 'Fecha_hora_fin_event': '', 'id_organizador': '', 'nom_organizador': 'PROMOTORA Y SONIDO MUSICAL WC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</si>
  <si>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1599.66, 'precio_unitario': 1887.6, 'descuento': 0.0, 'subtotal': 1599.66, 'porcentaje_de_igv': '18.00', 'igv': 287.94, 'total': 1887.6, 'moneda': '1', 'tipo_de_cambio': '', 'id_estado': 'not_paid', 'nombre_estado': 'Sin pagar', 'evento': {'id_evento': '', 'nom_evento': '', 'Fecha_hora_ini_event': '', 'Fecha_hora_fin_event': '', 'id_organizador': '', 'nom_organizador': 'ALFREDO CALDERON MEDINA',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</si>
  <si>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947.12, 'precio_unitario': 1117.6, 'descuento': 0.0, 'subtotal': 947.12, 'porcentaje_de_igv': '18.00', 'igv': 170.48, 'total': 1117.6, 'moneda': '1', 'tipo_de_cambio': '', 'id_estado': 'not_paid', 'nombre_estado': 'Sin pagar', 'evento': {'id_evento': '', 'nom_evento': '', 'Fecha_hora_ini_event': '', 'Fecha_hora_fin_event': '', 'id_organizador': '', 'nom_organizador': 'ALFREDO CALDERON MEDINA',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</si>
  <si>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92.54, 'precio_unitario': 109.2, 'descuento': 0.0, 'subtotal': 92.54, 'porcentaje_de_igv': '18.00', 'igv': 16.66, 'total': 109.2,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</si>
  <si>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</si>
  <si>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15.0, 'precio_unitario': 17.7, 'descuento': 0.0, 'subtotal': 15.0, 'porcentaje_de_igv': '18.00', 'igv': 2.7, 'total': 17.7, 'moneda': '1', 'tipo_de_cambio': '', 'id_estado': 'not_paid', 'nombre_estado': 'Sin pagar', 'evento': {'id_evento': '', 'nom_evento': '', 'Fecha_hora_ini_event': '', 'Fecha_hora_fin_event': '', 'id_organizador': '', 'nom_organizador': 'ALAN GUILLERMO PAUCAR GARRO',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</si>
  <si>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530.17, 'precio_unitario': 625.6, 'descuento': 0.0, 'subtotal': 530.17, 'porcentaje_de_igv': '18.00', 'igv': 95.43, 'total': 625.6, 'moneda': '1', 'tipo_de_cambio': '', 'id_estado': 'not_paid', 'nombre_estado': 'Sin pagar', 'evento': {'id_evento': '', 'nom_evento': '', 'Fecha_hora_ini_event': '', 'Fecha_hora_fin_event': '', 'id_organizador': '', 'nom_organizador': 'ALAN GUILLERMO PAUCAR GARRO',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</si>
  <si>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338.9, 'precio_unitario': 399.9, 'descuento': 0.0, 'subtotal': 338.9, 'porcentaje_de_igv': '18.00', 'igv': 61.0, 'total': 399.9, 'moneda': '1', 'tipo_de_cambio': '', 'id_estado': 'not_paid', 'nombre_estado': 'Sin pagar', 'evento': {'id_evento': '', 'nom_evento': '', 'Fecha_hora_ini_event': '', 'Fecha_hora_fin_event': '', 'id_organizador': '', 'nom_organizador': 'ALAN GUILLERMO PAUCAR GARRO',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</si>
  <si>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1.44, 'precio_unitario': 1.7, 'descuento': 0.0, 'subtotal': 1.44, 'porcentaje_de_igv': '18.06', 'igv': 0.26, 'total': 1.7, 'moneda': '1', 'tipo_de_cambio': '', 'id_estado': 'not_paid', 'nombre_estado': 'Sin pagar', 'evento': {'id_evento': '', 'nom_evento': '', 'Fecha_hora_ini_event': '', 'Fecha_hora_fin_event': '', 'id_organizador': '', 'nom_organizador': 'EMILIANO MINCHOLA RIVEROS',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</si>
  <si>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1.02, 'precio_unitario': 1.2, 'descuento': 0.0, 'subtotal': 1.02, 'porcentaje_de_igv': '17.65', 'igv': 0.18, 'total': 1.2, 'moneda': '1', 'tipo_de_cambio': '', 'id_estado': 'not_paid', 'nombre_estado': 'Sin pagar', 'evento': {'id_evento': '', 'nom_evento': '', 'Fecha_hora_ini_event': '', 'Fecha_hora_fin_event': '', 'id_organizador': '', 'nom_organizador': 'EMILIANO MINCHOLA RIVEROS',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</si>
  <si>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'902', 'nom_producto': 'PERSONAL - SERVICIO DE 03 VALIDADORES',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</si>
  <si>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SERVICIO DE 03 VALIDADORES</t>
  </si>
  <si>
    <t>[{'id_producto': '1', 'codigo_producto': '901', 'nom_producto': 'ENTRADAS IMPRESAS - ORDEN DE VENTA NÂ°518  * Caribepiscinazo con CaribeÃ±os en El Remanso de Comas / 2,000 FULL COLOR GENERAL ADULTOS / 300 FULL COLOR GENERAL NIÃ‘OS (S/1,085.60) ', 'categoria_producto': 'consu', 'cantidad': '1.0', 'valor_unitario': 920.0, 'precio_unitario': 1085.6, 'descuento': 0.0, 'subtotal': 920.0, 'porcentaje_de_igv': '18.00', 'igv': 165.6, 'total': 1085.6,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</si>
  <si>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NÂ°518  * Caribepiscinazo con CaribeÃ±os en El Remanso de Comas / 2,000 FULL COLOR GENERAL ADULTOS / 300 FULL COLOR GENERAL NIÃ‘OS (S/1,085.60) </t>
  </si>
  <si>
    <t>[{'id_producto': '1', 'codigo_producto': '877', 'nom_producto': 'COMISIÃ“N PAGOS DIGITALES SEGÃšN CONTRATO', 'categoria_producto': 'consu', 'cantidad': '1.0', 'valor_unitario': 1200.42, 'precio_unitario': 1416.5, 'descuento': 0.0, 'subtotal': 1200.42, 'porcentaje_de_igv': '18.00', 'igv': 216.08, 'total': 1416.5,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</si>
  <si>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586.36, 'precio_unitario': 691.9, 'descuento': 0.0, 'subtotal': 586.36, 'porcentaje_de_igv': '18.00', 'igv': 105.54, 'total': 691.9,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</si>
  <si>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52.54, 'precio_unitario': 62.0, 'descuento': 0.0, 'subtotal': 52.54, 'porcentaje_de_igv': '18.01', 'igv': 9.46, 'total': 62.0,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</si>
  <si>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36.61, 'precio_unitario': 43.2, 'descuento': 0.0, 'subtotal': 36.61, 'porcentaje_de_igv': '18.00', 'igv': 6.59, 'total': 43.2,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</si>
  <si>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'900', 'nom_producto': 'PERSONAL - gasto envio',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</si>
  <si>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PERSONAL - gasto envio</t>
  </si>
  <si>
    <t>[{'id_producto': '1', 'codigo_producto': '899', 'nom_producto': 'ENTRADAS IMPRESAS - ORDEN DE VENTA NÂ°505\n * La Ãšnica Tropical en Casa Cub Sullana / 3,000 FULL COLOR GENERAL / 1,000 BRAZALETES VIP (S/2,124.00)', 'categoria_producto': 'consu',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</si>
  <si>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NÂ°505
 * La Ãšnica Tropical en Casa Cub Sullana / 3,000 FULL COLOR GENERAL / 1,000 BRAZALETES VIP (S/2,124.00)</t>
  </si>
  <si>
    <t>[{'id_producto': '1', 'codigo_producto': '898', 'nom_producto': 'ENTRADAS IMPRESAS - ORDEN DE VENTA NÂ°493\n * FELIZ NAVIDAD SECHURA - I - P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</si>
  <si>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NÂ°493
 * FELIZ NAVIDAD SECHURA - I - P / 2,000 FULL COLOR GENERAL (S/944.00)</t>
  </si>
  <si>
    <t>[{'id_producto': '1', 'codigo_producto': '897', 'nom_producto': 'ENTRADAS IMPRESAS - ORDEN DE VENTA NÂ°500\n * LA UNICA TROPICAL - EL ALTO - PIURA - 30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</si>
  <si>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NÂ°500
 * LA UNICA TROPICAL - EL ALTO - PIURA - 30 DE DIC / 2,000 FULL COLOR GENERAL (S/944.00)</t>
  </si>
  <si>
    <t>[{'id_producto': '1', 'codigo_producto': '896', 'nom_producto': 'ENTRADAS IMPRESAS - ORDEN DE VENTA NÂ°501\n * LA UNICA TROPICAL - LA UNION - BAJO PIURA - 28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</si>
  <si>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NÂ°501
 * LA UNICA TROPICAL - LA UNION - BAJO PIURA - 28 DE DIC / 2,000 FULL COLOR GENERAL (S/944.00)</t>
  </si>
  <si>
    <t>[{'id_producto': '1', 'codigo_producto': '895', 'nom_producto': 'ENTRADAS IMPRESAS - ORDEN DE VENTA NÂ°514\n * LA UNICA TROPICAL EN PLAZA NORTE - I - P / 2,000 FULL COLOR / 2,000 BRAZALETES VIP (S/2,360.00)', 'categoria_producto': 'consu', 'cantidad': '1.0', 'valor_unitario': 2000.0, 'precio_unitario': 2360.0, 'descuento': 0.0, 'subtotal': 2000.0, 'porcentaje_de_igv': '18.00', 'igv': 360.0, 'total': 2360.0,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</si>
  <si>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NÂ°514
 * LA UNICA TROPICAL EN PLAZA NORTE - I - P / 2,000 FULL COLOR / 2,000 BRAZALETES VIP (S/2,360.00)</t>
  </si>
  <si>
    <t>[{'id_producto': '1', 'codigo_producto': '894', 'nom_producto': 'ENTRADAS IMPRESAS - ORDEN DE VENTA NÂ°512\n * La Ãšnica Tropical en Aqualandia de Piura - 2DO PEDIDO - 31/12 - I - P/ 2,000 BRAZALETES VIP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</si>
  <si>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ORDEN DE VENTA NÂ°512
 * La Ãšnica Tropical en Aqualandia de Piura - 2DO PEDIDO - 31/12 - I - P/ 2,000 BRAZALETES VIP (S/1,416.00)
</t>
  </si>
  <si>
    <t>[{'id_producto': '1', 'codigo_producto': '893', 'nom_producto': 'ENTRADAS IMPRESAS - ORDEN DE VENTA NÂ°502 La Ãšnica Tropical en Aqualandia de Piura / 10,000 FULL COLOR GENERAL / 3,000 FULL COLOR NIÃ‘OS (S/6,136.00)', 'categoria_producto': 'consu', 'cantidad': '1.0', 'valor_unitario': 5200.0, 'precio_unitario': 6136.0, 'descuento': 0.0, 'subtotal': 5200.0, 'porcentaje_de_igv': '18.00', 'igv': 936.0, 'total': 6136.0,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</si>
  <si>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NÂ°502 La Ãšnica Tropical en Aqualandia de Piura / 10,000 FULL COLOR GENERAL / 3,000 FULL COLOR NIÃ‘OS (S/6,136.00)</t>
  </si>
  <si>
    <t>[{'id_producto': '1', 'codigo_producto': '877', 'nom_producto': 'COMISIÃ“N PAGOS DIGITALES SEGÃšN CONTRATO', 'categoria_producto': 'consu', 'cantidad': '1.0', 'valor_unitario': 3942.12, 'precio_unitario': 4651.7, 'descuento': 0.0, 'subtotal': 3942.12, 'porcentaje_de_igv': '18.00', 'igv': 709.58, 'total': 4651.7,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</si>
  <si>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2244.07, 'precio_unitario': 2648.0, 'descuento': 0.0, 'subtotal': 2244.07, 'porcentaje_de_igv': '18.00', 'igv': 403.93, 'total': 2648.0,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</si>
  <si>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202.5, 'precio_unitario': 238.95, 'descuento': 0.0, 'subtotal': 202.5, 'porcentaje_de_igv': '18.00', 'igv': 36.45, 'total': 238.95,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</si>
  <si>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'892', 'nom_producto': 'PERSONAL - Servicio de 03 validadores (inc IGV)',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</si>
  <si>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PERSONAL - Servicio de 03 validadores (inc IGV)</t>
  </si>
  <si>
    <t>[{'id_producto': '1', 'codigo_producto': '891', 'nom_producto': 'ENTRADAS IMPRESAS - ORDEN DE VENTA NÂ°509\n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</si>
  <si>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NÂ°509
 * FiestÃ³n de AÃ±o Nuevo en Lima Sur con ArmonÃ­a 10, Pamela Franco, Deyvis Orosco y mÃ¡s / 4,000 FULL COLOR GENERAL / 2,000 BRAZALETES VIP / 1,000 BRAZALETES PLATINUM (S/4,012.00)</t>
  </si>
  <si>
    <t>[{'id_producto': '1', 'codigo_producto': '871', 'nom_producto': 'COMISIÃ“N PAGOS DIGITALES SEGÃšN CONTRATO ', 'categoria_producto': 'consu', 'cantidad': '1.0', 'valor_unitario': 2862.29, 'precio_unitario': 3377.5, 'descuento': 0.0, 'subtotal': 2862.29, 'porcentaje_de_igv': '18.00', 'igv': 515.21, 'total': 3377.5,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</si>
  <si>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4262.2, 'precio_unitario': 5029.4, 'descuento': 0.0, 'subtotal': 4262.2, 'porcentaje_de_igv': '18.00', 'igv': 767.2, 'total': 5029.4,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</si>
  <si>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17.1, 'precio_unitario': 20.18, 'descuento': 0.0, 'subtotal': 17.1, 'porcentaje_de_igv': '18.01', 'igv': 3.08, 'total': 20.18,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</si>
  <si>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'890', 'nom_producto': 'ENTRADAS IMPRESAS - ORDEN DE VENTA NÂ°509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</si>
  <si>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NÂ°509 * FiestÃ³n de AÃ±o Nuevo en Lima Sur con ArmonÃ­a 10, Pamela Franco, Deyvis Orosco y mÃ¡s / 4,000 FULL COLOR GENERAL / 2,000 BRAZALETES VIP / 1,000 BRAZALETES PLATINUM (S/4,012.00)</t>
  </si>
  <si>
    <t>[{'id_producto': '1', 'codigo_producto': '877', 'nom_producto': 'COMISIÃ“N PAGOS DIGITALES SEGÃšN CONTRATO', 'categoria_producto': 'consu', 'cantidad': '1.0', 'valor_unitario': 9.9, 'precio_unitario': 11.68, 'descuento': 0.0, 'subtotal': 9.9, 'porcentaje_de_igv': '17.98', 'igv': 1.78, 'total': 11.68,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</si>
  <si>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</si>
  <si>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'889', 'nom_producto': 'PERSONAL - delivery - entradas cortesia 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'', 'nom_organizador': 'EMPRESA OK MEDIOS PERU S.A.C.', 'tipo_organizador': ''},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</si>
  <si>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 xml:space="preserve">PERSONAL - delivery - entradas cortesia </t>
  </si>
  <si>
    <t>[{'id_producto': '1', 'codigo_producto': '877', 'nom_producto': 'COMISIÃ“N PAGOS DIGITALES SEGÃšN CONTRATO', 'categoria_producto': 'consu', 'cantidad': '1.0', 'valor_unitario': 1978.14, 'precio_unitario': 2334.2, 'descuento': 0.0, 'subtotal': 1978.14, 'porcentaje_de_igv': '18.00', 'igv': 356.06, 'total': 2334.2, 'moneda': '1', 'tipo_de_cambio': '', 'id_estado': 'not_paid', 'nombre_estado': 'Sin pagar', 'evento': {'id_evento': '', 'nom_evento': '', 'Fecha_hora_ini_event': '', 'Fecha_hora_fin_event': '', 'id_organizador': '', 'nom_organizador': 'EMPRESA OK MEDIOS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</si>
  <si>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1085.76, 'precio_unitario': 1281.2, 'descuento': 0.0, 'subtotal': 1085.76, 'porcentaje_de_igv': '18.00', 'igv': 195.44, 'total': 1281.2, 'moneda': '1', 'tipo_de_cambio': '', 'id_estado': 'not_paid', 'nombre_estado': 'Sin pagar', 'evento': {'id_evento': '', 'nom_evento': '', 'Fecha_hora_ini_event': '', 'Fecha_hora_fin_event': '', 'id_organizador': '', 'nom_organizador': 'EMPRESA OK MEDIOS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</si>
  <si>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50.0, 'precio_unitario': 59.0, 'descuento': 0.0, 'subtotal': 50.0, 'porcentaje_de_igv': '18.00', 'igv': 9.0, 'total': 59.0, 'moneda': '1', 'tipo_de_cambio': '', 'id_estado': 'not_paid', 'nombre_estado': 'Sin pagar', 'evento': {'id_evento': '', 'nom_evento': '', 'Fecha_hora_ini_event': '', 'Fecha_hora_fin_event': '',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</si>
  <si>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227.88, 'precio_unitario': 268.9, 'descuento': 0.0, 'subtotal': 227.88, 'porcentaje_de_igv': '18.00', 'igv': 41.02, 'total': 268.9, 'moneda': '1', 'tipo_de_cambio': '', 'id_estado': 'not_paid', 'nombre_estado': 'Sin pagar', 'evento': {'id_evento': '', 'nom_evento': '', 'Fecha_hora_ini_event': '', 'Fecha_hora_fin_event': '',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</si>
  <si>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126.36, 'precio_unitario': 149.1, 'descuento': 0.0, 'subtotal': 126.36, 'porcentaje_de_igv': '18.00', 'igv': 22.74, 'total': 149.1, 'moneda': '1', 'tipo_de_cambio': '', 'id_estado': 'not_paid', 'nombre_estado': 'Sin pagar', 'evento': {'id_evento': '', 'nom_evento': '', 'Fecha_hora_ini_event': '', 'Fecha_hora_fin_event': '',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</si>
  <si>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113.39, 'precio_unitario': 133.8, 'descuento': 0.0, 'subtotal': 113.39, 'porcentaje_de_igv': '18.00', 'igv': 20.41, 'total': 133.8, 'moneda': '1', 'tipo_de_cambio': '', 'id_estado': 'not_paid', 'nombre_estado': 'Sin pagar', 'evento': {'id_evento': '', 'nom_evento': '', 'Fecha_hora_ini_event': '', 'Fecha_hora_fin_event': '', 'id_organizador': '', 'nom_organizador': 'ADRIAN DOLORES FLORES',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</si>
  <si>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59.15, 'precio_unitario': 69.8, 'descuento': 0.0, 'subtotal': 59.15, 'porcentaje_de_igv': '18.01', 'igv': 10.65, 'total': 69.8, 'moneda': '1', 'tipo_de_cambio': '', 'id_estado': 'not_paid', 'nombre_estado': 'Sin pagar', 'evento': {'id_evento': '', 'nom_evento': '', 'Fecha_hora_ini_event': '', 'Fecha_hora_fin_event': '', 'id_organizador': '', 'nom_organizador': 'ADRIAN DOLORES FLORES',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</si>
  <si>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283.79, 'precio_unitario': 334.87, 'descuento': 0.0, 'subtotal': 283.79, 'porcentaje_de_igv': '18.00', 'igv': 51.08, 'total': 334.87, 'moneda': '1', 'tipo_de_cambio': '', 'id_estado': 'not_paid', 'nombre_estado': 'Sin pagar', 'evento': {'id_evento': '', 'nom_evento': '', 'Fecha_hora_ini_event': '', 'Fecha_hora_fin_event': '', 'id_organizador': '', 'nom_organizador': 'FIESTAS BRAVAS GROUP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</si>
  <si>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208.23, 'precio_unitario': 245.71, 'descuento': 0.0, 'subtotal': 208.23, 'porcentaje_de_igv': '18.00', 'igv': 37.48, 'total': 245.71, 'moneda': '1', 'tipo_de_cambio': '', 'id_estado': 'not_paid', 'nombre_estado': 'Sin pagar', 'evento': {'id_evento': '', 'nom_evento': '', 'Fecha_hora_ini_event': '', 'Fecha_hora_fin_event': '', 'id_organizador': '', 'nom_organizador': 'FIESTAS BRAVAS GROUP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</si>
  <si>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'LA PLAZA GASTRONOMICA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</si>
  <si>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218.69, 'precio_unitario': 258.06, 'descuento': 0.0, 'subtotal': 218.69, 'porcentaje_de_igv': '18.00', 'igv': 39.37, 'total': 258.06, 'moneda': '1', 'tipo_de_cambio': '', 'id_estado': 'not_paid', 'nombre_estado': 'Sin pagar', 'evento': {'id_evento': '', 'nom_evento': '', 'Fecha_hora_ini_event': '', 'Fecha_hora_fin_event': '', 'id_organizador': '', 'nom_organizador': 'LA PLAZA GASTRONOMICA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</si>
  <si>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ECO CABAÃ‘AS DEL ESTE S.A.C.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</si>
  <si>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'ECO CABAÃ‘AS DEL ESTE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</si>
  <si>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311.91, 'precio_unitario': 368.05, 'descuento': 0.0, 'subtotal': 311.91, 'porcentaje_de_igv': '18.00', 'igv': 56.14, 'total': 368.05, 'moneda': '1', 'tipo_de_cambio': '', 'id_estado': 'not_paid', 'nombre_estado': 'Sin pagar', 'evento': {'id_evento': '', 'nom_evento': '', 'Fecha_hora_ini_event': '', 'Fecha_hora_fin_event': '', 'id_organizador': '', 'nom_organizador': 'ECO CABAÃ‘AS DEL ESTE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</si>
  <si>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'SABORES CRIOLLOS DEL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</si>
  <si>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678.25, 'precio_unitario': 800.33, 'descuento': 0.0, 'subtotal': 678.25, 'porcentaje_de_igv': '18.00', 'igv': 122.08, 'total': 800.33, 'moneda': '1', 'tipo_de_cambio': '', 'id_estado': 'not_paid', 'nombre_estado': 'Sin pagar', 'evento': {'id_evento': '', 'nom_evento': '', 'Fecha_hora_ini_event': '', 'Fecha_hora_fin_event': '', 'id_organizador': '', 'nom_organizador': 'SABORES CRIOLLOS DEL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</si>
  <si>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'888', 'nom_producto': 'FEE ADMINISTRATIVO - Fee administrativo adelanto de recaudaciÃ³n',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'SAOCO FR E.I.R.L.',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</si>
  <si>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FEE ADMINISTRATIVO - Fee administrativo adelanto de recaudaciÃ³n</t>
  </si>
  <si>
    <t>[{'id_producto': '1', 'codigo_producto': '877', 'nom_producto': 'COMISIÃ“N PAGOS DIGITALES SEGÃšN CONTRATO', 'categoria_producto': 'consu', 'cantidad': '1.0', 'valor_unitario': 2836.25, 'precio_unitario': 3346.77, 'descuento': 0.0, 'subtotal': 2836.25, 'porcentaje_de_igv': '18.00', 'igv': 510.52, 'total': 3346.77, 'moneda': '1', 'tipo_de_cambio': '', 'id_estado': 'not_paid', 'nombre_estado': 'Sin pagar', 'evento': {'id_evento': '', 'nom_evento': '', 'Fecha_hora_ini_event': '', 'Fecha_hora_fin_event': '', 'id_organizador': '', 'nom_organizador': 'SAOCO FR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</si>
  <si>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2033.08, 'precio_unitario': 2399.04, 'descuento': 0.0, 'subtotal': 2033.08, 'porcentaje_de_igv': '18.00', 'igv': 365.96, 'total': 2399.04, 'moneda': '1', 'tipo_de_cambio': '', 'id_estado': 'not_paid', 'nombre_estado': 'Sin pagar', 'evento': {'id_evento': '', 'nom_evento': '', 'Fecha_hora_ini_event': '', 'Fecha_hora_fin_event': '', 'id_organizador': '', 'nom_organizador': 'SAOCO FR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</si>
  <si>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59.66, 'precio_unitario': 70.4, 'descuento': 0.0, 'subtotal': 59.66, 'porcentaje_de_igv': '18.00', 'igv': 10.74, 'total': 70.4, 'moneda': '1', 'tipo_de_cambio': '', 'id_estado': 'not_paid', 'nombre_estado': 'Sin pagar', 'evento': {'id_evento': '', 'nom_evento': '', 'Fecha_hora_ini_event': '', 'Fecha_hora_fin_event': '', 'id_organizador': '', 'nom_organizador': 'ALEX DARWIN MUERAS PORRAS',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</si>
  <si>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43.0, 'precio_unitario': 50.74, 'descuento': 0.0, 'subtotal': 43.0, 'porcentaje_de_igv': '18.00', 'igv': 7.74, 'total': 50.74, 'moneda': '1', 'tipo_de_cambio': '', 'id_estado': 'not_paid', 'nombre_estado': 'Sin pagar', 'evento': {'id_evento': '', 'nom_evento': '', 'Fecha_hora_ini_event': '', 'Fecha_hora_fin_event': '', 'id_organizador': '', 'nom_organizador': 'ALEX DARWIN MUERAS PORRAS',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</si>
  <si>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66.45, 'precio_unitario': 78.41, 'descuento': 0.0, 'subtotal': 66.45, 'porcentaje_de_igv': '18.00', 'igv': 11.96, 'total': 78.41, 'moneda': '1', 'tipo_de_cambio': '', 'id_estado': 'not_paid', 'nombre_estado': 'Sin pagar', 'evento': {'id_evento': '', 'nom_evento': '', 'Fecha_hora_ini_event': '', 'Fecha_hora_fin_event': '', 'id_organizador': '', 'nom_organizador': 'Dilbert Aguilar',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</si>
  <si>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41.47, 'precio_unitario': 48.94, 'descuento': 0.0, 'subtotal': 41.47, 'porcentaje_de_igv': '18.01', 'igv': 7.47, 'total': 48.94, 'moneda': '1', 'tipo_de_cambio': '', 'id_estado': 'not_paid', 'nombre_estado': 'Sin pagar', 'evento': {'id_evento': '', 'nom_evento': '', 'Fecha_hora_ini_event': '', 'Fecha_hora_fin_event': '', 'id_organizador': '', 'nom_organizador': 'Dilbert Aguilar',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</si>
  <si>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222.31, 'precio_unitario': 262.32, 'descuento': 0.0, 'subtotal': 222.31, 'porcentaje_de_igv': '18.00', 'igv': 40.01, 'total': 262.32,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</si>
  <si>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133.42, 'precio_unitario': 157.44, 'descuento': 0.0, 'subtotal': 133.42, 'porcentaje_de_igv': '18.00', 'igv': 24.02, 'total': 157.44,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</si>
  <si>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21.61, 'precio_unitario': 25.5, 'descuento': 0.0, 'subtotal': 21.61, 'porcentaje_de_igv': '18.00', 'igv': 3.89, 'total': 25.5, 'moneda': '1', 'tipo_de_cambio': '', 'id_estado': 'not_paid', 'nombre_estado': 'Sin pagar', 'evento': {'id_evento': '', 'nom_evento': '', 'Fecha_hora_ini_event': '', 'Fecha_hora_fin_event': '', 'id_organizador': '', 'nom_organizador': 'PROMOTORA SR. DE MURUHUAY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</si>
  <si>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15.25, 'precio_unitario': 18.0, 'descuento': 0.0, 'subtotal': 15.25, 'porcentaje_de_igv': '18.03', 'igv': 2.75, 'total': 18.0, 'moneda': '1', 'tipo_de_cambio': '', 'id_estado': 'not_paid', 'nombre_estado': 'Sin pagar', 'evento': {'id_evento': '', 'nom_evento': '', 'Fecha_hora_ini_event': '', 'Fecha_hora_fin_event': '', 'id_organizador': '', 'nom_organizador': 'PROMOTORA SR. DE MURUHUAY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</si>
  <si>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08312410</t>
  </si>
  <si>
    <t>[{'id_producto': '1', 'codigo_producto': '887', 'nom_producto': 'COMISIÃ“N VAOPE SEGUN CONTRATO - MARGARITA ARROYO 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'', 'nom_organizador': 'MARGARITA ARROYO FLORES\n',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</si>
  <si>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VAOPE SEGUN CONTRATO - MARGARITA ARROYO </t>
  </si>
  <si>
    <t xml:space="preserve">MARGARITA ARROYO FLORES
</t>
  </si>
  <si>
    <t>[{'id_producto': '1', 'codigo_producto': '886', 'nom_producto': 'COMISIÃ“N PAGOS DIGITALES SEGUN CONTRATO - MARGARITA ARROYO ', 'categoria_producto': 'consu',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'', 'nom_organizador': 'MARGARITA ARROYO FLORES\n',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</si>
  <si>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 xml:space="preserve">COMISIÃ“N PAGOS DIGITALES SEGUN CONTRATO - MARGARITA ARROYO </t>
  </si>
  <si>
    <t>[{'id_producto': '1', 'codigo_producto': '885', 'nom_producto': 'COMISIÃ“N VAOPE SEGUN CONTRATO',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'', 'nom_organizador': 'COJAL ARROYO JAVIER MARCIANO',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</si>
  <si>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'01', 'nom_producto': 'COMISIÃ“N PAGOS DIGITALES SEGUN CONTRATO', 'categoria_producto': 'service',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'', 'nom_organizador': 'COJAL ARROYO JAVIER MARCIANO',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</si>
  <si>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'01', 'nom_producto': 'COMISIÃ“N PAGOS DIGITALES SEGUN CONTRATO', 'categoria_producto': 'service', 'cantidad': '1.0', 'valor_unitario': 757.54, 'precio_unitario': 893.9, 'descuento': 0.0, 'subtotal': 757.54, 'porcentaje_de_igv': '18.00', 'igv': 136.36, 'total': 893.9,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</si>
  <si>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460.17, 'precio_unitario': 543.0, 'descuento': 0.0, 'subtotal': 460.17, 'porcentaje_de_igv': '18.00', 'igv': 82.83, 'total': 543.0,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</si>
  <si>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8.5, 'precio_unitario': 10.03, 'descuento': 0.0, 'subtotal': 8.5, 'porcentaje_de_igv': '18.00', 'igv': 1.53, 'total': 10.03,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</si>
  <si>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'883', 'nom_producto': 'PERSONAL - CREACION CONTENIDO- PROMOCIONAR EVENTO 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73, 'nom_distribucion': 'Contenido', 'sub_categoria': 'Personal temporal', 'porcentaje': '100.00'}]]}]</t>
  </si>
  <si>
    <t xml:space="preserve">PERSONAL - CREACION CONTENIDO- PROMOCIONAR EVENTO </t>
  </si>
  <si>
    <t>[[{'codigo': 73, 'nom_distribucion': 'Contenido', 'sub_categoria': 'Personal temporal', 'porcentaje': '100.00'}]]</t>
  </si>
  <si>
    <t>[{'id_producto': '1', 'codigo_producto': '881', 'nom_producto': 'ENTRADAS IMPRESAS - *ORDEN DE VENTA NÂ°506*\n * Alberto Barros en El Remanso de Comas/ 1,200 BRAZALETES VIP / 2,250 FULL COLOR GENERAL (S/1,770.00)\n', 'categoria_producto': 'consu', 'cantidad': '1.0', 'valor_unitario': 1500.0, 'precio_unitario': 1770.0, 'descuento': 0.0, 'subtotal': 1500.0, 'porcentaje_de_igv': '18.00', 'igv': 270.0, 'total': 1770.0,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</si>
  <si>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 xml:space="preserve">ENTRADAS IMPRESAS - *ORDEN DE VENTA NÂ°506*
 * Alberto Barros en El Remanso de Comas/ 1,200 BRAZALETES VIP / 2,250 FULL COLOR GENERAL (S/1,770.00)
</t>
  </si>
  <si>
    <t>[{'id_producto': '1', 'codigo_producto': '877', 'nom_producto': 'COMISIÃ“N PAGOS DIGITALES SEGÃšN CONTRATO', 'categoria_producto': 'consu', 'cantidad': '1.0', 'valor_unitario': 2915.0, 'precio_unitario': 3439.7, 'descuento': 0.0, 'subtotal': 2915.0, 'porcentaje_de_igv': '18.00', 'igv': 524.7, 'total': 3439.7,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</si>
  <si>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1759.92, 'precio_unitario': 2076.7, 'descuento': 0.0, 'subtotal': 1759.92, 'porcentaje_de_igv': '18.00', 'igv': 316.78, 'total': 2076.7,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</si>
  <si>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170.76, 'precio_unitario': 201.5, 'descuento': 0.0, 'subtotal': 170.76, 'porcentaje_de_igv': '18.00', 'igv': 30.74, 'total': 201.5,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</si>
  <si>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102.29, 'precio_unitario': 120.7, 'descuento': 0.0, 'subtotal': 102.29, 'porcentaje_de_igv': '18.00', 'igv': 18.41, 'total': 120.7,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</si>
  <si>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75.68, 'precio_unitario': 89.3, 'descuento': 0.0, 'subtotal': 75.68, 'porcentaje_de_igv': '18.00', 'igv': 13.62, 'total': 89.3, 'moneda': '1', 'tipo_de_cambio': '', 'id_estado': 'not_paid', 'nombre_estado': 'Sin pagar', 'evento': {'id_evento': '', 'nom_evento': '', 'Fecha_hora_ini_event': '', 'Fecha_hora_fin_event': '', 'id_organizador': '', 'nom_organizador': 'SUPER LEO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</si>
  <si>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43.22, 'precio_unitario': 51.0, 'descuento': 0.0, 'subtotal': 43.22, 'porcentaje_de_igv': '18.00', 'igv': 7.78, 'total': 51.0, 'moneda': '1', 'tipo_de_cambio': '', 'id_estado': 'not_paid', 'nombre_estado': 'Sin pagar', 'evento': {'id_evento': '', 'nom_evento': '', 'Fecha_hora_ini_event': '', 'Fecha_hora_fin_event': '', 'id_organizador': '', 'nom_organizador': 'SUPER LEO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</si>
  <si>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889.65, 'precio_unitario': 1049.79, 'descuento': 0.0, 'subtotal': 889.65, 'porcentaje_de_igv': '18.00', 'igv': 160.14, 'total': 1049.79,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</si>
  <si>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545.08, 'precio_unitario': 643.2, 'descuento': 0.0, 'subtotal': 545.08, 'porcentaje_de_igv': '18.00', 'igv': 98.12, 'total': 643.2,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</si>
  <si>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39.73, 'precio_unitario': 46.88, 'descuento': 0.0, 'subtotal': 39.73, 'porcentaje_de_igv': '18.00', 'igv': 7.15, 'total': 46.88, 'moneda': '1', 'tipo_de_cambio': '', 'id_estado': 'not_paid', 'nombre_estado': 'Sin pagar', 'evento': {'id_evento': '', 'nom_evento': '', 'Fecha_hora_ini_event': '', 'Fecha_hora_fin_event': '', 'id_organizador': '', 'nom_organizador': 'JOSE CORPUS CERDAN DIAZ',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</si>
  <si>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24.58, 'precio_unitario': 29.0, 'descuento': 0.0, 'subtotal': 24.58, 'porcentaje_de_igv': '17.98', 'igv': 4.42, 'total': 29.0, 'moneda': '1', 'tipo_de_cambio': '', 'id_estado': 'not_paid', 'nombre_estado': 'Sin pagar', 'evento': {'id_evento': '', 'nom_evento': '', 'Fecha_hora_ini_event': '', 'Fecha_hora_fin_event': '', 'id_organizador': '', 'nom_organizador': 'JOSE CORPUS CERDAN DIAZ',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</si>
  <si>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58.39, 'precio_unitario': 68.9, 'descuento': 0.0, 'subtotal': 58.39, 'porcentaje_de_igv': '18.00', 'igv': 10.51, 'total': 68.9,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</si>
  <si>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38.81, 'precio_unitario': 45.8, 'descuento': 0.0, 'subtotal': 38.81, 'porcentaje_de_igv': '18.01', 'igv': 6.99, 'total': 45.8,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</si>
  <si>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11.53, 'precio_unitario': 13.6, 'descuento': 0.0, 'subtotal': 11.53, 'porcentaje_de_igv': '17.95', 'igv': 2.07, 'total': 13.6, 'moneda': '1', 'tipo_de_cambio': '', 'id_estado': 'not_paid', 'nombre_estado': 'Sin pagar', 'evento': {'id_evento': '', 'nom_evento': '', 'Fecha_hora_ini_event': '', 'Fecha_hora_fin_event': '', 'id_organizador': '', 'nom_organizador': 'MAQUINA DEL TIEMPO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</si>
  <si>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8.14, 'precio_unitario': 9.6, 'descuento': 0.0, 'subtotal': 8.14, 'porcentaje_de_igv': '17.94', 'igv': 1.46, 'total': 9.6, 'moneda': '1', 'tipo_de_cambio': '', 'id_estado': 'not_paid', 'nombre_estado': 'Sin pagar', 'evento': {'id_evento': '', 'nom_evento': '', 'Fecha_hora_ini_event': '', 'Fecha_hora_fin_event': '', 'id_organizador': '', 'nom_organizador': 'MAQUINA DEL TIEMPO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</si>
  <si>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'JENNER ROBERTO CRISANTA RIOS',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</si>
  <si>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598.73, 'precio_unitario': 706.5, 'descuento': 0.0, 'subtotal': 598.73, 'porcentaje_de_igv': '18.00', 'igv': 107.77, 'total': 706.5, 'moneda': '1', 'tipo_de_cambio': '', 'id_estado': 'not_paid', 'nombre_estado': 'Sin pagar', 'evento': {'id_evento': '', 'nom_evento': '', 'Fecha_hora_ini_event': '', 'Fecha_hora_fin_event': '', 'id_organizador': '', 'nom_organizador': 'JENNER ROBERTO CRISANTA RIOS',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</si>
  <si>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343.47, 'precio_unitario': 405.3, 'descuento': 0.0, 'subtotal': 343.47, 'porcentaje_de_igv': '18.00', 'igv': 61.83, 'total': 405.3, 'moneda': '1', 'tipo_de_cambio': '', 'id_estado': 'not_paid', 'nombre_estado': 'Sin pagar', 'evento': {'id_evento': '', 'nom_evento': '', 'Fecha_hora_ini_event': '', 'Fecha_hora_fin_event': '', 'id_organizador': '', 'nom_organizador': 'JENNER ROBERTO CRISANTA RIOS',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</si>
  <si>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323.68, 'precio_unitario': 381.94, 'descuento': 0.0, 'subtotal': 323.68, 'porcentaje_de_igv': '18.00', 'igv': 58.26, 'total': 381.94, 'moneda': '1', 'tipo_de_cambio': '', 'id_estado': 'not_paid', 'nombre_estado': 'Sin pagar', 'evento': {'id_evento': '', 'nom_evento': '', 'Fecha_hora_ini_event': '', 'Fecha_hora_fin_event': '', 'id_organizador': '', 'nom_organizador': 'CRISTHIAM ABEL ALDANA CASTILLO',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</si>
  <si>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177.59, 'precio_unitario': 209.56, 'descuento': 0.0, 'subtotal': 177.59, 'porcentaje_de_igv': '18.00', 'igv': 31.97, 'total': 209.56, 'moneda': '1', 'tipo_de_cambio': '', 'id_estado': 'not_paid', 'nombre_estado': 'Sin pagar', 'evento': {'id_evento': '', 'nom_evento': '', 'Fecha_hora_ini_event': '', 'Fecha_hora_fin_event': '', 'id_organizador': '', 'nom_organizador': 'CRISTHIAM ABEL ALDANA CASTILLO',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</si>
  <si>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</si>
  <si>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</si>
  <si>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2919.83, 'precio_unitario': 3445.4, 'descuento': 0.0, 'subtotal': 2919.83, 'porcentaje_de_igv': '18.00', 'igv': 525.57, 'total': 3445.4,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</si>
  <si>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1439.87, 'precio_unitario': 1699.05, 'descuento': 0.0, 'subtotal': 1439.87, 'porcentaje_de_igv': '18.00', 'igv': 259.18, 'total': 1699.05,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</si>
  <si>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</si>
  <si>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3774.66, 'precio_unitario': 4454.1, 'descuento': 0.0, 'subtotal': 3774.66, 'porcentaje_de_igv': '18.00', 'igv': 679.44, 'total': 4454.1,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</si>
  <si>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3056.78, 'precio_unitario': 3607.0, 'descuento': 0.0, 'subtotal': 3056.78, 'porcentaje_de_igv': '18.00', 'igv': 550.22, 'total': 3607.0,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</si>
  <si>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07154777</t>
  </si>
  <si>
    <t>[{'id_producto': '1', 'codigo_producto': '877', 'nom_producto': 'COMISIÃ“N PAGOS DIGITALES SEGÃšN CONTRATO', 'categoria_producto': 'consu', 'cantidad': '1.0', 'valor_unitario': 129.15, 'precio_unitario': 152.4, 'descuento': 0.0, 'subtotal': 129.15, 'porcentaje_de_igv': '18.00', 'igv': 23.25, 'total': 152.4, 'moneda': '1', 'tipo_de_cambio': '', 'id_estado': 'not_paid', 'nombre_estado': 'Sin pagar', 'evento': {'id_evento': '', 'nom_evento': '', 'Fecha_hora_ini_event': '', 'Fecha_hora_fin_event': '', 'id_organizador': '', 'nom_organizador': 'PERCY ORDINOLA',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</si>
  <si>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84.07, 'precio_unitario': 99.2, 'descuento': 0.0, 'subtotal': 84.07, 'porcentaje_de_igv': '18.00', 'igv': 15.13, 'total': 99.2, 'moneda': '1', 'tipo_de_cambio': '', 'id_estado': 'not_paid', 'nombre_estado': 'Sin pagar', 'evento': {'id_evento': '', 'nom_evento': '', 'Fecha_hora_ini_event': '', 'Fecha_hora_fin_event': '', 'id_organizador': '', 'nom_organizador': 'PERCY ORDINOLA',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</si>
  <si>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'990', 'nom_producto': 'COMISION CORTESIA - delivery',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</si>
  <si>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COMISION CORTESIA - delivery</t>
  </si>
  <si>
    <t>[{'id_producto': '1', 'codigo_producto': '875', 'nom_producto': 'ENTRADAS IMPRESAS - ORDEN DE VENTA NÂ°510 * AÃ±o Nuevo 2025 en Arequipa con ArmonÃ­a 10, Yarita Lizeth,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</si>
  <si>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NÂ°510 * AÃ±o Nuevo 2025 en Arequipa con ArmonÃ­a 10, Yarita Lizeth, Deyvis Orosco y mÃ¡s / 4,000 FULL COLOR GENERAL / 2,000 BRAZALETES VIP / 1,000 BRAZALETES PLATINUM (S/4,012.00)</t>
  </si>
  <si>
    <t>[{'id_producto': '1', 'codigo_producto': '871', 'nom_producto': 'COMISIÃ“N PAGOS DIGITALES SEGÃšN CONTRATO ', 'categoria_producto': 'consu', 'cantidad': '1.0', 'valor_unitario': 1590.93, 'precio_unitario': 1877.3, 'descuento': 0.0, 'subtotal': 1590.93, 'porcentaje_de_igv': '18.00', 'igv': 286.37, 'total': 1877.3,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</si>
  <si>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2158.64, 'precio_unitario': 2547.2, 'descuento': 0.0, 'subtotal': 2158.64, 'porcentaje_de_igv': '18.00', 'igv': 388.56, 'total': 2547.2,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</si>
  <si>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</si>
  <si>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'873', 'nom_producto': 'PERSONAL - Servicio de 03 validadores (Inc IGV) 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</si>
  <si>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 xml:space="preserve">PERSONAL - Servicio de 03 validadores (Inc IGV) </t>
  </si>
  <si>
    <t>[{'id_producto': '1', 'codigo_producto': '872', 'nom_producto': 'ENTRADAS IMPRESAS - ORDEN DE VENTA NÂ°508\n * FiestÃ³n de AÃ±o Nuevo Lima Norte en Plaza de Acho con ArmonÃ­a 10, Pamela Franco, Deyvis Orosco y mÃ¡s/ 4,000 FULL COLOR GENERAL / 2,000 BRAZALETES VIP / 1,500 BRAZALETES PLATINUM (S/4,366.00)', 'categoria_producto': 'consu', 'cantidad': '1.0', 'valor_unitario': 3700.0, 'precio_unitario': 4366.0, 'descuento': 0.0, 'subtotal': 3700.0, 'porcentaje_de_igv': '18.00', 'igv': 666.0, 'total': 4366.0,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</si>
  <si>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ENTRADAS IMPRESAS - ORDEN DE VENTA NÂ°508
 * FiestÃ³n de AÃ±o Nuevo Lima Norte en Plaza de Acho con ArmonÃ­a 10, Pamela Franco, Deyvis Orosco y mÃ¡s/ 4,000 FULL COLOR GENERAL / 2,000 BRAZALETES VIP / 1,500 BRAZALETES PLATINUM (S/4,366.00)</t>
  </si>
  <si>
    <t>[{'id_producto': '1', 'codigo_producto': '871', 'nom_producto': 'COMISIÃ“N PAGOS DIGITALES SEGÃšN CONTRATO ', 'categoria_producto': 'consu', 'cantidad': '1.0', 'valor_unitario': 3425.85, 'precio_unitario': 4042.5, 'descuento': 0.0, 'subtotal': 3425.85, 'porcentaje_de_igv': '18.00', 'igv': 616.65, 'total': 4042.5,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</si>
  <si>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4569.66, 'precio_unitario': 5392.2, 'descuento': 0.0, 'subtotal': 4569.66, 'porcentaje_de_igv': '18.00', 'igv': 822.54, 'total': 5392.2,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</si>
  <si>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FB011420</t>
  </si>
  <si>
    <t>(03) Boleta BOB100000030</t>
  </si>
  <si>
    <t>(03) Boleta BOB100000029</t>
  </si>
  <si>
    <t>(01) Factura FOF100000046</t>
  </si>
  <si>
    <t>(01) Factura FOF100000045</t>
  </si>
  <si>
    <t>(01) Factura FOF100000044</t>
  </si>
  <si>
    <t>(01) Factura FOF100000043</t>
  </si>
  <si>
    <t>(01) Factura FOF100000042</t>
  </si>
  <si>
    <t>(01) Factura FOF100000041</t>
  </si>
  <si>
    <t>(01) Factura FOF100000040</t>
  </si>
  <si>
    <t>(03) Boleta BOB100000028</t>
  </si>
  <si>
    <t>(03) Boleta BOB100000027</t>
  </si>
  <si>
    <t>(03) Boleta BOB100000026</t>
  </si>
  <si>
    <t>(03) Boleta BOB100000025</t>
  </si>
  <si>
    <t>(03) Boleta BOB100000024</t>
  </si>
  <si>
    <t>(03) Boleta BOB100000023</t>
  </si>
  <si>
    <t>(01) Factura FOF100000039</t>
  </si>
  <si>
    <t>(01) Factura FOF100000038</t>
  </si>
  <si>
    <t>(01) Factura FOF100000037</t>
  </si>
  <si>
    <t>(01) Factura FOF100000036</t>
  </si>
  <si>
    <t>(01) Factura FOF100000035</t>
  </si>
  <si>
    <t>(01) Factura FOF100000034</t>
  </si>
  <si>
    <t>(03) Boleta BOB100000022</t>
  </si>
  <si>
    <t>(03) Boleta BOB100000021</t>
  </si>
  <si>
    <t>(03) Boleta BOB100000020</t>
  </si>
  <si>
    <t>(03) Boleta BOB100000019</t>
  </si>
  <si>
    <t>(01) Factura FOF100000033</t>
  </si>
  <si>
    <t>(01) Factura FOF100000032</t>
  </si>
  <si>
    <t>(01) Factura FOF100000031</t>
  </si>
  <si>
    <t>(01) Factura FOF100000030</t>
  </si>
  <si>
    <t>(01) Factura FOF100000029</t>
  </si>
  <si>
    <t>(01) Factura FOF100000028</t>
  </si>
  <si>
    <t>(01) Factura FOF100000027</t>
  </si>
  <si>
    <t>(01) Factura FOF100000026</t>
  </si>
  <si>
    <t>(03) Boleta BOB100000018</t>
  </si>
  <si>
    <t>(03) Boleta BOB100000017</t>
  </si>
  <si>
    <t>(03) Boleta BOB100000016</t>
  </si>
  <si>
    <t>(03) Boleta BOB100000015</t>
  </si>
  <si>
    <t>(03) Boleta BOB100000014</t>
  </si>
  <si>
    <t>(03) Boleta BOB100000013</t>
  </si>
  <si>
    <t>(03) Boleta BOB100000012</t>
  </si>
  <si>
    <t>(03) Boleta BOB100000011</t>
  </si>
  <si>
    <t>(03) Boleta BOB100000010</t>
  </si>
  <si>
    <t>(01) Factura FOF100000025</t>
  </si>
  <si>
    <t>(01) Factura FOF100000024</t>
  </si>
  <si>
    <t>(01) Factura FOF100000023</t>
  </si>
  <si>
    <t>(01) Factura FOF100000022</t>
  </si>
  <si>
    <t>(01) Factura FOF100000021</t>
  </si>
  <si>
    <t>(01) Factura FOF100000020</t>
  </si>
  <si>
    <t>(03) Boleta BOB100000009</t>
  </si>
  <si>
    <t>(01) Factura FOF100000019</t>
  </si>
  <si>
    <t>(01) Factura FOF100000018</t>
  </si>
  <si>
    <t>(01) Factura FOF100000017</t>
  </si>
  <si>
    <t>(01) Factura FOF100000016</t>
  </si>
  <si>
    <t>(01) Factura FOF100000015</t>
  </si>
  <si>
    <t>(03) Boleta BOB100000008</t>
  </si>
  <si>
    <t>(03) Boleta BOB100000007</t>
  </si>
  <si>
    <t>(03) Boleta BOB100000006</t>
  </si>
  <si>
    <t>(03) Boleta BOB100000005</t>
  </si>
  <si>
    <t>(03) Boleta BOB100000004</t>
  </si>
  <si>
    <t>(01) Factura FOF100000014</t>
  </si>
  <si>
    <t>(01) Factura FOF100000013</t>
  </si>
  <si>
    <t>(01) Factura FOF100000012</t>
  </si>
  <si>
    <t>(01) Factura FOF100000011</t>
  </si>
  <si>
    <t>(01) Factura FOF100000010</t>
  </si>
  <si>
    <t>(01) Factura FOF100000009</t>
  </si>
  <si>
    <t>(01) Factura FOF100000008</t>
  </si>
  <si>
    <t>(01) Factura FOF100000006</t>
  </si>
  <si>
    <t>(03) Boleta BOB100000003</t>
  </si>
  <si>
    <t>(03) Boleta BOB100000002</t>
  </si>
  <si>
    <t>(01) Factura FOF100000004</t>
  </si>
  <si>
    <t>(01) Factura FOF100000003</t>
  </si>
  <si>
    <t>(03) Boleta BOB100000001</t>
  </si>
  <si>
    <t>(01) Factura FOF100000002</t>
  </si>
  <si>
    <t>FFF1221</t>
  </si>
  <si>
    <t>FB011419</t>
  </si>
  <si>
    <t>FB011418</t>
  </si>
  <si>
    <t>BB01755</t>
  </si>
  <si>
    <t>BB01754</t>
  </si>
  <si>
    <t>FB011417</t>
  </si>
  <si>
    <t>FB011416</t>
  </si>
  <si>
    <t>FB011415</t>
  </si>
  <si>
    <t>BB01753</t>
  </si>
  <si>
    <t>BB01752</t>
  </si>
  <si>
    <t>BB01751</t>
  </si>
  <si>
    <t>BB01750</t>
  </si>
  <si>
    <t>BB01749</t>
  </si>
  <si>
    <t>BB01748</t>
  </si>
  <si>
    <t>BB01747</t>
  </si>
  <si>
    <t>BB01746</t>
  </si>
  <si>
    <t>BB01745</t>
  </si>
  <si>
    <t>BB01744</t>
  </si>
  <si>
    <t>BB01743</t>
  </si>
  <si>
    <t>BB01742</t>
  </si>
  <si>
    <t>FB011414</t>
  </si>
  <si>
    <t>FB011413</t>
  </si>
  <si>
    <t>FB011412</t>
  </si>
  <si>
    <t>FB011411</t>
  </si>
  <si>
    <t>FB011410</t>
  </si>
  <si>
    <t>FB011409</t>
  </si>
  <si>
    <t>BB01741</t>
  </si>
  <si>
    <t>BB01740</t>
  </si>
  <si>
    <t>BB01739</t>
  </si>
  <si>
    <t>FB011408</t>
  </si>
  <si>
    <t>FB011407</t>
  </si>
  <si>
    <t>FB011406</t>
  </si>
  <si>
    <t>FB011405</t>
  </si>
  <si>
    <t>BB01738</t>
  </si>
  <si>
    <t>BB01737</t>
  </si>
  <si>
    <t>BB01736</t>
  </si>
  <si>
    <t>FB011404</t>
  </si>
  <si>
    <t>FB011403</t>
  </si>
  <si>
    <t>FB011402</t>
  </si>
  <si>
    <t>FB011401</t>
  </si>
  <si>
    <t>FB011400</t>
  </si>
  <si>
    <t>FB011399</t>
  </si>
  <si>
    <t>FB011398</t>
  </si>
  <si>
    <t>FB011397</t>
  </si>
  <si>
    <t>BB01735</t>
  </si>
  <si>
    <t>BB01734</t>
  </si>
  <si>
    <t>FB011396</t>
  </si>
  <si>
    <t>FB011395</t>
  </si>
  <si>
    <t>FB011394</t>
  </si>
  <si>
    <t>FB011393</t>
  </si>
  <si>
    <t>FB011392</t>
  </si>
  <si>
    <t>FB011391</t>
  </si>
  <si>
    <t>FB011390</t>
  </si>
  <si>
    <t>FB011389</t>
  </si>
  <si>
    <t>FB011388</t>
  </si>
  <si>
    <t>FB011387</t>
  </si>
  <si>
    <t>FB011386</t>
  </si>
  <si>
    <t>FB011385</t>
  </si>
  <si>
    <t>FB011384</t>
  </si>
  <si>
    <t>BB01733</t>
  </si>
  <si>
    <t>BB01732</t>
  </si>
  <si>
    <t>BB01731</t>
  </si>
  <si>
    <t>BB01730</t>
  </si>
  <si>
    <t>FB011383</t>
  </si>
  <si>
    <t>FB011382</t>
  </si>
  <si>
    <t>FB011381</t>
  </si>
  <si>
    <t>FB011380</t>
  </si>
  <si>
    <t>FB011379</t>
  </si>
  <si>
    <t>FB011378</t>
  </si>
  <si>
    <t>BB01729</t>
  </si>
  <si>
    <t>BB01728</t>
  </si>
  <si>
    <t>BB01727</t>
  </si>
  <si>
    <t>BB01726</t>
  </si>
  <si>
    <t>BB01725</t>
  </si>
  <si>
    <t>BB01724</t>
  </si>
  <si>
    <t>FB011377</t>
  </si>
  <si>
    <t>FB011376</t>
  </si>
  <si>
    <t>FB011375</t>
  </si>
  <si>
    <t>FB011374</t>
  </si>
  <si>
    <t>FB011373</t>
  </si>
  <si>
    <t>FB011372</t>
  </si>
  <si>
    <t>FB011371</t>
  </si>
  <si>
    <t>FB011370</t>
  </si>
  <si>
    <t>FB011369</t>
  </si>
  <si>
    <t>FB011368</t>
  </si>
  <si>
    <t>FB011367</t>
  </si>
  <si>
    <t>FB011366</t>
  </si>
  <si>
    <t>FB011365</t>
  </si>
  <si>
    <t>FB011364</t>
  </si>
  <si>
    <t>FB011363</t>
  </si>
  <si>
    <t>FB011362</t>
  </si>
  <si>
    <t>FFF1218</t>
  </si>
  <si>
    <t>BB01721</t>
  </si>
  <si>
    <t>BB01720</t>
  </si>
  <si>
    <t>BB01719</t>
  </si>
  <si>
    <t>BB01718</t>
  </si>
  <si>
    <t>FB011361</t>
  </si>
  <si>
    <t>FB011360</t>
  </si>
  <si>
    <t>BB01717</t>
  </si>
  <si>
    <t>BB01716</t>
  </si>
  <si>
    <t>BB01715</t>
  </si>
  <si>
    <t>BB01714</t>
  </si>
  <si>
    <t>BB01713</t>
  </si>
  <si>
    <t>BB01712</t>
  </si>
  <si>
    <t>BB01711</t>
  </si>
  <si>
    <t>FB011359</t>
  </si>
  <si>
    <t>FB011358</t>
  </si>
  <si>
    <t>BB01710</t>
  </si>
  <si>
    <t>BB01709</t>
  </si>
  <si>
    <t>BB01708</t>
  </si>
  <si>
    <t>BB01707</t>
  </si>
  <si>
    <t>FB011357</t>
  </si>
  <si>
    <t>FB011356</t>
  </si>
  <si>
    <t>FB011355</t>
  </si>
  <si>
    <t>FB011354</t>
  </si>
  <si>
    <t>FB011353</t>
  </si>
  <si>
    <t>FB011352</t>
  </si>
  <si>
    <t>FB011351</t>
  </si>
  <si>
    <t>FB011350</t>
  </si>
  <si>
    <t>FB011349</t>
  </si>
  <si>
    <t>FB011348</t>
  </si>
  <si>
    <t>FB011347</t>
  </si>
  <si>
    <t>FB011346</t>
  </si>
  <si>
    <t>FB011345</t>
  </si>
  <si>
    <t>FB011344</t>
  </si>
  <si>
    <t>FB011343</t>
  </si>
  <si>
    <t>FB011342</t>
  </si>
  <si>
    <t>FB011341</t>
  </si>
  <si>
    <t>FB011340</t>
  </si>
  <si>
    <t>FB011339</t>
  </si>
  <si>
    <t>FB011338</t>
  </si>
  <si>
    <t>FB011337</t>
  </si>
  <si>
    <t>FB011336</t>
  </si>
  <si>
    <t>FB011335</t>
  </si>
  <si>
    <t>FB011334</t>
  </si>
  <si>
    <t>FB011333</t>
  </si>
  <si>
    <t>FB011332</t>
  </si>
  <si>
    <t>FB011331</t>
  </si>
  <si>
    <t>FB011330</t>
  </si>
  <si>
    <t>FB011329</t>
  </si>
  <si>
    <t>FB011328</t>
  </si>
  <si>
    <t>FB011327</t>
  </si>
  <si>
    <t>FB011326</t>
  </si>
  <si>
    <t>FB011325</t>
  </si>
  <si>
    <t>FB011324</t>
  </si>
  <si>
    <t>FB011323</t>
  </si>
  <si>
    <t>FB011322</t>
  </si>
  <si>
    <t>FB011321</t>
  </si>
  <si>
    <t>FB011320</t>
  </si>
  <si>
    <t>BB01706</t>
  </si>
  <si>
    <t>BB01705</t>
  </si>
  <si>
    <t>BB01704</t>
  </si>
  <si>
    <t>BB01703</t>
  </si>
  <si>
    <t>BB01702</t>
  </si>
  <si>
    <t>BB01701</t>
  </si>
  <si>
    <t>FB011319</t>
  </si>
  <si>
    <t>FB011318</t>
  </si>
  <si>
    <t>BB01700</t>
  </si>
  <si>
    <t>BB01699</t>
  </si>
  <si>
    <t>FB011317</t>
  </si>
  <si>
    <t>FB011316</t>
  </si>
  <si>
    <t>FB011315</t>
  </si>
  <si>
    <t>FB011314</t>
  </si>
  <si>
    <t>FB011313</t>
  </si>
  <si>
    <t>FFF1217</t>
  </si>
  <si>
    <t>FFF1216</t>
  </si>
  <si>
    <t>FFF1215</t>
  </si>
  <si>
    <t>BB01698</t>
  </si>
  <si>
    <t>BB01697</t>
  </si>
  <si>
    <t>BB01696</t>
  </si>
  <si>
    <t>BB01695</t>
  </si>
  <si>
    <t>BB01694</t>
  </si>
  <si>
    <t>BB01693</t>
  </si>
  <si>
    <t>BB01692</t>
  </si>
  <si>
    <t>BB01691</t>
  </si>
  <si>
    <t>BB01690</t>
  </si>
  <si>
    <t>BB01689</t>
  </si>
  <si>
    <t>BB01688</t>
  </si>
  <si>
    <t>BB01687</t>
  </si>
  <si>
    <t>BB01686</t>
  </si>
  <si>
    <t>BB01685</t>
  </si>
  <si>
    <t>BB01684</t>
  </si>
  <si>
    <t>BB01683</t>
  </si>
  <si>
    <t>BB01682</t>
  </si>
  <si>
    <t>BB01681</t>
  </si>
  <si>
    <t>BB01680</t>
  </si>
  <si>
    <t>BB01679</t>
  </si>
  <si>
    <t>BB01678</t>
  </si>
  <si>
    <t>BB01677</t>
  </si>
  <si>
    <t>BB01676</t>
  </si>
  <si>
    <t>BB01675</t>
  </si>
  <si>
    <t>FB011312</t>
  </si>
  <si>
    <t>FB011311</t>
  </si>
  <si>
    <t>FB011310</t>
  </si>
  <si>
    <t>FB011309</t>
  </si>
  <si>
    <t>FB011308</t>
  </si>
  <si>
    <t>FB011307</t>
  </si>
  <si>
    <t>FB011306</t>
  </si>
  <si>
    <t>FB011305</t>
  </si>
  <si>
    <t>FB011304</t>
  </si>
  <si>
    <t>FB011303</t>
  </si>
  <si>
    <t>FB011302</t>
  </si>
  <si>
    <t>FB011301</t>
  </si>
  <si>
    <t>FB011300</t>
  </si>
  <si>
    <t>FB011299</t>
  </si>
  <si>
    <t>FB011298</t>
  </si>
  <si>
    <t>FB011297</t>
  </si>
  <si>
    <t>FB011296</t>
  </si>
  <si>
    <t>FB011295</t>
  </si>
  <si>
    <t>FB011294</t>
  </si>
  <si>
    <t>FB011293</t>
  </si>
  <si>
    <t>FB011292</t>
  </si>
  <si>
    <t>FB011291</t>
  </si>
  <si>
    <t>FB011290</t>
  </si>
  <si>
    <t>FB011289</t>
  </si>
  <si>
    <t>FB011288</t>
  </si>
  <si>
    <t>FB011287</t>
  </si>
  <si>
    <t>FB011286</t>
  </si>
  <si>
    <t>FB011285</t>
  </si>
  <si>
    <t>FB011284</t>
  </si>
  <si>
    <t>FB011283</t>
  </si>
  <si>
    <t>FB011282</t>
  </si>
  <si>
    <t>BB01672</t>
  </si>
  <si>
    <t>BB01674</t>
  </si>
  <si>
    <t>BB01673</t>
  </si>
  <si>
    <t>BB01671</t>
  </si>
  <si>
    <t>BB01670</t>
  </si>
  <si>
    <t>BB01669</t>
  </si>
  <si>
    <t>BB01668</t>
  </si>
  <si>
    <t>FB011281</t>
  </si>
  <si>
    <t>FB011280</t>
  </si>
  <si>
    <t>FB011279</t>
  </si>
  <si>
    <t>FB011278</t>
  </si>
  <si>
    <t>BB01667</t>
  </si>
  <si>
    <t>BB01666</t>
  </si>
  <si>
    <t>FB011277</t>
  </si>
  <si>
    <t>FB011276</t>
  </si>
  <si>
    <t>FB011275</t>
  </si>
  <si>
    <t>FB011274</t>
  </si>
  <si>
    <t>FB011273</t>
  </si>
  <si>
    <t>FB011272</t>
  </si>
  <si>
    <t>FB011271</t>
  </si>
  <si>
    <t>FB011270</t>
  </si>
  <si>
    <t>FB011269</t>
  </si>
  <si>
    <t>FB011268</t>
  </si>
  <si>
    <t>FB011267</t>
  </si>
  <si>
    <t>FB011266</t>
  </si>
  <si>
    <t>FFF1214</t>
  </si>
  <si>
    <t>FFF1213</t>
  </si>
  <si>
    <t>FFF1212</t>
  </si>
  <si>
    <t>FFF1211</t>
  </si>
  <si>
    <t>BB01665</t>
  </si>
  <si>
    <t>BB01664</t>
  </si>
  <si>
    <t>FB011265</t>
  </si>
  <si>
    <t>FB011264</t>
  </si>
  <si>
    <t>FB011263</t>
  </si>
  <si>
    <t>FB011262</t>
  </si>
  <si>
    <t>FB011261</t>
  </si>
  <si>
    <t>FB011260</t>
  </si>
  <si>
    <t>BB01663</t>
  </si>
  <si>
    <t>BB01662</t>
  </si>
  <si>
    <t>FFF1210</t>
  </si>
  <si>
    <t>FFF1209</t>
  </si>
  <si>
    <t>FB011259</t>
  </si>
  <si>
    <t>FB011258</t>
  </si>
  <si>
    <t>FB011257</t>
  </si>
  <si>
    <t>FB011256</t>
  </si>
  <si>
    <t>FB011255</t>
  </si>
  <si>
    <t>FB011254</t>
  </si>
  <si>
    <t>FB011253</t>
  </si>
  <si>
    <t>FB011252</t>
  </si>
  <si>
    <t>FB011251</t>
  </si>
  <si>
    <t>FB011250</t>
  </si>
  <si>
    <t>BB01657</t>
  </si>
  <si>
    <t>BB01656</t>
  </si>
  <si>
    <t>FB011249</t>
  </si>
  <si>
    <t>FB011248</t>
  </si>
  <si>
    <t>BB01655</t>
  </si>
  <si>
    <t>BB01654</t>
  </si>
  <si>
    <t>BB01653</t>
  </si>
  <si>
    <t>BB01652</t>
  </si>
  <si>
    <t>BB01651</t>
  </si>
  <si>
    <t>FB011247</t>
  </si>
  <si>
    <t>FB011246</t>
  </si>
  <si>
    <t>FB011245</t>
  </si>
  <si>
    <t>FB011244</t>
  </si>
  <si>
    <t>FB011243</t>
  </si>
  <si>
    <t>FB011242</t>
  </si>
  <si>
    <t>FB011241</t>
  </si>
  <si>
    <t>FB011240</t>
  </si>
  <si>
    <t>FB011239</t>
  </si>
  <si>
    <t>FB011238</t>
  </si>
  <si>
    <t>FB011237</t>
  </si>
  <si>
    <t>FB011236</t>
  </si>
  <si>
    <t>FB011235</t>
  </si>
  <si>
    <t>FB011234</t>
  </si>
  <si>
    <t>FB011233</t>
  </si>
  <si>
    <t>FB011232</t>
  </si>
  <si>
    <t>FB011231</t>
  </si>
  <si>
    <t>FB011230</t>
  </si>
  <si>
    <t>FB011229</t>
  </si>
  <si>
    <t>FB011228</t>
  </si>
  <si>
    <t>FB011227</t>
  </si>
  <si>
    <t>FB011226</t>
  </si>
  <si>
    <t>FB011225</t>
  </si>
  <si>
    <t>FB011224</t>
  </si>
  <si>
    <t>FB011223</t>
  </si>
  <si>
    <t>FB011222</t>
  </si>
  <si>
    <t>FB011219</t>
  </si>
  <si>
    <t>FB011218</t>
  </si>
  <si>
    <t>FB011217</t>
  </si>
  <si>
    <t>FB011216</t>
  </si>
  <si>
    <t>FB011215</t>
  </si>
  <si>
    <t>BB01650</t>
  </si>
  <si>
    <t>BB01649</t>
  </si>
  <si>
    <t>FB011214</t>
  </si>
  <si>
    <t>FB011213</t>
  </si>
  <si>
    <t>FB011212</t>
  </si>
  <si>
    <t>FB011211</t>
  </si>
  <si>
    <t>FB011210</t>
  </si>
  <si>
    <t>FB011209</t>
  </si>
  <si>
    <t>FB011208</t>
  </si>
  <si>
    <t>FB011207</t>
  </si>
  <si>
    <t>FB011206</t>
  </si>
  <si>
    <t>FB011205</t>
  </si>
  <si>
    <t>FB011204</t>
  </si>
  <si>
    <t>BB01648</t>
  </si>
  <si>
    <t>BB01647</t>
  </si>
  <si>
    <t>BB01646</t>
  </si>
  <si>
    <t>BB01645</t>
  </si>
  <si>
    <t>FB011203</t>
  </si>
  <si>
    <t>FB011202</t>
  </si>
  <si>
    <t>FB011201</t>
  </si>
  <si>
    <t>FB011200</t>
  </si>
  <si>
    <t>BB01644</t>
  </si>
  <si>
    <t>BB01643</t>
  </si>
  <si>
    <t>FB011199</t>
  </si>
  <si>
    <t>FB011198</t>
  </si>
  <si>
    <t>BB01642</t>
  </si>
  <si>
    <t>BB01641</t>
  </si>
  <si>
    <t>FB011197</t>
  </si>
  <si>
    <t>FB011196</t>
  </si>
  <si>
    <t>FB011195</t>
  </si>
  <si>
    <t>FB011194</t>
  </si>
  <si>
    <t>FB011193</t>
  </si>
  <si>
    <t>FB011192</t>
  </si>
  <si>
    <t>FB011191</t>
  </si>
  <si>
    <t>FB011190</t>
  </si>
  <si>
    <t>FB011189</t>
  </si>
  <si>
    <t>FB011188</t>
  </si>
  <si>
    <t>BB01640</t>
  </si>
  <si>
    <t>BB01639</t>
  </si>
  <si>
    <t>BB01638</t>
  </si>
  <si>
    <t>BB01637</t>
  </si>
  <si>
    <t>FB011187</t>
  </si>
  <si>
    <t>FB011186</t>
  </si>
  <si>
    <t>FB011185</t>
  </si>
  <si>
    <t>FB011184</t>
  </si>
  <si>
    <t>BB01636</t>
  </si>
  <si>
    <t>BB01635</t>
  </si>
  <si>
    <t>BB01634</t>
  </si>
  <si>
    <t>BB01633</t>
  </si>
  <si>
    <t>BB01632</t>
  </si>
  <si>
    <t>FB011183</t>
  </si>
  <si>
    <t>FB011182</t>
  </si>
  <si>
    <t>FB011181</t>
  </si>
  <si>
    <t>FB011180</t>
  </si>
  <si>
    <t>BB01631</t>
  </si>
  <si>
    <t>BB01630</t>
  </si>
  <si>
    <t>BB01629</t>
  </si>
  <si>
    <t>BB01628</t>
  </si>
  <si>
    <t>BB01627</t>
  </si>
  <si>
    <t>FB011179</t>
  </si>
  <si>
    <t>FB011178</t>
  </si>
  <si>
    <t>FB011177</t>
  </si>
  <si>
    <t>FB011176</t>
  </si>
  <si>
    <t>FB011175</t>
  </si>
  <si>
    <t>FB011174</t>
  </si>
  <si>
    <t>FB011173</t>
  </si>
  <si>
    <t>FB011172</t>
  </si>
  <si>
    <t>FB011171</t>
  </si>
  <si>
    <t>LLAVES ID</t>
  </si>
  <si>
    <t>factventas</t>
  </si>
  <si>
    <t>dimFecha</t>
  </si>
  <si>
    <t>dimcuenta</t>
  </si>
  <si>
    <t>DimDistribucionAnalitica</t>
  </si>
  <si>
    <t xml:space="preserve"> q</t>
  </si>
  <si>
    <t>q</t>
  </si>
  <si>
    <t>DimProducto</t>
  </si>
  <si>
    <t>DimEvento</t>
  </si>
  <si>
    <t>DimVendedor</t>
  </si>
  <si>
    <t>DimEstadoFactura</t>
  </si>
  <si>
    <t>DimOrganizador</t>
  </si>
  <si>
    <t>Cuenta de item.evento.id_evento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</si>
</sst>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0" fillId="3" borderId="0" xfId="0" applyFill="1"/>
    <xf numFmtId="0" fontId="6" fillId="3" borderId="0" xfId="0" applyFont="1" applyFill="1"/>
    <xf numFmtId="0" fontId="4" fillId="0" borderId="0" xfId="0" quotePrefix="1" applyFont="1"/>
    <xf numFmtId="0" fontId="5" fillId="0" borderId="1" xfId="0" applyFont="1" applyBorder="1"/>
    <xf numFmtId="0" fontId="5" fillId="0" borderId="0" xfId="0" applyNumberFormat="1" applyFont="1"/>
    <xf numFmtId="0" fontId="0" fillId="0" borderId="0" xfId="0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447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125730</xdr:rowOff>
    </xdr:from>
    <xdr:to>
      <xdr:col>1</xdr:col>
      <xdr:colOff>1436369</xdr:colOff>
      <xdr:row>61</xdr:row>
      <xdr:rowOff>57149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0" y="809815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  <xdr:twoCellAnchor editAs="oneCell">
    <xdr:from>
      <xdr:col>45</xdr:col>
      <xdr:colOff>171450</xdr:colOff>
      <xdr:row>0</xdr:row>
      <xdr:rowOff>0</xdr:rowOff>
    </xdr:from>
    <xdr:to>
      <xdr:col>62</xdr:col>
      <xdr:colOff>154205</xdr:colOff>
      <xdr:row>33</xdr:row>
      <xdr:rowOff>134238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FA964E-A1E1-F884-F1A3-EBF6D0BC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84075" y="0"/>
          <a:ext cx="12936755" cy="6363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6.534184722223" createdVersion="8" refreshedVersion="8" minRefreshableVersion="3" recordCount="457" xr:uid="{C178F71C-4AE1-4058-87CA-431C55E77228}">
  <cacheSource type="worksheet">
    <worksheetSource ref="A1:AK458" sheet="FactClientes_InterfaceODOO"/>
  </cacheSource>
  <cacheFields count="39">
    <cacheField name="Número" numFmtId="4">
      <sharedItems count="457">
        <s v="(03) Boleta BOB1-00000030"/>
        <s v="(03) Boleta BOB1-00000029"/>
        <s v="(03) Boleta BOB1-00000028"/>
        <s v="(03) Boleta BOB1-00000027"/>
        <s v="(03) Boleta BOB1-00000026"/>
        <s v="(03) Boleta BOB1-00000025"/>
        <s v="(03) Boleta BOB1-00000024"/>
        <s v="(03) Boleta BOB1-00000023"/>
        <s v="(03) Boleta BOB1-00000022"/>
        <s v="(03) Boleta BOB1-00000021"/>
        <s v="(03) Boleta BOB1-00000020"/>
        <s v="(03) Boleta BOB1-00000019"/>
        <s v="(03) Boleta BOB1-00000018"/>
        <s v="(03) Boleta BOB1-00000017"/>
        <s v="(03) Boleta BOB1-00000016"/>
        <s v="(03) Boleta BOB1-00000015"/>
        <s v="(03) Boleta BOB1-00000014"/>
        <s v="(03) Boleta BOB1-00000013"/>
        <s v="(03) Boleta BOB1-00000012"/>
        <s v="(03) Boleta BOB1-00000011"/>
        <s v="(03) Boleta BOB1-00000010"/>
        <s v="(01) Factura FOF1-00000046"/>
        <s v="(01) Factura FOF1-00000045"/>
        <s v="(01) Factura FOF1-00000044"/>
        <s v="(01) Factura FOF1-00000043"/>
        <s v="(01) Factura FOF1-00000042"/>
        <s v="(01) Factura FOF1-00000041"/>
        <s v="(01) Factura FOF1-00000040"/>
        <s v="(01) Factura FOF1-00000039"/>
        <s v="(01) Factura FOF1-00000038"/>
        <s v="(01) Factura FOF1-00000037"/>
        <s v="(01) Factura FOF1-00000036"/>
        <s v="(01) Factura FOF1-00000035"/>
        <s v="(01) Factura FOF1-00000034"/>
        <s v="(01) Factura FOF1-00000033"/>
        <s v="(01) Factura FOF1-00000032"/>
        <s v="(01) Factura FOF1-00000031"/>
        <s v="(01) Factura FOF1-00000030"/>
        <s v="(01) Factura FOF1-00000029"/>
        <s v="(01) Factura FOF1-00000028"/>
        <s v="(01) Factura FOF1-00000027"/>
        <s v="(01) Factura FOF1-00000026"/>
        <s v="(01) Factura FOF1-00000025"/>
        <s v="(01) Factura FOF1-00000024"/>
        <s v="(01) Factura FOF1-00000023"/>
        <s v="(01) Factura FOF1-00000022"/>
        <s v="(03) Boleta BOB1-00000009"/>
        <s v="(01) Factura FOF1-00000021"/>
        <s v="(01) Factura FOF1-00000020"/>
        <s v="(01) Factura FOF1-00000019"/>
        <s v="(01) Factura FOF1-00000018"/>
        <s v="(01) Factura FOF1-00000017"/>
        <s v="(01) Factura FOF1-00000016"/>
        <s v="(01) Factura FOF1-00000015"/>
        <s v="(03) Boleta BOB1-00000008"/>
        <s v="(03) Boleta BOB1-00000007"/>
        <s v="(03) Boleta BOB1-00000006"/>
        <s v="(03) Boleta BOB1-00000005"/>
        <s v="(03) Boleta BOB1-00000004"/>
        <s v="(01) Factura FOF1-00000014"/>
        <s v="(01) Factura FOF1-00000013"/>
        <s v="(01) Factura FOF1-00000012"/>
        <s v="(01) Factura FOF1-00000011"/>
        <s v="(01) Factura FOF1-00000010"/>
        <s v="(01) Factura FOF1-00000009"/>
        <s v="(01) Factura FOF1-00000008"/>
        <s v="(01) Factura FOF1-00000006"/>
        <s v="(03) Boleta BOB1-00000003"/>
        <s v="(03) Boleta BOB1-00000002"/>
        <s v="(01) Factura FOF1-00000004"/>
        <s v="(01) Factura FOF1-00000003"/>
        <s v="(03) Boleta BOB1-00000001"/>
        <s v="(01) Factura FOF1-00000002"/>
        <s v="FFF1-221"/>
        <s v="FFF1-220"/>
        <s v="FFF1-219"/>
        <s v="FB01-1420"/>
        <s v="FB01-1419"/>
        <s v="FB01-1418"/>
        <s v="BB01-755"/>
        <s v="BB01-754"/>
        <s v="FB01-1417"/>
        <s v="FB01-1416"/>
        <s v="FB01-1415"/>
        <s v="FB01-1414"/>
        <s v="FB01-1413"/>
        <s v="FB01-1412"/>
        <s v="FB01-1411"/>
        <s v="FB01-1410"/>
        <s v="FB01-1409"/>
        <s v="FB01-1408"/>
        <s v="FB01-1407"/>
        <s v="FB01-1406"/>
        <s v="FB01-1405"/>
        <s v="FB01-1404"/>
        <s v="FB01-1403"/>
        <s v="FB01-1402"/>
        <s v="FB01-1401"/>
        <s v="FB01-1400"/>
        <s v="FB01-1399"/>
        <s v="FB01-1398"/>
        <s v="FB01-1397"/>
        <s v="FB01-1396"/>
        <s v="FB01-1395"/>
        <s v="FB01-1394"/>
        <s v="FB01-1393"/>
        <s v="FB01-1392"/>
        <s v="FB01-1391"/>
        <s v="FB01-1390"/>
        <s v="FB01-1389"/>
        <s v="FB01-1388"/>
        <s v="FB01-1387"/>
        <s v="FB01-1386"/>
        <s v="FB01-1385"/>
        <s v="FB01-1384"/>
        <s v="FB01-1383"/>
        <s v="FB01-1382"/>
        <s v="FB01-1381"/>
        <s v="FB01-1380"/>
        <s v="FB01-1379"/>
        <s v="FB01-1378"/>
        <s v="FB01-1377"/>
        <s v="FB01-1376"/>
        <s v="FB01-1375"/>
        <s v="FB01-1374"/>
        <s v="FB01-1373"/>
        <s v="FB01-1372"/>
        <s v="FB01-1371"/>
        <s v="FB01-1370"/>
        <s v="FB01-1369"/>
        <s v="FB01-1368"/>
        <s v="FB01-1367"/>
        <s v="FB01-1366"/>
        <s v="FB01-1365"/>
        <s v="FB01-1364"/>
        <s v="FB01-1363"/>
        <s v="BB01-753"/>
        <s v="BB01-752"/>
        <s v="BB01-751"/>
        <s v="BB01-750"/>
        <s v="BB01-749"/>
        <s v="BB01-748"/>
        <s v="BB01-747"/>
        <s v="BB01-746"/>
        <s v="BB01-745"/>
        <s v="BB01-744"/>
        <s v="BB01-743"/>
        <s v="BB01-742"/>
        <s v="BB01-741"/>
        <s v="BB01-740"/>
        <s v="BB01-739"/>
        <s v="BB01-738"/>
        <s v="BB01-737"/>
        <s v="BB01-736"/>
        <s v="BB01-735"/>
        <s v="BB01-734"/>
        <s v="BB01-733"/>
        <s v="BB01-732"/>
        <s v="BB01-731"/>
        <s v="BB01-730"/>
        <s v="BB01-729"/>
        <s v="BB01-728"/>
        <s v="BB01-727"/>
        <s v="BB01-726"/>
        <s v="BB01-725"/>
        <s v="BB01-724"/>
        <s v="FB01-1362"/>
        <s v="FFF1-218"/>
        <s v="FB01-1361"/>
        <s v="FB01-1360"/>
        <s v="BB01-721"/>
        <s v="BB01-720"/>
        <s v="BB01-719"/>
        <s v="BB01-718"/>
        <s v="BB01-717"/>
        <s v="BB01-716"/>
        <s v="BB01-715"/>
        <s v="BB01-714"/>
        <s v="BB01-713"/>
        <s v="BB01-712"/>
        <s v="BB01-711"/>
        <s v="FB01-1359"/>
        <s v="FB01-1358"/>
        <s v="FB01-1357"/>
        <s v="FB01-1356"/>
        <s v="FB01-1355"/>
        <s v="FB01-1354"/>
        <s v="FB01-1353"/>
        <s v="FB01-1352"/>
        <s v="FB01-1351"/>
        <s v="FB01-1350"/>
        <s v="FB01-1349"/>
        <s v="FB01-1348"/>
        <s v="FB01-1347"/>
        <s v="FB01-1346"/>
        <s v="FB01-1345"/>
        <s v="FB01-1344"/>
        <s v="FB01-1343"/>
        <s v="FB01-1342"/>
        <s v="FB01-1341"/>
        <s v="FB01-1340"/>
        <s v="FB01-1339"/>
        <s v="FB01-1338"/>
        <s v="FB01-1337"/>
        <s v="FB01-1336"/>
        <s v="FB01-1335"/>
        <s v="BB01-710"/>
        <s v="BB01-709"/>
        <s v="BB01-708"/>
        <s v="BB01-707"/>
        <s v="FFF1-217"/>
        <s v="FB01-1334"/>
        <s v="FB01-1333"/>
        <s v="FB01-1332"/>
        <s v="FB01-1331"/>
        <s v="FB01-1330"/>
        <s v="FB01-1329"/>
        <s v="FB01-1328"/>
        <s v="FB01-1327"/>
        <s v="FB01-1326"/>
        <s v="FB01-1325"/>
        <s v="FB01-1324"/>
        <s v="FB01-1323"/>
        <s v="FB01-1322"/>
        <s v="FB01-1321"/>
        <s v="FB01-1320"/>
        <s v="FB01-1319"/>
        <s v="FB01-1318"/>
        <s v="FB01-1317"/>
        <s v="FB01-1316"/>
        <s v="FB01-1315"/>
        <s v="FB01-1314"/>
        <s v="FB01-1313"/>
        <s v="BB01-706"/>
        <s v="BB01-705"/>
        <s v="BB01-704"/>
        <s v="BB01-703"/>
        <s v="BB01-702"/>
        <s v="BB01-701"/>
        <s v="BB01-700"/>
        <s v="BB01-699"/>
        <s v="FFF1-216"/>
        <s v="FFF1-215"/>
        <s v="FB01-1312"/>
        <s v="FB01-1311"/>
        <s v="FB01-1310"/>
        <s v="FB01-1309"/>
        <s v="FB01-1308"/>
        <s v="FB01-1307"/>
        <s v="FB01-1306"/>
        <s v="FB01-1305"/>
        <s v="FB01-1304"/>
        <s v="FB01-1303"/>
        <s v="FB01-1302"/>
        <s v="FB01-1301"/>
        <s v="FB01-1300"/>
        <s v="FB01-1299"/>
        <s v="FB01-1298"/>
        <s v="FB01-1297"/>
        <s v="FB01-1296"/>
        <s v="FB01-1295"/>
        <s v="FB01-1294"/>
        <s v="FB01-1293"/>
        <s v="FB01-1292"/>
        <s v="FB01-1291"/>
        <s v="FB01-1290"/>
        <s v="FB01-1289"/>
        <s v="FB01-1288"/>
        <s v="FB01-1287"/>
        <s v="FB01-1286"/>
        <s v="FB01-1285"/>
        <s v="FB01-1284"/>
        <s v="FB01-1283"/>
        <s v="FB01-1282"/>
        <s v="FB01-1281"/>
        <s v="FB01-1280"/>
        <s v="FB01-1279"/>
        <s v="FB01-1278"/>
        <s v="FB01-1277"/>
        <s v="FB01-1276"/>
        <s v="FB01-1275"/>
        <s v="FB01-1274"/>
        <s v="FB01-1273"/>
        <s v="FB01-1272"/>
        <s v="FB01-1271"/>
        <s v="FB01-1270"/>
        <s v="FB01-1269"/>
        <s v="FB01-1268"/>
        <s v="FB01-1267"/>
        <s v="FB01-1266"/>
        <s v="BB01-698"/>
        <s v="BB01-697"/>
        <s v="BB01-696"/>
        <s v="BB01-695"/>
        <s v="BB01-694"/>
        <s v="BB01-693"/>
        <s v="BB01-692"/>
        <s v="BB01-691"/>
        <s v="BB01-690"/>
        <s v="BB01-689"/>
        <s v="BB01-688"/>
        <s v="BB01-687"/>
        <s v="BB01-686"/>
        <s v="BB01-685"/>
        <s v="BB01-684"/>
        <s v="BB01-683"/>
        <s v="BB01-682"/>
        <s v="BB01-681"/>
        <s v="BB01-680"/>
        <s v="BB01-679"/>
        <s v="BB01-678"/>
        <s v="BB01-677"/>
        <s v="BB01-676"/>
        <s v="BB01-675"/>
        <s v="BB01-674"/>
        <s v="BB01-673"/>
        <s v="BB01-672"/>
        <s v="BB01-671"/>
        <s v="BB01-670"/>
        <s v="BB01-669"/>
        <s v="BB01-668"/>
        <s v="BB01-667"/>
        <s v="BB01-666"/>
        <s v="FFF1-214"/>
        <s v="FFF1-213"/>
        <s v="FFF1-212"/>
        <s v="FFF1-211"/>
        <s v="FB01-1265"/>
        <s v="FB01-1264"/>
        <s v="FB01-1263"/>
        <s v="FB01-1262"/>
        <s v="FB01-1261"/>
        <s v="FB01-1260"/>
        <s v="BB01-665"/>
        <s v="BB01-664"/>
        <s v="BB01-663"/>
        <s v="BB01-662"/>
        <s v="FFF1-210"/>
        <s v="FFF1-209"/>
        <s v="FB01-1259"/>
        <s v="FB01-1258"/>
        <s v="FB01-1257"/>
        <s v="FB01-1256"/>
        <s v="FB01-1255"/>
        <s v="FB01-1254"/>
        <s v="FB01-1253"/>
        <s v="FB01-1252"/>
        <s v="FB01-1251"/>
        <s v="FB01-1250"/>
        <s v="FB01-1249"/>
        <s v="FB01-1248"/>
        <s v="FB01-1247"/>
        <s v="FB01-1246"/>
        <s v="FB01-1245"/>
        <s v="FB01-1244"/>
        <s v="FB01-1243"/>
        <s v="FB01-1242"/>
        <s v="FB01-1241"/>
        <s v="FB01-1240"/>
        <s v="FB01-1239"/>
        <s v="FB01-1238"/>
        <s v="FB01-1237"/>
        <s v="FB01-1236"/>
        <s v="FB01-1235"/>
        <s v="FB01-1234"/>
        <s v="FB01-1233"/>
        <s v="FB01-1232"/>
        <s v="FB01-1231"/>
        <s v="FB01-1230"/>
        <s v="FB01-1229"/>
        <s v="FB01-1228"/>
        <s v="FB01-1227"/>
        <s v="FB01-1226"/>
        <s v="FB01-1225"/>
        <s v="FB01-1224"/>
        <s v="FB01-1223"/>
        <s v="BB01-657"/>
        <s v="BB01-656"/>
        <s v="BB01-655"/>
        <s v="BB01-654"/>
        <s v="BB01-653"/>
        <s v="BB01-652"/>
        <s v="BB01-651"/>
        <s v="FB01-1222"/>
        <s v="FB01-1219"/>
        <s v="FB01-1218"/>
        <s v="FB01-1217"/>
        <s v="FB01-1216"/>
        <s v="FB01-1215"/>
        <s v="FB01-1214"/>
        <s v="FB01-1213"/>
        <s v="FB01-1212"/>
        <s v="FB01-1211"/>
        <s v="FB01-1210"/>
        <s v="FB01-1209"/>
        <s v="FB01-1208"/>
        <s v="FB01-1207"/>
        <s v="FB01-1206"/>
        <s v="FB01-1205"/>
        <s v="FB01-1204"/>
        <s v="FB01-1203"/>
        <s v="FB01-1202"/>
        <s v="FB01-1201"/>
        <s v="FB01-1200"/>
        <s v="FB01-1199"/>
        <s v="FB01-1198"/>
        <s v="FB01-1197"/>
        <s v="FB01-1196"/>
        <s v="FB01-1195"/>
        <s v="FB01-1194"/>
        <s v="FB01-1193"/>
        <s v="FB01-1192"/>
        <s v="FB01-1191"/>
        <s v="FB01-1190"/>
        <s v="FB01-1189"/>
        <s v="FB01-1188"/>
        <s v="FB01-1187"/>
        <s v="FB01-1186"/>
        <s v="FB01-1185"/>
        <s v="FB01-1184"/>
        <s v="BB01-650"/>
        <s v="BB01-649"/>
        <s v="BB01-648"/>
        <s v="BB01-647"/>
        <s v="BB01-646"/>
        <s v="BB01-645"/>
        <s v="BB01-644"/>
        <s v="BB01-643"/>
        <s v="BB01-642"/>
        <s v="BB01-641"/>
        <s v="BB01-640"/>
        <s v="BB01-639"/>
        <s v="BB01-638"/>
        <s v="BB01-637"/>
        <s v="FB01-1183"/>
        <s v="FB01-1182"/>
        <s v="FB01-1181"/>
        <s v="FB01-1180"/>
        <s v="FB01-1179"/>
        <s v="FB01-1178"/>
        <s v="FB01-1177"/>
        <s v="FB01-1176"/>
        <s v="FB01-1175"/>
        <s v="FB01-1174"/>
        <s v="FB01-1173"/>
        <s v="FB01-1172"/>
        <s v="FB01-1171"/>
        <s v="BB01-636"/>
        <s v="BB01-635"/>
        <s v="BB01-634"/>
        <s v="BB01-633"/>
        <s v="BB01-632"/>
        <s v="BB01-631"/>
        <s v="BB01-630"/>
        <s v="BB01-629"/>
        <s v="BB01-628"/>
        <s v="BB01-627"/>
      </sharedItems>
    </cacheField>
    <cacheField name="VAOPE Codigo Evento" numFmtId="4">
      <sharedItems containsSemiMixedTypes="0" containsString="0" containsNumber="1" containsInteger="1" minValue="0" maxValue="3190"/>
    </cacheField>
    <cacheField name="Evento" numFmtId="4">
      <sharedItems containsBlank="1"/>
    </cacheField>
    <cacheField name="Tipo de Documento" numFmtId="4">
      <sharedItems/>
    </cacheField>
    <cacheField name="Nombre del contacto a mostrar en la factura" numFmtId="4">
      <sharedItems count="89">
        <s v="STHIVEN RANDOLF GARCIA MEDINA"/>
        <s v="FIGUEROA ROSADO GABRIELA BRIYIT"/>
        <s v="ANGEL GABRIEL RODRÍGUEZ PINEDA"/>
        <s v="JOSELYN VERONICA GUTIERREZ HUANCA"/>
        <s v="MANUEL CARLOS AMIAS SHAPIAMA"/>
        <s v="JP Producciones Generales EIRL"/>
        <s v="EMPRESA MUSICAL INTERNACIONAL LA BELLA LUZ E.I.R.L."/>
        <s v="AMARANTA MUSIC CORP S.A.C."/>
        <s v="ALAN INVERSIONES &amp; REPRESENTACIONES S.A.C."/>
        <s v="JESUS MANUEL COTRINA CORPUS"/>
        <s v="RIVERA GUERRERO ANGGELA RINA"/>
        <s v="PROMOTORA M&amp;M S.R.L."/>
        <s v="ESPECTACULOS MARCABALITO S.A.C."/>
        <s v="JUAN EDGAR VENTURA MACAZANA"/>
        <s v="G &amp; N MUSIC S.A.C."/>
        <s v="JOSE MANUEL BACA ANTON PRESIDENTE DE LA LIGA DEPARTAMENTAL PIURA"/>
        <s v="PERUVIAN PRODUCTIONS SOCIEDAD ANONIMA CERRADA"/>
        <s v="MACHA MUNIVE JULIO"/>
        <s v="REYNOSO BENDEZU CARLOS ARTURO"/>
        <s v="RODRIGO ANTONIO QUISPE MONTAÑEZ"/>
        <s v="FIESTA KARIBEÑA SOCIEDAD ANONIMA CERRADA"/>
        <s v="MAKWA ENTERTAINMENT S.A.C."/>
        <s v="LA MATARINA PUENTE PIEDRA E.I.R.L."/>
        <s v="CONSORCIO CHUNGA &amp; ASOCIADOS S.A.C."/>
        <s v="COMPLEJO TURISTICO EL REMANSO SAC"/>
        <s v="TARPUY PRODUCCIONES E.I.R.L."/>
        <s v="SEVAFRA SAC"/>
        <s v="MULTISERVICIOS YATACO E.I.R.L."/>
        <s v="EL PADRINO DIVERSIONES S.A.C."/>
        <s v="INVERSIONES SAM &amp; ASOCIADOS SAC"/>
        <s v="NEGOCIACIONES Y PRODUCCIONES VEGA S.A.C"/>
        <s v="CARDANO PRODUCCIONES S.A.C."/>
        <s v="JDA BUSINESS PERU S.A.C."/>
        <s v="RAMOS CRUZ MILAGRITOS"/>
        <s v="TORRES TOVAR WILDER"/>
        <s v="EULALIA GAUDENCIA PEREZ CARHUAMACA"/>
        <s v="JULIO MACHA MUNIVE"/>
        <s v="YARIT ZARI ALANYA PEREZ"/>
        <s v="Erol Aylas Marquiño"/>
        <s v="Humberto Ronald Mendoza Chacha"/>
        <s v="Piero Macha Perez"/>
        <s v="GARELD ZAID HERRERA CARDENAS"/>
        <s v="JAVIER ABEL SANCHEZ NUNTON"/>
        <s v="CHAMORRO AYALA ERIKA SOLEDAD"/>
        <s v="JHON DANNY BERNABLE BERNABLE"/>
        <s v="SILVIA SEMIRA SANCHEZ SANGAMA"/>
        <s v="ALEJANDRA FLORES TICONA"/>
        <s v="JORGE ANDRES RAMOS VILCAS"/>
        <s v="MOGROVEJO RAMOS ERWIN KERMER"/>
        <s v="RESTAURANTE RECEPCIONES CHEPITA ROYAL EMPRESA INDIVIDUAL DE RESPONSABILIDAD LIMITADA"/>
        <s v="MARIA ANTONELA GUERRERO GONZALES"/>
        <s v="EMPRESA PROMOTORA DE EVENTOS MAGDA PERU S.A.C."/>
        <s v="3A BUSINESS EMPRESA INDIVIDUAL DE RESPONSABILIDAD LIMITADA"/>
        <s v="JC SAN MARTIN EN SU SALSA E.I.R.L."/>
        <s v="MARIA ALICIA CORONADO MALUQUIS"/>
        <s v="ORLANDO ALDAIR POMACAJA CARVO"/>
        <s v="NAHOMY TRILCE CHAMORRO TORRES"/>
        <s v="JOHEL EDWIN RICALDI ARIAS"/>
        <s v="JESSMIR PRODUCCIONES S.A.C."/>
        <s v="FENCO GORDILLO MAXIMO"/>
        <s v="M.C.A. SERVICIOS INDUSTRIALES E.I.R.L."/>
        <s v="JHONATHAN CALDERON QUISPE"/>
        <s v="JORGE NIKITA GALLO PEREZ"/>
        <s v="FIESTAS BRAVAS GROUP S.A.C."/>
        <s v="GEINER DAVID QUIROZ GIL"/>
        <s v="PROMOTORA Y SONIDO MUSICAL WC E.I.R.L."/>
        <s v="LIMA VIAJES Y TURISMO S.A.C."/>
        <s v="ALFREDO CALDERON MEDINA"/>
        <s v="ALAN GUILLERMO PAUCAR GARRO"/>
        <s v="EMILIANO MINCHOLA RIVEROS"/>
        <s v="EMPRESA OK MEDIOS PERU S.A.C."/>
        <s v="LA PLAZA GASTRONOMICA S.A.C."/>
        <s v="ECO CABAÑAS DEL ESTE S.A.C."/>
        <s v="SABORES CRIOLLOS DEL PERU S.A.C."/>
        <s v="SAOCO FR E.I.R.L."/>
        <s v="PROMOTORA SR. DE MURUHUAY E.I.R.L."/>
        <s v="COJAL ARROYO JAVIER MARCIANO"/>
        <s v="SUPER LEO SAC"/>
        <s v="MAQUINA DEL TIEMPO S.A.C."/>
        <s v="ADRIAN DOLORES FLORES"/>
        <s v="ALEX DARWIN MUERAS PORRAS"/>
        <s v="Dilbert Aguilar"/>
        <s v="MARGARITA ARROYO FLORES"/>
        <s v="HERMOGENES HUAMAN ESPINOZA"/>
        <s v="JOSE CORPUS CERDAN DIAZ"/>
        <s v="A &amp; Q AYLLU S.A.C."/>
        <s v="JENNER ROBERTO CRISANTA RIOS"/>
        <s v="CRISTHIAM ABEL ALDANA CASTILLO"/>
        <s v="PERCY ORDINOLA"/>
      </sharedItems>
    </cacheField>
    <cacheField name="Fecha de factura" numFmtId="164">
      <sharedItems containsSemiMixedTypes="0" containsNonDate="0" containsDate="1" containsString="0" minDate="2025-01-03T00:00:00" maxDate="2025-10-16T00:00:00" count="24">
        <d v="2025-10-15T00:00:00"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38"/>
    </cacheField>
    <cacheField name="Fecha" numFmtId="164">
      <sharedItems containsSemiMixedTypes="0" containsNonDate="0" containsDate="1" containsString="0" minDate="2025-01-03T00:00:00" maxDate="2025-10-16T00:00:00"/>
    </cacheField>
    <cacheField name="Fecha de vencimiento" numFmtId="164">
      <sharedItems containsSemiMixedTypes="0" containsNonDate="0" containsDate="1" containsString="0" minDate="2025-01-03T00:00:00" maxDate="2025-10-16T00:00:00"/>
    </cacheField>
    <cacheField name="Origen" numFmtId="4">
      <sharedItems containsNonDate="0" containsString="0"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emiMixedTypes="0" containsString="0" containsNumber="1" minValue="1" maxValue="6508.39"/>
    </cacheField>
    <cacheField name="Impuesto firmado" numFmtId="4">
      <sharedItems containsSemiMixedTypes="0" containsString="0" containsNumber="1" minValue="0.18" maxValue="1171.51"/>
    </cacheField>
    <cacheField name="Total firmado" numFmtId="4">
      <sharedItems containsSemiMixedTypes="0" containsString="0" containsNumber="1" minValue="1.18" maxValue="7679.9"/>
    </cacheField>
    <cacheField name="Total en divisa firmado" numFmtId="4">
      <sharedItems containsSemiMixedTypes="0" containsString="0" containsNumber="1" minValue="1.18" maxValue="7679.9"/>
    </cacheField>
    <cacheField name="Importe pendiente firmado" numFmtId="4">
      <sharedItems containsString="0" containsBlank="1" containsNumber="1" minValue="1.18" maxValue="7679.9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unt="1">
        <s v="Registrado"/>
      </sharedItems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NonDate="0" containsDate="1" containsString="0" containsBlank="1" minDate="2025-01-03T00:00:00" maxDate="2025-10-16T00:00:00" count="25">
        <d v="2025-10-15T00:00:00"/>
        <m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</cacheField>
    <cacheField name="Días (Fecha de factura)" numFmtId="0" databaseField="0">
      <fieldGroup base="5">
        <rangePr groupBy="days" startDate="2025-01-03T00:00:00" endDate="2025-10-16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5"/>
        </groupItems>
      </fieldGroup>
    </cacheField>
    <cacheField name="Meses (Fecha de factura)" numFmtId="0" databaseField="0">
      <fieldGroup base="5">
        <rangePr groupBy="months" startDate="2025-01-03T00:00:00" endDate="2025-10-16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6.539716898151" createdVersion="8" refreshedVersion="8" minRefreshableVersion="3" recordCount="457" xr:uid="{8C68F539-7059-498C-BC58-B101FD3D473F}">
  <cacheSource type="worksheet">
    <worksheetSource ref="A1:AS458" sheet="facturas_con_items_json"/>
  </cacheSource>
  <cacheFields count="47">
    <cacheField name="serie_correlativo" numFmtId="0">
      <sharedItems count="5">
        <s v="(03) Boleta BOB1"/>
        <s v="(01) Factura FOF1"/>
        <s v="FFF1"/>
        <s v="FB01"/>
        <s v="BB01"/>
      </sharedItems>
    </cacheField>
    <cacheField name="numero" numFmtId="0">
      <sharedItems containsMixedTypes="1" containsNumber="1" containsInteger="1" minValue="209" maxValue="1420" count="430">
        <s v="00000030"/>
        <s v="00000029"/>
        <s v="00000046"/>
        <s v="00000045"/>
        <s v="00000044"/>
        <s v="00000043"/>
        <s v="00000042"/>
        <s v="00000041"/>
        <s v="00000040"/>
        <s v="00000028"/>
        <s v="00000027"/>
        <s v="00000026"/>
        <s v="00000025"/>
        <s v="00000024"/>
        <s v="00000023"/>
        <s v="00000039"/>
        <s v="00000038"/>
        <s v="00000037"/>
        <s v="00000036"/>
        <s v="00000035"/>
        <s v="00000034"/>
        <s v="00000022"/>
        <s v="00000021"/>
        <s v="00000020"/>
        <s v="00000019"/>
        <s v="00000033"/>
        <s v="00000032"/>
        <s v="00000031"/>
        <s v="00000018"/>
        <s v="00000017"/>
        <s v="00000016"/>
        <s v="00000015"/>
        <s v="00000014"/>
        <s v="00000013"/>
        <s v="00000012"/>
        <s v="00000011"/>
        <s v="00000010"/>
        <s v="00000009"/>
        <s v="00000008"/>
        <s v="00000007"/>
        <s v="00000006"/>
        <s v="00000005"/>
        <s v="00000004"/>
        <s v="00000003"/>
        <s v="00000002"/>
        <s v="00000001"/>
        <n v="221"/>
        <n v="220"/>
        <n v="219"/>
        <n v="1420"/>
        <n v="1419"/>
        <n v="1418"/>
        <n v="755"/>
        <n v="754"/>
        <n v="1417"/>
        <n v="1416"/>
        <n v="1415"/>
        <n v="753"/>
        <n v="752"/>
        <n v="751"/>
        <n v="750"/>
        <n v="749"/>
        <n v="748"/>
        <n v="747"/>
        <n v="746"/>
        <n v="745"/>
        <n v="744"/>
        <n v="743"/>
        <n v="742"/>
        <n v="1414"/>
        <n v="1413"/>
        <n v="1412"/>
        <n v="1411"/>
        <n v="1410"/>
        <n v="1409"/>
        <n v="741"/>
        <n v="740"/>
        <n v="739"/>
        <n v="1408"/>
        <n v="1407"/>
        <n v="1406"/>
        <n v="1405"/>
        <n v="738"/>
        <n v="737"/>
        <n v="736"/>
        <n v="1404"/>
        <n v="1403"/>
        <n v="1402"/>
        <n v="1401"/>
        <n v="1400"/>
        <n v="1399"/>
        <n v="1398"/>
        <n v="1397"/>
        <n v="735"/>
        <n v="734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733"/>
        <n v="732"/>
        <n v="731"/>
        <n v="730"/>
        <n v="1383"/>
        <n v="1382"/>
        <n v="1381"/>
        <n v="1380"/>
        <n v="1379"/>
        <n v="1378"/>
        <n v="729"/>
        <n v="728"/>
        <n v="727"/>
        <n v="726"/>
        <n v="725"/>
        <n v="724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218"/>
        <n v="721"/>
        <n v="720"/>
        <n v="719"/>
        <n v="718"/>
        <n v="1361"/>
        <n v="1360"/>
        <n v="717"/>
        <n v="716"/>
        <n v="715"/>
        <n v="714"/>
        <n v="713"/>
        <n v="712"/>
        <n v="711"/>
        <n v="1359"/>
        <n v="1358"/>
        <n v="710"/>
        <n v="709"/>
        <n v="708"/>
        <n v="707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706"/>
        <n v="705"/>
        <n v="704"/>
        <n v="703"/>
        <n v="702"/>
        <n v="701"/>
        <n v="1319"/>
        <n v="1318"/>
        <n v="700"/>
        <n v="699"/>
        <n v="1317"/>
        <n v="1316"/>
        <n v="1315"/>
        <n v="1314"/>
        <n v="1313"/>
        <n v="217"/>
        <n v="216"/>
        <n v="215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672"/>
        <n v="674"/>
        <n v="673"/>
        <n v="671"/>
        <n v="670"/>
        <n v="669"/>
        <n v="668"/>
        <n v="1281"/>
        <n v="1280"/>
        <n v="1279"/>
        <n v="1278"/>
        <n v="667"/>
        <n v="666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214"/>
        <n v="213"/>
        <n v="212"/>
        <n v="211"/>
        <n v="665"/>
        <n v="664"/>
        <n v="1265"/>
        <n v="1264"/>
        <n v="1263"/>
        <n v="1262"/>
        <n v="1261"/>
        <n v="1260"/>
        <n v="663"/>
        <n v="662"/>
        <n v="210"/>
        <n v="209"/>
        <n v="1259"/>
        <n v="1258"/>
        <n v="1257"/>
        <n v="1256"/>
        <n v="1255"/>
        <n v="1254"/>
        <n v="1253"/>
        <n v="1252"/>
        <n v="1251"/>
        <n v="1250"/>
        <n v="657"/>
        <n v="656"/>
        <n v="1249"/>
        <n v="1248"/>
        <n v="655"/>
        <n v="654"/>
        <n v="653"/>
        <n v="652"/>
        <n v="651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19"/>
        <n v="1218"/>
        <n v="1217"/>
        <n v="1216"/>
        <n v="1215"/>
        <n v="650"/>
        <n v="649"/>
        <n v="1214"/>
        <n v="1213"/>
        <n v="1212"/>
        <n v="1211"/>
        <n v="1210"/>
        <n v="1209"/>
        <n v="1208"/>
        <n v="1207"/>
        <n v="1206"/>
        <n v="1205"/>
        <n v="1204"/>
        <n v="648"/>
        <n v="647"/>
        <n v="646"/>
        <n v="645"/>
        <n v="1203"/>
        <n v="1202"/>
        <n v="1201"/>
        <n v="1200"/>
        <n v="644"/>
        <n v="643"/>
        <n v="1199"/>
        <n v="1198"/>
        <n v="642"/>
        <n v="641"/>
        <n v="1197"/>
        <n v="1196"/>
        <n v="1195"/>
        <n v="1194"/>
        <n v="1193"/>
        <n v="1192"/>
        <n v="1191"/>
        <n v="1190"/>
        <n v="1189"/>
        <n v="1188"/>
        <n v="640"/>
        <n v="639"/>
        <n v="638"/>
        <n v="637"/>
        <n v="1187"/>
        <n v="1186"/>
        <n v="1185"/>
        <n v="1184"/>
        <n v="636"/>
        <n v="635"/>
        <n v="634"/>
        <n v="633"/>
        <n v="632"/>
        <n v="1183"/>
        <n v="1182"/>
        <n v="1181"/>
        <n v="1180"/>
        <n v="631"/>
        <n v="630"/>
        <n v="629"/>
        <n v="628"/>
        <n v="627"/>
        <n v="1179"/>
        <n v="1178"/>
        <n v="1177"/>
        <n v="1176"/>
        <n v="1175"/>
        <n v="1174"/>
        <n v="1173"/>
        <n v="1172"/>
        <n v="1171"/>
      </sharedItems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1-03T00:00:00" maxDate="2025-10-16T00:00:00" count="24">
        <d v="2025-10-15T00:00:00"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46"/>
    </cacheField>
    <cacheField name="hora_de_emision" numFmtId="22">
      <sharedItems containsSemiMixedTypes="0" containsNonDate="0" containsDate="1" containsString="0" minDate="2025-10-16T00:00:00" maxDate="2025-10-16T18:53:04"/>
    </cacheField>
    <cacheField name="nom_proveedor" numFmtId="0">
      <sharedItems count="89">
        <s v="STHIVEN RANDOLF GARCIA MEDINA"/>
        <s v="JP Producciones Generales EIRL"/>
        <s v="FIGUEROA ROSADO GABRIELA BRIYIT"/>
        <s v="ANGEL GABRIEL RODRÃGUEZ PINEDA"/>
        <s v="EMPRESA MUSICAL INTERNACIONAL LA BELLA LUZ E.I.R.L."/>
        <s v="JOSELYN VERONICA GUTIERREZ HUANCA"/>
        <s v="AMARANTA MUSIC CORP S.A.C."/>
        <s v="MANUEL CARLOS AMIAS SHAPIAMA"/>
        <s v="ALAN INVERSIONES &amp; REPRESENTACIONES S.A.C."/>
        <s v="RIVERA GUERRERO ANGGELA RINA"/>
        <s v="JESUS MANUEL COTRINA CORPUS"/>
        <s v="PROMOTORA M&amp;M S.R.L."/>
        <s v="ESPECTACULOS MARCABALITO S.A.C."/>
        <s v="JUAN EDGAR VENTURA MACAZANA"/>
        <s v="G &amp; N MUSIC S.A.C."/>
        <s v="JOSE MANUEL BACA ANTON PRESIDENTE DE LA LIGA DEPARTAMENTAL PIURA"/>
        <s v="PERUVIAN PRODUCTIONS SOCIEDAD ANONIMA CERRADA"/>
        <s v="MACHA MUNIVE JULIO"/>
        <s v="REYNOSO BENDEZU CARLOS ARTURO"/>
        <s v="RODRIGO ANTONIO QUISPE MONTAÃ‘EZ"/>
        <s v="FIESTA KARIBEÃ‘A SOCIEDAD ANONIMA CERRADA"/>
        <s v="EULALIA GAUDENCIA PEREZ CARHUAMACA"/>
        <s v="JULIO MACHA MUNIVE"/>
        <s v="YARIT ZARI ALANYA PEREZ"/>
        <s v="Erol Aylas MarquiÃ±o"/>
        <s v="MAKWA ENTERTAINMENT S.A.C."/>
        <s v="LA MATARINA PUENTE PIEDRA E.I.R.L."/>
        <s v="Humberto Ronald Mendoza Chacha"/>
        <s v="CONSORCIO CHUNGA &amp; ASOCIADOS S.A.C."/>
        <s v="Piero Macha Perez"/>
        <s v="COMPLEJO TURISTICO EL REMANSO SAC"/>
        <s v="TARPUY PRODUCCIONES E.I.R.L."/>
        <s v="GARELD ZAID HERRERA CARDENAS"/>
        <s v="SEVAFRA SAC"/>
        <s v="MULTISERVICIOS YATACO E.I.R.L."/>
        <s v="EL PADRINO DIVERSIONES S.A.C."/>
        <s v="INVERSIONES SAM &amp; ASOCIADOS SAC"/>
        <s v="NEGOCIACIONES Y PRODUCCIONES VEGA S.A.C"/>
        <s v="JAVIER ABEL SANCHEZ NUNTON"/>
        <s v="CARDANO PRODUCCIONES S.A.C."/>
        <s v="JDA BUSINESS PERU S.A.C."/>
        <s v="RAMOS CRUZ MILAGRITOS"/>
        <s v="TORRES TOVAR WILDER"/>
        <s v="JHON DANNY BERNABLE BERNABLE"/>
        <s v="SILVIA SEMIRA SANCHEZ SANGAMA"/>
        <s v="CHAMORRO AYALA ERIKA SOLEDAD"/>
        <s v="ALEJANDRA FLORES TICONA"/>
        <s v="JORGE ANDRES RAMOS VILCAS"/>
        <s v="MOGROVEJO RAMOS ERWIN KERMER"/>
        <s v="MARIA ANTONELA GUERRERO GONZALES"/>
        <s v="RESTAURANTE RECEPCIONES CHEPITA ROYAL EMPRESA INDIVIDUAL DE RESPONSABILIDAD LIMITADA"/>
        <s v="MARIA ALICIA CORONADO MALUQUIS"/>
        <s v="ORLANDO ALDAIR POMACAJA CARVO"/>
        <s v="NAHOMY TRILCE CHAMORRO TORRES"/>
        <s v="EMPRESA PROMOTORA DE EVENTOS MAGDA PERU S.A.C."/>
        <s v="JOHEL EDWIN RICALDI ARIAS"/>
        <s v="3A BUSINESS EMPRESA INDIVIDUAL DE RESPONSABILIDAD LIMITADA"/>
        <s v="JC SAN MARTIN EN SU SALSA E.I.R.L."/>
        <s v="JESSMIR PRODUCCIONES S.A.C."/>
        <s v="FENCO GORDILLO MAXIMO"/>
        <s v="JHONATHAN CALDERON QUISPE"/>
        <s v="JORGE NIKITA GALLO PEREZ"/>
        <s v="M.C.A. SERVICIOS INDUSTRIALES E.I.R.L."/>
        <s v="FIESTAS BRAVAS GROUP S.A.C."/>
        <s v="GEINER DAVID QUIROZ GIL"/>
        <s v="PROMOTORA Y SONIDO MUSICAL WC E.I.R.L."/>
        <s v="ALFREDO CALDERON MEDINA"/>
        <s v="ALAN GUILLERMO PAUCAR GARRO"/>
        <s v="EMILIANO MINCHOLA RIVEROS"/>
        <s v="LIMA VIAJES Y TURISMO S.A.C."/>
        <s v="EMPRESA OK MEDIOS PERU S.A.C."/>
        <s v="ADRIAN DOLORES FLORES"/>
        <s v="LA PLAZA GASTRONOMICA S.A.C."/>
        <s v="ECO CABAÃ‘AS DEL ESTE S.A.C."/>
        <s v="SABORES CRIOLLOS DEL PERU S.A.C."/>
        <s v="SAOCO FR E.I.R.L."/>
        <s v="ALEX DARWIN MUERAS PORRAS"/>
        <s v="Dilbert Aguilar"/>
        <s v="PROMOTORA SR. DE MURUHUAY E.I.R.L."/>
        <s v="MARGARITA ARROYO FLORES"/>
        <s v="COJAL ARROYO JAVIER MARCIANO"/>
        <s v="HERMOGENES HUAMAN ESPINOZA"/>
        <s v="SUPER LEO SAC"/>
        <s v="JOSE CORPUS CERDAN DIAZ"/>
        <s v="MAQUINA DEL TIEMPO S.A.C."/>
        <s v="JENNER ROBERTO CRISANTA RIOS"/>
        <s v="CRISTHIAM ABEL ALDANA CASTILLO"/>
        <s v="A &amp; Q AYLLU S.A.C."/>
        <s v="PERCY ORDINOLA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1" maxValue="6"/>
    </cacheField>
    <cacheField name="doc_proveedor" numFmtId="0">
      <sharedItems containsMixedTypes="1" containsNumber="1" containsInteger="1" minValue="9059888" maxValue="20613294814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1-03T00:00:00" maxDate="2025-10-16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1"/>
    </cacheField>
    <cacheField name="item.codigo_producto" numFmtId="0">
      <sharedItems containsMixedTypes="1" containsNumber="1" containsInteger="1" minValue="13" maxValue="993" count="124">
        <s v="02"/>
        <s v="01"/>
        <s v="05"/>
        <s v="06"/>
        <s v="03"/>
        <s v="07"/>
        <s v="04"/>
        <s v="08"/>
        <n v="13"/>
        <n v="985"/>
        <n v="984"/>
        <n v="983"/>
        <n v="982"/>
        <n v="877"/>
        <n v="870"/>
        <n v="981"/>
        <n v="980"/>
        <n v="940"/>
        <n v="979"/>
        <n v="978"/>
        <n v="938"/>
        <n v="937"/>
        <n v="977"/>
        <n v="936"/>
        <n v="935"/>
        <n v="976"/>
        <n v="871"/>
        <n v="874"/>
        <n v="975"/>
        <n v="974"/>
        <n v="934"/>
        <n v="933"/>
        <n v="921"/>
        <n v="973"/>
        <n v="972"/>
        <n v="971"/>
        <n v="970"/>
        <n v="969"/>
        <n v="968"/>
        <n v="967"/>
        <n v="885"/>
        <n v="992"/>
        <n v="966"/>
        <n v="993"/>
        <n v="965"/>
        <n v="964"/>
        <n v="963"/>
        <n v="962"/>
        <n v="961"/>
        <n v="960"/>
        <n v="959"/>
        <n v="878"/>
        <n v="949"/>
        <n v="958"/>
        <n v="955"/>
        <n v="957"/>
        <n v="956"/>
        <n v="954"/>
        <n v="953"/>
        <n v="952"/>
        <n v="951"/>
        <n v="950"/>
        <n v="913"/>
        <n v="948"/>
        <n v="882"/>
        <n v="947"/>
        <n v="946"/>
        <n v="945"/>
        <n v="944"/>
        <n v="939"/>
        <n v="942"/>
        <n v="943"/>
        <n v="941"/>
        <n v="932"/>
        <n v="931"/>
        <n v="930"/>
        <n v="929"/>
        <n v="928"/>
        <n v="927"/>
        <n v="926"/>
        <n v="925"/>
        <n v="924"/>
        <n v="923"/>
        <n v="922"/>
        <n v="920"/>
        <n v="919"/>
        <n v="918"/>
        <n v="917"/>
        <n v="916"/>
        <n v="915"/>
        <n v="914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3"/>
        <n v="881"/>
        <n v="990"/>
        <n v="875"/>
        <n v="873"/>
        <n v="872"/>
      </sharedItems>
    </cacheField>
    <cacheField name="item.nom_producto" numFmtId="0">
      <sharedItems count="132">
        <s v="COMISIÃ“N PAGOS DIGITALES SEGÃšN CONTRATO"/>
        <s v="COMISIÃ“N VAOPE SEGÃšN CONTRATO"/>
        <s v="DELIVERY -"/>
        <s v="COMISION CORTESIA -"/>
        <s v="PERSONAL - Servicio de  validador (Inc IGV)"/>
        <s v="ENTRADAS IMPRESAS - Orden de venta NÂº 1040 - El ClÃ¡sico de la Cumbia NorteÃ±a en Huancayo con Agua Marina y Walther Lozada &amp; Orquesta / 1000 FULL COLOR GENERAL / 2000 BRAZALETES VIPÂ (S/1,888.00)"/>
        <s v="ENTRADAS IMPRESAS - Orden de venta NÂº 1032 - El ClÃ¡sico de la Cumbia NorteÃ±a en Huancayo con Agua Marina y Walther Lozada &amp; Orquesta / 1000 FULL COLOR ZONA GENERAL / 1000 BRAZALETES ZONA VIP (S/1,180.00)"/>
        <s v="PAUTA PUBLICITARIA - CORTESIA"/>
        <s v="FEE ADMINISTRATIVO - Fee administrativo por adelanto de pago"/>
        <s v="COMISION CORTESIA - DELIVERY"/>
        <s v="ENTRADAS IMPRESAS - Orden de venta NÂº 1041 - Agua Marina en Pichanaki / 2000 FULL COLOR GENERAL / 1000 BRAZALETES VIP (S/1,652.00)"/>
        <s v="PERSONAL - Servicio de gestiÃ³n de pauta publicitaria para evento (Inc IGV)"/>
        <s v="PAUTA PUBLICITARIA -"/>
        <s v="PERSONAL - Servicio de 2 validadores (Inc IGV)"/>
        <s v="ENTRADAS IMPRESAS - Orden de venta NÂº 997_x000a_ Primer Festival de la MÃºsica Latino Americana en Chiclayo/ 1000 BRAZALETE PERSONALIZADO ZONA VIP / 1000 BRAZALETE PERSONALIZADO ZONA CULTURAL / 1000 BRAZALETE PERSONALIZADO ZONA BOX (S/1,924.00)"/>
        <s v="PERSONAL - Servicio de 1 validadores (Inc IGV)"/>
        <s v="ENTRADAS IMPRESAS - Orden de venta NÂº 1016_x000a_CorazÃ³n Serrano en la Isla del ParaÃ­so del Callao/ 1000 BOLETOS PREMIUM VIP PERSONALIZADOS (S/1,062.00)"/>
        <s v="ENTRADAS IMPRESAS - Orden de venta NÂº 1042_x000a_CUMBIA CON CLASE - 17/10 / 1000 BRAZALETES BRAZALETES VIP / 1000 FULL COLOR GENERAL (S/1,180.00)"/>
        <s v="ENTRADAS IMPRESAS - Orden de venta NÂº 1015 Agua Marina en Barranca / 1000 BRAZALETES PER ZONA GENERAL /2000 BRAZALETES PER ZONA VIP (S/2,124.00)"/>
        <s v="COMISIÃ“N VAOPE SEGUN CONTRATO -"/>
        <s v="BRAZALETES VIP-ARMONIA 10 EN DISCOTECA COCOS DE LINCE, BRAZALETES PLATINIUM Y PERSONAL DELIVERY"/>
        <s v="ENTRADAS IMPRESAS FULL COLOR GENERAL, BRAZALETES VIP -CORAZÃ“N SERRANO BARRANCA - 09/02 Y PERSONAL DELIVERY"/>
        <s v="ENTRADAS IMPRESAS * FULL COLOR GENERAL "/>
        <s v="COMISION CORTESIA - ACTUALIZACION GRAFICA"/>
        <s v="COMISION CORTESIA - PUNTO DE VENTA"/>
        <s v="PERSONAL - PAUTA PUBLICITARIA - EULALIA PEREZ"/>
        <s v="COMISIÃ“N PAGOS DIGITALES SEGUN CONTRATO - EULALIA PEREZ"/>
        <s v="COMISIÃ“N VAOPE SEGUN CONTRATO - EULALIA PEREZ "/>
        <s v="PERSONAL - PAUTA PUBLICITARIA JULIO MACHA"/>
        <s v="COMISIÃ“N PAGOS DIGITALES SEGUN CONTRATO - JULIO MACHA "/>
        <s v="COMISIÃ“N VAOPE SEGUN CONTRATO - JULIO MACHA"/>
        <s v="PERSONAL - PAUTA PUBLICITARIA - YARIT ALANYA"/>
        <s v="COMISIÃ“N PAGOS DIGITALES SEGUN CONTRATO - YARIT ALANYA"/>
        <s v="COMISIÃ“N VAOPE SEGUN CONTRATO - YARIT ALANYA"/>
        <s v="PERSONAL - PAUTA PUBLICITARIA"/>
        <s v="COMISIÃ“N PAGOS DIGITALES SEGÃšN CONTRATO "/>
        <s v="COMISION CORTESIA"/>
        <s v="PERSONAL - SERV, DEVOLUCIONES"/>
        <s v="PERSONAL - PAUTA PUBLICITARIA -PIERO MACHA"/>
        <s v="COMISIÃ“N PAGOS DIGITALES SEGUN CONTRATO - PIERO MACHA"/>
        <s v="COMISIÃ“N VAOPE SEGUN CONTRATO - PIERO MACHA"/>
        <s v="PERSONAL - Servicio de 04 validadores (Inc IGV)"/>
        <s v="ENTRADAS IMPRESAS - ORDEN DE VENTA NÂ°569_x000a_ * FiestÃ³n de Carnavales con La Bella Luz, Linda Caba y Deyvis Orosco en El Remanso de Comas / 1,500 FULL COLOR ADULTO, 1,000 FULL COLOR PROMO ADULTO, 500 FULL COLOR NIÃ‘O (S/1,416.00)_x000a_"/>
        <s v="COMISION CORTESIA - PAUTA PUIBLICITARIA"/>
        <s v="PERSONAL - PAUTA PUBLICITARIA - DELIVERY"/>
        <s v="ENTRADAS IMPRESAS - Orden de venta NÂº 580_x000a_ * LA ÃšNICA TROPICAL PAITA - 08 DE FEB - I - P / 1,000 BRAZALETES VIP (S/708.00)_x000a_"/>
        <s v="ENTRADAS IMPRESAS - Orden de venta NÂº 579_x000a_ * LA ÃšNICA TROPICAL MOTUPE - 05 DE FEB - I - P / 2,000 BRAZALETES VIP (S/1,416.00)"/>
        <s v="ENTRADAS IMPRESAS - ORDEN DE VENTA NÂ°573_x000a_ * La Ãšnica Tropical en Sullana / 2,000 BRAZALETES VIP (S/1,416.00)"/>
        <s v="COMISIÃ“N PAGOS DIGITALES SEGUN CONTRAT"/>
        <s v="COMISIÃ“N VAOPE SEGUN CONTRATO"/>
        <s v="PERSONAL - PUBLICIDAD"/>
        <s v="FEE ADMINISTRATIVO_Fee administrativo por adelanto"/>
        <s v="ENTRADAS IMPRESAS - ORDEN DE VENTA NÂ°529_x000a_ * CORAZÃ“N SERRANO Y DINA PAUCAR EN REAL HOTEL HUASCARÃN EN HUARAZ/ 500 TICKETS PREMIUM PLATINUM/ 500 TICKETS PREMIUM VIP (S/1,097.40)"/>
        <s v="ENTRADAS IMPRESAS - ORDEN DE VENTA NÂ°575_x000a_ * La Ãšnica Tropical en ColÃ¡n / 1,000 BRAZALETES VIP (S/708.00)"/>
        <s v="COMISION CORTESIA "/>
        <s v="ENTRADAS IMPRESAS - ORDEN DE VENTA NÂ°574_x000a_ * La Ãšnica Tropical en Talara / 1,000 BRAZALETES VIP (S/708.00)"/>
        <s v="PERSONAL - ENVIO"/>
        <s v="ENTRADAS IMPRESAS FULL COLOR GENERAL -ARMONIA 10 Y PERSONAL DELIVERY"/>
        <s v="PERSONAL - punto de venta"/>
        <s v="COMISIÃ“N VAOPE SEGÃšN CONTRATO "/>
        <s v="COMISION CORTESIA - pauta publicitaria"/>
        <s v="ENTRADAS IMPRESAS - ORDEN DE VENTA NÂ°563_x000a_ * 2do Aniversario de Suu Rabanal con La Ãšnica Tropical, Tony Rosado y mÃ¡s en la Explanada de Agua Dulce / 4,000 FULL COLOR GENERAL / 2,000 BRAZALETES VIP / 500 BRAZALETES PLATINUM (S/3,658.00)"/>
        <s v="PERSONAL - PUBLICIDAD - FACEBOOK"/>
        <s v="COMISION CORTESIA - punto de venta "/>
        <s v="PERSONAL - Servicio de 01 validador (Inc IGV)"/>
        <s v="PERSONAL - PAUTA PUBLICITARIA- CORTESIA"/>
        <s v="COMISION CORTESIA - PAUTA PUBLICITARIA- FACEBOOK- PUNTO VENTA "/>
        <s v="PERSONAL - Servicio de 01 validador (Inc IGV) "/>
        <s v="PERSONAL - PAUTA PUBLICITARIA - FACEBOOK"/>
        <s v="PERSONAL - PUBLICIDAD - FACEBOOK "/>
        <s v="PERSONAL - Servicio de 02 validadores (Inc IGV)"/>
        <s v="ENTRADAS IMPRESAS - *ORDEN DE VENTA NÂ°564*_x000a_ * La Ãšnica Tropical en el Padrino Club de Jicamarca / 1,000 FULL COLOR GENERAL / 1,000 BRAZALETES VIP / 500 FULL COLOR NIÃ‘OS"/>
        <s v="PERSONAL - Servicio de 05 validadores (Inc IGV)"/>
        <s v="ENTRADAS IMPRESAS - ORDEN DE VENTA NÂ°557_x000a_ PRIMER PISCINAZO 2025 CON EL AGUA MÃS RICA DEL PERÃš / 3,000 FULL COLOR GENERAL ADULTO / 500 FULL COLOR GENERAL NIÃ‘OS (S/1,858.50)"/>
        <s v="ENTRADAS IMPRESAS FULL COLOR GENERALARMONIA 10 EN YAPATERA 22 DE ENE Y HUAMACHUCO 25 DE ENE, BRAZALETES VIP Y PERSONAL DELIVERY"/>
        <s v="ENTRADAS IMPRESAS FULL COLOR GENERAL -CORAZÃ“N SERRANO CHANCAY - 26/01, BRAZALETES VIP Y PERSONAL DELIVERY "/>
        <s v="ENTRADAS IMPRESAS FULL COLOR GENERAL -CORAZÃ“N SERRANO YAPATERA - 24/01 Y PERSONAL DELIVERY"/>
        <s v="COMISIÃ“N VAOPE SEGUN CONTRATO - EULALIA PEREZ"/>
        <s v="COMISIÃ“N PAGOS DIGITALES SEGUN CONTRATO - JULIO MACHA"/>
        <s v="COMISIÃ“N VAOPE SEGUN CONTRATO - PIERO MACHA "/>
        <s v="COMISIÃ“N PAGOS DIGITALES SEGUN CONTRATO - YARIT ALANYA "/>
        <s v="FEE ADMINISTRATIVO - Fee por adelanto a agua marina 2 (Inc IGV) "/>
        <s v="FEE ADMINISTRATIVO - Fee por adelanto a agua marina (Inc IGV)"/>
        <s v="ENTRADAS IMPRESAS - ORDEN DE VENTA NÂ°541_x000a_ * LA UNICA TROPICAL EN CHEPEN - 20 DE ENERO - I - P / 2,000 FULL COLOR GENERAL / 1,000 BRAZALETES VIP (S/1,652.00)_x000a_"/>
        <s v="ENTRADAS IMPRESAS - ORDEN DE VENTA NÂ°537_x000a_ * La Ãšnica Tropical en Ilo / 2,000 FULL COLOR GENERAL / 1,000 BRAZALETES VIP (S/1,652.00)"/>
        <s v="ENTRADAS IMPRESAS - ORDEN DE VENTA NÂ°538_x000a_ * La Ãšnica Tropical en Tacna / 3,000 FULL COLOR GENERAL / 2,000 BRAZALETES VIP (S/2,832.00)"/>
        <s v="ENTRADAS IMPRESAS - ORDEN DE VENTA NÂ°517_x000a_ * LA UNICA TROPICAL - CIUDAD DE DIOS - 06 DE ENERO - I - P/ 2,000 FULL COLOR GENERAL (S/944.00)_x000a_"/>
        <s v="ENTRADAS IMPRESAS - ORDEN DE VENTA NÂ°516_x000a_ * LA UNICA TROPICAL CARTAVIO - 03 DE ENERO - I - P / 2,000 FULL COLOR GENERAL (S/944.00)_x000a_"/>
        <s v="ENTRADAS IMPRESAS - ORDEN DE VENTA NÂ°515_x000a_ * La Ãšnica Tropical en Talara / 2,000 FULL COLOR GENERAL (S/944.00)"/>
        <s v="ENTRADAS IMPRESAS - ORDEN DE VENTA NÂ°513_x000a_ * LA UNICA TROPICAL COLAN - 05 DE ENERO - I - P / 5,000 FULL COLOR GENERAL / 1,000 BRAZALETES VIP (S/2,596.00)_x000a_"/>
        <s v="ENTRADAS IMPRESAS - ORDEN DE VENTA NÂ°550_x000a_ â€¢? ?FIESTA BLANCA HUACHO - ZAPEROKO 31 DE DICIEMBRE - I - P/ 500 BRAZALETES VIP/ 500 BRAZALETES PLATINUM (S/708.00)"/>
        <s v="ENTRADAS IMPRESAS - ORDEN DE VENTA NÂ°528_x000a_ * Marama en Explanada Bahua en Barranca/ 500 BRAZALETES VIP/ 200 BRAZALETES GENERAL / 300 BRAZALETES BOX (S/778.80"/>
        <s v="ENTRADAS IMPRESAS - * Duelo de Divas con Pamela Franco, Marisol y Brunella Torpoco en El Remanso de Comas / 2,000 FULL COLOR GENERAL ADULTO / 500 FULL COLOR GENERAL NIÃ‘OS (S/1,180.00)"/>
        <s v="ENTRADAS IMPRESAS - ORDEN DE VENTA NÂ°540_x000a_ * La Ãšnica Tropical en MejÃ­a Arequipa / 2,000 FULL COLOR GENERAL / 1,000 BRAZALETES VIP (S/1,652.00)"/>
        <s v="ENTRADAS IMPRESAS - ORDEN DE VENTA NÂ°539_x000a_ * La Ãšnica Tropical en CamanÃ¡ Arequipa / 2,000 FULL COLOR GENERAL / 1,000 BRAZALETES VIP (S/1,652.00)"/>
        <s v="BRAZALETES STICKERS SIN ZONA - CARNABRAVAZO - 09 DE MARZO - I - P Y  PERSONAL DELIVERY"/>
        <s v="ENTRADAS IMPRESAS FULL COLOR -CORAZON SERRANO PAITA- 20/01 "/>
        <s v="ENTRADAS IMPRESAS FULL COLOR - CORAZON SERRANO VICE- 19/01"/>
        <s v="ENTRADAS IMPRESAS FULL COLOR -CORAZON SERRANO PARACHIQUE- 17/01 Y PERSONAL DELIVERY"/>
        <s v="BRAZALETES VIP-CORAZON SERRANO SAN JUAN DE BIGOTE- 11/01, ENTRADAS IMPRESAS FULL COLOR, PERSONAL DELIVERY"/>
        <s v="BRAZALETES vip- CORAZON SERRANO CRUCETA - 10/01 Y ENTRADAS IMPRESAS FULL COLOR"/>
        <s v="COMISION CORTESIA - JP PRODUCCIONES GENERALES SAC"/>
        <s v="PERSONAL - VALIDADORES- JP PRODUCCIONES GENERALES SAC"/>
        <s v="COMISIÃ“N PAGOS DIGITALES SEGUN CONTRATO - JP PRODUCCIONES GENERALES SAC"/>
        <s v="COMISIÃ“N VAOPE SEGUN CONTRATO - JP PRODUCCIONES GENERALES SAC"/>
        <s v="COMISION CORTESIA - G&amp;N MUSIC SAC"/>
        <s v="COMISIÃ“N PAGOS DIGITALES SEGUN CONTRATO - G&amp;N MUSIC SAC "/>
        <s v="COMISIÃ“N VAOPE SEGUN CONTRATO - G&amp;N MUSIC SAC"/>
        <s v="PERSONAL - Servicio de 04 validadores (Inc IGV) "/>
        <s v="PERSONAL - SERVICIO DE 03 VALIDADORES"/>
        <s v="ENTRADAS IMPRESAS - ORDEN DE VENTA NÂ°518  * Caribepiscinazo con CaribeÃ±os en El Remanso de Comas / 2,000 FULL COLOR GENERAL ADULTOS / 300 FULL COLOR GENERAL NIÃ‘OS (S/1,085.60) "/>
        <s v="PERSONAL - gasto envio"/>
        <s v="ENTRADAS IMPRESAS - ORDEN DE VENTA NÂ°505_x000a_ * La Ãšnica Tropical en Casa Cub Sullana / 3,000 FULL COLOR GENERAL / 1,000 BRAZALETES VIP (S/2,124.00)"/>
        <s v="ENTRADAS IMPRESAS - ORDEN DE VENTA NÂ°493_x000a_ * FELIZ NAVIDAD SECHURA - I - P / 2,000 FULL COLOR GENERAL (S/944.00)"/>
        <s v="ENTRADAS IMPRESAS - ORDEN DE VENTA NÂ°500_x000a_ * LA UNICA TROPICAL - EL ALTO - PIURA - 30 DE DIC / 2,000 FULL COLOR GENERAL (S/944.00)"/>
        <s v="ENTRADAS IMPRESAS - ORDEN DE VENTA NÂ°501_x000a_ * LA UNICA TROPICAL - LA UNION - BAJO PIURA - 28 DE DIC / 2,000 FULL COLOR GENERAL (S/944.00)"/>
        <s v="ENTRADAS IMPRESAS - ORDEN DE VENTA NÂ°514_x000a_ * LA UNICA TROPICAL EN PLAZA NORTE - I - P / 2,000 FULL COLOR / 2,000 BRAZALETES VIP (S/2,360.00)"/>
        <s v="ENTRADAS IMPRESAS - ORDEN DE VENTA NÂ°512_x000a_ * La Ãšnica Tropical en Aqualandia de Piura - 2DO PEDIDO - 31/12 - I - P/ 2,000 BRAZALETES VIP (S/1,416.00)_x000a_"/>
        <s v="ENTRADAS IMPRESAS - ORDEN DE VENTA NÂ°502 La Ãšnica Tropical en Aqualandia de Piura / 10,000 FULL COLOR GENERAL / 3,000 FULL COLOR NIÃ‘OS (S/6,136.00)"/>
        <s v="PERSONAL - Servicio de 03 validadores (inc IGV)"/>
        <s v="ENTRADAS IMPRESAS - ORDEN DE VENTA NÂ°509_x000a_ * FiestÃ³n de AÃ±o Nuevo en Lima Sur con ArmonÃ­a 10, Pamela Franco, Deyvis Orosco y mÃ¡s / 4,000 FULL COLOR GENERAL / 2,000 BRAZALETES VIP / 1,000 BRAZALETES PLATINUM (S/4,012.00)"/>
        <s v="ENTRADAS IMPRESAS - ORDEN DE VENTA NÂ°509 * FiestÃ³n de AÃ±o Nuevo en Lima Sur con ArmonÃ­a 10, Pamela Franco, Deyvis Orosco y mÃ¡s / 4,000 FULL COLOR GENERAL / 2,000 BRAZALETES VIP / 1,000 BRAZALETES PLATINUM (S/4,012.00)"/>
        <s v="PERSONAL - delivery - entradas cortesia "/>
        <s v="FEE ADMINISTRATIVO - Fee administrativo adelanto de recaudaciÃ³n"/>
        <s v="COMISIÃ“N VAOPE SEGUN CONTRATO - MARGARITA ARROYO "/>
        <s v="COMISIÃ“N PAGOS DIGITALES SEGUN CONTRATO - MARGARITA ARROYO "/>
        <s v="COMISIÃ“N PAGOS DIGITALES SEGUN CONTRATO"/>
        <s v="PERSONAL - CREACION CONTENIDO- PROMOCIONAR EVENTO "/>
        <s v="ENTRADAS IMPRESAS - *ORDEN DE VENTA NÂ°506*_x000a_ * Alberto Barros en El Remanso de Comas/ 1,200 BRAZALETES VIP / 2,250 FULL COLOR GENERAL (S/1,770.00)_x000a_"/>
        <s v="ENTRADAS IMPRESAS - ORDEN DE VENTA NÂ°510 * AÃ±o Nuevo 2025 en Arequipa con ArmonÃ­a 10, Yarita Lizeth, Deyvis Orosco y mÃ¡s / 4,000 FULL COLOR GENERAL / 2,000 BRAZALETES VIP / 1,000 BRAZALETES PLATINUM (S/4,012.00)"/>
        <s v="PERSONAL - Servicio de 03 validadores (Inc IGV) "/>
        <s v="ENTRADAS IMPRESAS - ORDEN DE VENTA NÂ°508_x000a_ * FiestÃ³n de AÃ±o Nuevo Lima Norte en Plaza de Acho con ArmonÃ­a 10, Pamela Franco, Deyvis Orosco y mÃ¡s/ 4,000 FULL COLOR GENERAL / 2,000 BRAZALETES VIP / 1,500 BRAZALETES PLATINUM (S/4,366.00)"/>
      </sharedItems>
    </cacheField>
    <cacheField name="item.categoria_producto" numFmtId="0">
      <sharedItems/>
    </cacheField>
    <cacheField name="item.cantidad" numFmtId="0">
      <sharedItems containsSemiMixedTypes="0" containsString="0" containsNumber="1" containsInteger="1" minValue="1" maxValue="1"/>
    </cacheField>
    <cacheField name="item.valor_unitario" numFmtId="0">
      <sharedItems containsSemiMixedTypes="0" containsString="0" containsNumber="1" minValue="1" maxValue="6508.39"/>
    </cacheField>
    <cacheField name="item.precio_unitario" numFmtId="0">
      <sharedItems containsSemiMixedTypes="0" containsString="0" containsNumber="1" minValue="1.18" maxValue="7679.9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1" maxValue="6508.39"/>
    </cacheField>
    <cacheField name="item.porcentaje_de_igv" numFmtId="0">
      <sharedItems containsSemiMixedTypes="0" containsString="0" containsNumber="1" minValue="17.649999999999999" maxValue="18.100000000000001"/>
    </cacheField>
    <cacheField name="item.igv" numFmtId="0">
      <sharedItems containsSemiMixedTypes="0" containsString="0" containsNumber="1" minValue="0.18" maxValue="1171.51"/>
    </cacheField>
    <cacheField name="item.total" numFmtId="0">
      <sharedItems containsSemiMixedTypes="0" containsString="0" containsNumber="1" minValue="1.18" maxValue="7679.9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 count="2">
        <s v="reversed"/>
        <s v="not_paid"/>
      </sharedItems>
    </cacheField>
    <cacheField name="item.nombre_estado" numFmtId="0">
      <sharedItems count="2">
        <s v="Revertido"/>
        <s v="Sin pagar"/>
      </sharedItems>
    </cacheField>
    <cacheField name="item.id_vendedor" numFmtId="0">
      <sharedItems containsSemiMixedTypes="0" containsString="0" containsNumber="1" containsInteger="1" minValue="2" maxValue="2" count="1">
        <n v="2"/>
      </sharedItems>
    </cacheField>
    <cacheField name="item.nom_vendedor" numFmtId="0">
      <sharedItems/>
    </cacheField>
    <cacheField name="item.id_cuenta_analitica" numFmtId="0">
      <sharedItems containsSemiMixedTypes="0" containsString="0" containsNumber="1" containsInteger="1" minValue="1106" maxValue="1106" count="1">
        <n v="1106"/>
      </sharedItems>
    </cacheField>
    <cacheField name="item.nom_cuenta_analitica" numFmtId="0">
      <sharedItems/>
    </cacheField>
    <cacheField name="item.distribucion_analitica" numFmtId="0">
      <sharedItems count="10">
        <s v="[]"/>
        <s v="[[{'codigo': 84, 'nom_distribucion': 'Impresos', 'sub_categoria': 'OPERATIVOS', 'porcentaje': '100.00'}]]"/>
        <s v="[[{'codigo': 83, 'nom_distribucion': 'Impresos', 'sub_categoria': 'Suministros Compra', 'porcentaje': '100.00'}]]"/>
        <s v="[[{'codigo': 105, 'nom_distribucion': 'Administrativo', 'sub_categoria': 'Capacitaciones', 'porcentaje': '100.00'}]]"/>
        <s v="[[{'codigo': 89, 'nom_distribucion': 'Marketing', 'sub_categoria': 'Pauta', 'porcentaje': '100.00'}]]"/>
        <s v="[[{'codigo': 61, 'nom_distribucion': 'Administrativo', 'sub_categoria': 'Operativos', 'porcentaje': '100.00'}]]"/>
        <s v="[[{'codigo': 103, 'nom_distribucion': 'Validadores', 'sub_categoria': 'Personal temporal', 'porcentaje': '100.00'}]]"/>
        <s v="[[{'codigo': 81, 'nom_distribucion': 'Impresos', 'sub_categoria': 'Otros', 'porcentaje': '100.00'}]]"/>
        <s v="[[{'codigo': 63, 'nom_distribucion': 'Administrativo', 'sub_categoria': 'Delivery', 'porcentaje': '100.00'}]]"/>
        <s v="[[{'codigo': 73, 'nom_distribucion': 'Contenido', 'sub_categoria': 'Personal temporal', 'porcentaje': '100.00'}]]"/>
      </sharedItems>
    </cacheField>
    <cacheField name="item.evento.id_evento" numFmtId="0">
      <sharedItems containsString="0" containsBlank="1" containsNumber="1" containsInteger="1" minValue="2897" maxValue="3190" count="23">
        <n v="3100"/>
        <n v="3081"/>
        <n v="3066"/>
        <n v="3029"/>
        <n v="3188"/>
        <n v="3051"/>
        <n v="3030"/>
        <n v="2897"/>
        <n v="2899"/>
        <n v="2898"/>
        <n v="2953"/>
        <n v="3094"/>
        <n v="3172"/>
        <n v="3092"/>
        <n v="3123"/>
        <n v="3065"/>
        <n v="3168"/>
        <n v="3147"/>
        <n v="3190"/>
        <n v="3149"/>
        <n v="3157"/>
        <n v="3185"/>
        <m/>
      </sharedItems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5-02-10T00:00:00" maxDate="2025-08-11T00:00:00"/>
    </cacheField>
    <cacheField name="item.evento.Fecha_hora_fin_event" numFmtId="0">
      <sharedItems containsNonDate="0" containsDate="1" containsString="0" containsBlank="1" minDate="2025-02-10T00:00:00" maxDate="2025-08-11T00:00:00"/>
    </cacheField>
    <cacheField name="item.evento.id_organizador" numFmtId="0">
      <sharedItems containsNonDate="0" containsString="0" containsBlank="1" count="1">
        <m/>
      </sharedItems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UNIFICADO" numFmtId="0">
      <sharedItems count="457">
        <s v="(03) Boleta BOB100000030"/>
        <s v="(03) Boleta BOB100000029"/>
        <s v="(01) Factura FOF100000046"/>
        <s v="(01) Factura FOF100000045"/>
        <s v="(01) Factura FOF100000044"/>
        <s v="(01) Factura FOF100000043"/>
        <s v="(01) Factura FOF100000042"/>
        <s v="(01) Factura FOF100000041"/>
        <s v="(01) Factura FOF100000040"/>
        <s v="(03) Boleta BOB100000028"/>
        <s v="(03) Boleta BOB100000027"/>
        <s v="(03) Boleta BOB100000026"/>
        <s v="(03) Boleta BOB100000025"/>
        <s v="(03) Boleta BOB100000024"/>
        <s v="(03) Boleta BOB100000023"/>
        <s v="(01) Factura FOF100000039"/>
        <s v="(01) Factura FOF100000038"/>
        <s v="(01) Factura FOF100000037"/>
        <s v="(01) Factura FOF100000036"/>
        <s v="(01) Factura FOF100000035"/>
        <s v="(01) Factura FOF100000034"/>
        <s v="(03) Boleta BOB100000022"/>
        <s v="(03) Boleta BOB100000021"/>
        <s v="(03) Boleta BOB100000020"/>
        <s v="(03) Boleta BOB100000019"/>
        <s v="(01) Factura FOF100000033"/>
        <s v="(01) Factura FOF100000032"/>
        <s v="(01) Factura FOF100000031"/>
        <s v="(01) Factura FOF100000030"/>
        <s v="(01) Factura FOF100000029"/>
        <s v="(01) Factura FOF100000028"/>
        <s v="(01) Factura FOF100000027"/>
        <s v="(01) Factura FOF100000026"/>
        <s v="(03) Boleta BOB100000018"/>
        <s v="(03) Boleta BOB100000017"/>
        <s v="(03) Boleta BOB100000016"/>
        <s v="(03) Boleta BOB100000015"/>
        <s v="(03) Boleta BOB100000014"/>
        <s v="(03) Boleta BOB100000013"/>
        <s v="(03) Boleta BOB100000012"/>
        <s v="(03) Boleta BOB100000011"/>
        <s v="(03) Boleta BOB100000010"/>
        <s v="(01) Factura FOF100000025"/>
        <s v="(01) Factura FOF100000024"/>
        <s v="(01) Factura FOF100000023"/>
        <s v="(01) Factura FOF100000022"/>
        <s v="(01) Factura FOF100000021"/>
        <s v="(01) Factura FOF100000020"/>
        <s v="(03) Boleta BOB100000009"/>
        <s v="(01) Factura FOF100000019"/>
        <s v="(01) Factura FOF100000018"/>
        <s v="(01) Factura FOF100000017"/>
        <s v="(01) Factura FOF100000016"/>
        <s v="(01) Factura FOF100000015"/>
        <s v="(03) Boleta BOB100000008"/>
        <s v="(03) Boleta BOB100000007"/>
        <s v="(03) Boleta BOB100000006"/>
        <s v="(03) Boleta BOB100000005"/>
        <s v="(03) Boleta BOB100000004"/>
        <s v="(01) Factura FOF100000014"/>
        <s v="(01) Factura FOF100000013"/>
        <s v="(01) Factura FOF100000012"/>
        <s v="(01) Factura FOF100000011"/>
        <s v="(01) Factura FOF100000010"/>
        <s v="(01) Factura FOF100000009"/>
        <s v="(01) Factura FOF100000008"/>
        <s v="(01) Factura FOF100000006"/>
        <s v="(03) Boleta BOB100000003"/>
        <s v="(03) Boleta BOB100000002"/>
        <s v="(01) Factura FOF100000004"/>
        <s v="(01) Factura FOF100000003"/>
        <s v="(03) Boleta BOB100000001"/>
        <s v="(01) Factura FOF100000002"/>
        <s v="FFF1221"/>
        <s v="FFF1220"/>
        <s v="FFF1219"/>
        <s v="FB011420"/>
        <s v="FB011419"/>
        <s v="FB011418"/>
        <s v="BB01755"/>
        <s v="BB01754"/>
        <s v="FB011417"/>
        <s v="FB011416"/>
        <s v="FB011415"/>
        <s v="BB01753"/>
        <s v="BB01752"/>
        <s v="BB01751"/>
        <s v="BB01750"/>
        <s v="BB01749"/>
        <s v="BB01748"/>
        <s v="BB01747"/>
        <s v="BB01746"/>
        <s v="BB01745"/>
        <s v="BB01744"/>
        <s v="BB01743"/>
        <s v="BB01742"/>
        <s v="FB011414"/>
        <s v="FB011413"/>
        <s v="FB011412"/>
        <s v="FB011411"/>
        <s v="FB011410"/>
        <s v="FB011409"/>
        <s v="BB01741"/>
        <s v="BB01740"/>
        <s v="BB01739"/>
        <s v="FB011408"/>
        <s v="FB011407"/>
        <s v="FB011406"/>
        <s v="FB011405"/>
        <s v="BB01738"/>
        <s v="BB01737"/>
        <s v="BB01736"/>
        <s v="FB011404"/>
        <s v="FB011403"/>
        <s v="FB011402"/>
        <s v="FB011401"/>
        <s v="FB011400"/>
        <s v="FB011399"/>
        <s v="FB011398"/>
        <s v="FB011397"/>
        <s v="BB01735"/>
        <s v="BB01734"/>
        <s v="FB011396"/>
        <s v="FB011395"/>
        <s v="FB011394"/>
        <s v="FB011393"/>
        <s v="FB011392"/>
        <s v="FB011391"/>
        <s v="FB011390"/>
        <s v="FB011389"/>
        <s v="FB011388"/>
        <s v="FB011387"/>
        <s v="FB011386"/>
        <s v="FB011385"/>
        <s v="FB011384"/>
        <s v="BB01733"/>
        <s v="BB01732"/>
        <s v="BB01731"/>
        <s v="BB01730"/>
        <s v="FB011383"/>
        <s v="FB011382"/>
        <s v="FB011381"/>
        <s v="FB011380"/>
        <s v="FB011379"/>
        <s v="FB011378"/>
        <s v="BB01729"/>
        <s v="BB01728"/>
        <s v="BB01727"/>
        <s v="BB01726"/>
        <s v="BB01725"/>
        <s v="BB01724"/>
        <s v="FB011377"/>
        <s v="FB011376"/>
        <s v="FB011375"/>
        <s v="FB011374"/>
        <s v="FB011373"/>
        <s v="FB011372"/>
        <s v="FB011371"/>
        <s v="FB011370"/>
        <s v="FB011369"/>
        <s v="FB011368"/>
        <s v="FB011367"/>
        <s v="FB011366"/>
        <s v="FB011365"/>
        <s v="FB011364"/>
        <s v="FB011363"/>
        <s v="FB011362"/>
        <s v="FFF1218"/>
        <s v="BB01721"/>
        <s v="BB01720"/>
        <s v="BB01719"/>
        <s v="BB01718"/>
        <s v="FB011361"/>
        <s v="FB011360"/>
        <s v="BB01717"/>
        <s v="BB01716"/>
        <s v="BB01715"/>
        <s v="BB01714"/>
        <s v="BB01713"/>
        <s v="BB01712"/>
        <s v="BB01711"/>
        <s v="FB011359"/>
        <s v="FB011358"/>
        <s v="BB01710"/>
        <s v="BB01709"/>
        <s v="BB01708"/>
        <s v="BB01707"/>
        <s v="FB011357"/>
        <s v="FB011356"/>
        <s v="FB011355"/>
        <s v="FB011354"/>
        <s v="FB011353"/>
        <s v="FB011352"/>
        <s v="FB011351"/>
        <s v="FB011350"/>
        <s v="FB011349"/>
        <s v="FB011348"/>
        <s v="FB011347"/>
        <s v="FB011346"/>
        <s v="FB011345"/>
        <s v="FB011344"/>
        <s v="FB011343"/>
        <s v="FB011342"/>
        <s v="FB011341"/>
        <s v="FB011340"/>
        <s v="FB011339"/>
        <s v="FB011338"/>
        <s v="FB011337"/>
        <s v="FB011336"/>
        <s v="FB011335"/>
        <s v="FB011334"/>
        <s v="FB011333"/>
        <s v="FB011332"/>
        <s v="FB011331"/>
        <s v="FB011330"/>
        <s v="FB011329"/>
        <s v="FB011328"/>
        <s v="FB011327"/>
        <s v="FB011326"/>
        <s v="FB011325"/>
        <s v="FB011324"/>
        <s v="FB011323"/>
        <s v="FB011322"/>
        <s v="FB011321"/>
        <s v="FB011320"/>
        <s v="BB01706"/>
        <s v="BB01705"/>
        <s v="BB01704"/>
        <s v="BB01703"/>
        <s v="BB01702"/>
        <s v="BB01701"/>
        <s v="FB011319"/>
        <s v="FB011318"/>
        <s v="BB01700"/>
        <s v="BB01699"/>
        <s v="FB011317"/>
        <s v="FB011316"/>
        <s v="FB011315"/>
        <s v="FB011314"/>
        <s v="FB011313"/>
        <s v="FFF1217"/>
        <s v="FFF1216"/>
        <s v="FFF1215"/>
        <s v="BB01698"/>
        <s v="BB01697"/>
        <s v="BB01696"/>
        <s v="BB01695"/>
        <s v="BB01694"/>
        <s v="BB01693"/>
        <s v="BB01692"/>
        <s v="BB01691"/>
        <s v="BB01690"/>
        <s v="BB01689"/>
        <s v="BB01688"/>
        <s v="BB01687"/>
        <s v="BB01686"/>
        <s v="BB01685"/>
        <s v="BB01684"/>
        <s v="BB01683"/>
        <s v="BB01682"/>
        <s v="BB01681"/>
        <s v="BB01680"/>
        <s v="BB01679"/>
        <s v="BB01678"/>
        <s v="BB01677"/>
        <s v="BB01676"/>
        <s v="BB01675"/>
        <s v="FB011312"/>
        <s v="FB011311"/>
        <s v="FB011310"/>
        <s v="FB011309"/>
        <s v="FB011308"/>
        <s v="FB011307"/>
        <s v="FB011306"/>
        <s v="FB011305"/>
        <s v="FB011304"/>
        <s v="FB011303"/>
        <s v="FB011302"/>
        <s v="FB011301"/>
        <s v="FB011300"/>
        <s v="FB011299"/>
        <s v="FB011298"/>
        <s v="FB011297"/>
        <s v="FB011296"/>
        <s v="FB011295"/>
        <s v="FB011294"/>
        <s v="FB011293"/>
        <s v="FB011292"/>
        <s v="FB011291"/>
        <s v="FB011290"/>
        <s v="FB011289"/>
        <s v="FB011288"/>
        <s v="FB011287"/>
        <s v="FB011286"/>
        <s v="FB011285"/>
        <s v="FB011284"/>
        <s v="FB011283"/>
        <s v="FB011282"/>
        <s v="BB01672"/>
        <s v="BB01674"/>
        <s v="BB01673"/>
        <s v="BB01671"/>
        <s v="BB01670"/>
        <s v="BB01669"/>
        <s v="BB01668"/>
        <s v="FB011281"/>
        <s v="FB011280"/>
        <s v="FB011279"/>
        <s v="FB011278"/>
        <s v="BB01667"/>
        <s v="BB01666"/>
        <s v="FB011277"/>
        <s v="FB011276"/>
        <s v="FB011275"/>
        <s v="FB011274"/>
        <s v="FB011273"/>
        <s v="FB011272"/>
        <s v="FB011271"/>
        <s v="FB011270"/>
        <s v="FB011269"/>
        <s v="FB011268"/>
        <s v="FB011267"/>
        <s v="FB011266"/>
        <s v="FFF1214"/>
        <s v="FFF1213"/>
        <s v="FFF1212"/>
        <s v="FFF1211"/>
        <s v="BB01665"/>
        <s v="BB01664"/>
        <s v="FB011265"/>
        <s v="FB011264"/>
        <s v="FB011263"/>
        <s v="FB011262"/>
        <s v="FB011261"/>
        <s v="FB011260"/>
        <s v="BB01663"/>
        <s v="BB01662"/>
        <s v="FFF1210"/>
        <s v="FFF1209"/>
        <s v="FB011259"/>
        <s v="FB011258"/>
        <s v="FB011257"/>
        <s v="FB011256"/>
        <s v="FB011255"/>
        <s v="FB011254"/>
        <s v="FB011253"/>
        <s v="FB011252"/>
        <s v="FB011251"/>
        <s v="FB011250"/>
        <s v="BB01657"/>
        <s v="BB01656"/>
        <s v="FB011249"/>
        <s v="FB011248"/>
        <s v="BB01655"/>
        <s v="BB01654"/>
        <s v="BB01653"/>
        <s v="BB01652"/>
        <s v="BB01651"/>
        <s v="FB011247"/>
        <s v="FB011246"/>
        <s v="FB011245"/>
        <s v="FB011244"/>
        <s v="FB011243"/>
        <s v="FB011242"/>
        <s v="FB011241"/>
        <s v="FB011240"/>
        <s v="FB011239"/>
        <s v="FB011238"/>
        <s v="FB011237"/>
        <s v="FB011236"/>
        <s v="FB011235"/>
        <s v="FB011234"/>
        <s v="FB011233"/>
        <s v="FB011232"/>
        <s v="FB011231"/>
        <s v="FB011230"/>
        <s v="FB011229"/>
        <s v="FB011228"/>
        <s v="FB011227"/>
        <s v="FB011226"/>
        <s v="FB011225"/>
        <s v="FB011224"/>
        <s v="FB011223"/>
        <s v="FB011222"/>
        <s v="FB011219"/>
        <s v="FB011218"/>
        <s v="FB011217"/>
        <s v="FB011216"/>
        <s v="FB011215"/>
        <s v="BB01650"/>
        <s v="BB01649"/>
        <s v="FB011214"/>
        <s v="FB011213"/>
        <s v="FB011212"/>
        <s v="FB011211"/>
        <s v="FB011210"/>
        <s v="FB011209"/>
        <s v="FB011208"/>
        <s v="FB011207"/>
        <s v="FB011206"/>
        <s v="FB011205"/>
        <s v="FB011204"/>
        <s v="BB01648"/>
        <s v="BB01647"/>
        <s v="BB01646"/>
        <s v="BB01645"/>
        <s v="FB011203"/>
        <s v="FB011202"/>
        <s v="FB011201"/>
        <s v="FB011200"/>
        <s v="BB01644"/>
        <s v="BB01643"/>
        <s v="FB011199"/>
        <s v="FB011198"/>
        <s v="BB01642"/>
        <s v="BB01641"/>
        <s v="FB011197"/>
        <s v="FB011196"/>
        <s v="FB011195"/>
        <s v="FB011194"/>
        <s v="FB011193"/>
        <s v="FB011192"/>
        <s v="FB011191"/>
        <s v="FB011190"/>
        <s v="FB011189"/>
        <s v="FB011188"/>
        <s v="BB01640"/>
        <s v="BB01639"/>
        <s v="BB01638"/>
        <s v="BB01637"/>
        <s v="FB011187"/>
        <s v="FB011186"/>
        <s v="FB011185"/>
        <s v="FB011184"/>
        <s v="BB01636"/>
        <s v="BB01635"/>
        <s v="BB01634"/>
        <s v="BB01633"/>
        <s v="BB01632"/>
        <s v="FB011183"/>
        <s v="FB011182"/>
        <s v="FB011181"/>
        <s v="FB011180"/>
        <s v="BB01631"/>
        <s v="BB01630"/>
        <s v="BB01629"/>
        <s v="BB01628"/>
        <s v="BB01627"/>
        <s v="FB011179"/>
        <s v="FB011178"/>
        <s v="FB011177"/>
        <s v="FB011176"/>
        <s v="FB011175"/>
        <s v="FB011174"/>
        <s v="FB011173"/>
        <s v="FB011172"/>
        <s v="FB011171"/>
      </sharedItems>
    </cacheField>
    <cacheField name="Días (fecha_de_emision)" numFmtId="0" databaseField="0">
      <fieldGroup base="3">
        <rangePr groupBy="days" startDate="2025-01-03T00:00:00" endDate="2025-10-16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5"/>
        </groupItems>
      </fieldGroup>
    </cacheField>
    <cacheField name="Meses (fecha_de_emision)" numFmtId="0" databaseField="0">
      <fieldGroup base="3">
        <rangePr groupBy="months" startDate="2025-01-03T00:00:00" endDate="2025-10-16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n v="3100"/>
    <s v="Trilogia Pxndx Festival III en Lince"/>
    <s v="(03) Boleta"/>
    <x v="0"/>
    <x v="0"/>
    <d v="2025-10-15T00:00:00"/>
    <d v="2025-10-15T00:00:00"/>
    <m/>
    <m/>
    <s v="SAMUEL CHUQUISTA"/>
    <s v="Ventas"/>
    <m/>
    <s v="COLABORATIVA S.A.C."/>
    <n v="12.2"/>
    <n v="2.2000000000000002"/>
    <n v="14.4"/>
    <n v="14.4"/>
    <m/>
    <s v="PEN"/>
    <b v="0"/>
    <s v="Revertido"/>
    <s v="Enviado"/>
    <m/>
    <m/>
    <x v="0"/>
    <m/>
    <m/>
    <m/>
    <m/>
    <m/>
    <m/>
    <x v="0"/>
    <x v="0"/>
    <m/>
    <m/>
    <x v="0"/>
  </r>
  <r>
    <x v="1"/>
    <n v="3100"/>
    <s v="Trilogia Pxndx Festival III en Lince"/>
    <s v="(03) Boleta"/>
    <x v="0"/>
    <x v="0"/>
    <d v="2025-10-15T00:00:00"/>
    <d v="2025-10-15T00:00:00"/>
    <m/>
    <m/>
    <s v="SAMUEL CHUQUISTA"/>
    <s v="Ventas"/>
    <m/>
    <s v="COLABORATIVA S.A.C."/>
    <n v="41.14"/>
    <n v="7.41"/>
    <n v="48.55"/>
    <n v="48.55"/>
    <n v="48.55"/>
    <s v="PEN"/>
    <b v="0"/>
    <s v="Sin pagar"/>
    <s v="Enviado"/>
    <m/>
    <m/>
    <x v="0"/>
    <m/>
    <m/>
    <m/>
    <m/>
    <m/>
    <m/>
    <x v="0"/>
    <x v="0"/>
    <m/>
    <m/>
    <x v="0"/>
  </r>
  <r>
    <x v="2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2701"/>
    <n v="486.18"/>
    <n v="3187.18"/>
    <n v="3187.18"/>
    <n v="3187.18"/>
    <s v="PEN"/>
    <b v="0"/>
    <s v="Sin pagar"/>
    <s v="Enviado"/>
    <m/>
    <m/>
    <x v="0"/>
    <m/>
    <m/>
    <m/>
    <m/>
    <m/>
    <m/>
    <x v="0"/>
    <x v="0"/>
    <m/>
    <m/>
    <x v="0"/>
  </r>
  <r>
    <x v="3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4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688.56"/>
    <n v="303.94"/>
    <n v="1992.5"/>
    <n v="1992.5"/>
    <n v="1992.5"/>
    <s v="PEN"/>
    <b v="0"/>
    <s v="Sin pagar"/>
    <s v="Enviado"/>
    <m/>
    <m/>
    <x v="0"/>
    <m/>
    <m/>
    <m/>
    <m/>
    <m/>
    <m/>
    <x v="0"/>
    <x v="0"/>
    <m/>
    <m/>
    <x v="0"/>
  </r>
  <r>
    <x v="5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340.25"/>
    <n v="241.25"/>
    <n v="1581.5"/>
    <n v="1581.5"/>
    <n v="1581.5"/>
    <s v="PEN"/>
    <b v="0"/>
    <s v="Sin pagar"/>
    <s v="Enviado"/>
    <m/>
    <m/>
    <x v="0"/>
    <m/>
    <m/>
    <m/>
    <m/>
    <m/>
    <m/>
    <x v="0"/>
    <x v="0"/>
    <m/>
    <m/>
    <x v="0"/>
  </r>
  <r>
    <x v="6"/>
    <n v="3029"/>
    <s v="3er Aniversario Complejo Deportivo y Cultural Los Cumpas con Alegres de Bambamarca, Martin Vera y más en Puente Piedra"/>
    <s v="(03) Boleta"/>
    <x v="2"/>
    <x v="0"/>
    <d v="2025-10-15T00:00:00"/>
    <d v="2025-10-15T00:00:00"/>
    <m/>
    <m/>
    <s v="SAMUEL CHUQUISTA"/>
    <s v="Ventas"/>
    <m/>
    <s v="COLABORATIVA S.A.C."/>
    <n v="25.93"/>
    <n v="4.67"/>
    <n v="30.6"/>
    <n v="30.6"/>
    <n v="30.6"/>
    <s v="PEN"/>
    <b v="0"/>
    <s v="Sin pagar"/>
    <s v="Enviado"/>
    <m/>
    <m/>
    <x v="0"/>
    <m/>
    <m/>
    <m/>
    <m/>
    <m/>
    <m/>
    <x v="0"/>
    <x v="0"/>
    <m/>
    <m/>
    <x v="0"/>
  </r>
  <r>
    <x v="7"/>
    <n v="3029"/>
    <s v="3er Aniversario Complejo Deportivo y Cultural Los Cumpas con Alegres de Bambamarca, Martin Vera y más en Puente Piedra"/>
    <s v="(03) Boleta"/>
    <x v="2"/>
    <x v="0"/>
    <d v="2025-10-15T00:00:00"/>
    <d v="2025-10-15T00:00:00"/>
    <m/>
    <m/>
    <s v="SAMUEL CHUQUISTA"/>
    <s v="Ventas"/>
    <m/>
    <s v="COLABORATIVA S.A.C."/>
    <n v="18.309999999999999"/>
    <n v="3.3"/>
    <n v="21.61"/>
    <n v="21.61"/>
    <n v="21.61"/>
    <s v="PEN"/>
    <b v="0"/>
    <s v="Sin pagar"/>
    <s v="Enviado"/>
    <m/>
    <m/>
    <x v="0"/>
    <m/>
    <m/>
    <m/>
    <m/>
    <m/>
    <m/>
    <x v="0"/>
    <x v="0"/>
    <m/>
    <m/>
    <x v="0"/>
  </r>
  <r>
    <x v="8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63"/>
    <n v="11.34"/>
    <n v="74.34"/>
    <n v="74.34"/>
    <n v="74.34"/>
    <s v="PEN"/>
    <b v="0"/>
    <s v="Sin pagar"/>
    <s v="Enviado"/>
    <m/>
    <m/>
    <x v="0"/>
    <m/>
    <m/>
    <m/>
    <m/>
    <m/>
    <m/>
    <x v="0"/>
    <x v="0"/>
    <m/>
    <m/>
    <x v="0"/>
  </r>
  <r>
    <x v="9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300"/>
    <n v="54"/>
    <n v="354"/>
    <n v="354"/>
    <n v="354"/>
    <s v="PEN"/>
    <b v="0"/>
    <s v="Sin pagar"/>
    <s v="Enviado"/>
    <m/>
    <m/>
    <x v="0"/>
    <m/>
    <m/>
    <m/>
    <m/>
    <m/>
    <m/>
    <x v="0"/>
    <x v="0"/>
    <m/>
    <m/>
    <x v="0"/>
  </r>
  <r>
    <x v="10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785.59"/>
    <n v="141.41"/>
    <n v="927"/>
    <n v="927"/>
    <n v="927"/>
    <s v="PEN"/>
    <b v="0"/>
    <s v="Sin pagar"/>
    <s v="Enviado"/>
    <m/>
    <m/>
    <x v="0"/>
    <m/>
    <m/>
    <m/>
    <m/>
    <m/>
    <m/>
    <x v="0"/>
    <x v="0"/>
    <m/>
    <m/>
    <x v="0"/>
  </r>
  <r>
    <x v="11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943.14"/>
    <n v="169.77"/>
    <n v="1112.9100000000001"/>
    <n v="1112.9100000000001"/>
    <n v="1112.9100000000001"/>
    <s v="PEN"/>
    <b v="0"/>
    <s v="Sin pagar"/>
    <s v="Enviado"/>
    <m/>
    <m/>
    <x v="0"/>
    <m/>
    <m/>
    <m/>
    <m/>
    <m/>
    <m/>
    <x v="0"/>
    <x v="0"/>
    <m/>
    <m/>
    <x v="0"/>
  </r>
  <r>
    <x v="12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30"/>
    <n v="5.4"/>
    <n v="35.4"/>
    <n v="35.4"/>
    <n v="35.4"/>
    <s v="PEN"/>
    <b v="0"/>
    <s v="Sin pagar"/>
    <s v="Enviado"/>
    <m/>
    <m/>
    <x v="0"/>
    <m/>
    <m/>
    <m/>
    <m/>
    <m/>
    <m/>
    <x v="0"/>
    <x v="0"/>
    <m/>
    <m/>
    <x v="0"/>
  </r>
  <r>
    <x v="13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6"/>
    <n v="1.08"/>
    <n v="7.08"/>
    <n v="7.08"/>
    <n v="7.08"/>
    <s v="PEN"/>
    <b v="0"/>
    <s v="Sin pagar"/>
    <s v="Enviado"/>
    <m/>
    <m/>
    <x v="0"/>
    <m/>
    <m/>
    <m/>
    <m/>
    <m/>
    <m/>
    <x v="0"/>
    <x v="0"/>
    <m/>
    <m/>
    <x v="0"/>
  </r>
  <r>
    <x v="14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2687.46"/>
    <n v="483.74"/>
    <n v="3171.2"/>
    <n v="3171.2"/>
    <n v="3171.2"/>
    <s v="PEN"/>
    <b v="0"/>
    <s v="Sin pagar"/>
    <s v="Enviado"/>
    <m/>
    <m/>
    <x v="0"/>
    <m/>
    <m/>
    <m/>
    <m/>
    <m/>
    <m/>
    <x v="0"/>
    <x v="0"/>
    <m/>
    <m/>
    <x v="0"/>
  </r>
  <r>
    <x v="15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16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17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300"/>
    <n v="54"/>
    <n v="354"/>
    <n v="354"/>
    <n v="354"/>
    <s v="PEN"/>
    <b v="0"/>
    <s v="Sin pagar"/>
    <s v="Enviado"/>
    <m/>
    <m/>
    <x v="0"/>
    <m/>
    <m/>
    <m/>
    <m/>
    <m/>
    <m/>
    <x v="0"/>
    <x v="0"/>
    <m/>
    <m/>
    <x v="0"/>
  </r>
  <r>
    <x v="18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630.51"/>
    <n v="293.49"/>
    <n v="1924"/>
    <n v="1924"/>
    <n v="1924"/>
    <s v="PEN"/>
    <b v="0"/>
    <s v="Sin pagar"/>
    <s v="Enviado"/>
    <m/>
    <m/>
    <x v="0"/>
    <m/>
    <m/>
    <m/>
    <m/>
    <m/>
    <m/>
    <x v="0"/>
    <x v="0"/>
    <m/>
    <m/>
    <x v="0"/>
  </r>
  <r>
    <x v="19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988.4"/>
    <n v="177.91"/>
    <n v="1166.31"/>
    <n v="1166.31"/>
    <n v="1166.31"/>
    <s v="PEN"/>
    <b v="0"/>
    <s v="Sin pagar"/>
    <s v="Enviado"/>
    <m/>
    <m/>
    <x v="0"/>
    <m/>
    <m/>
    <m/>
    <m/>
    <m/>
    <m/>
    <x v="0"/>
    <x v="0"/>
    <m/>
    <m/>
    <x v="0"/>
  </r>
  <r>
    <x v="20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904.65"/>
    <n v="162.84"/>
    <n v="1067.49"/>
    <n v="1067.49"/>
    <n v="1067.49"/>
    <s v="PEN"/>
    <b v="0"/>
    <s v="Sin pagar"/>
    <s v="Enviado"/>
    <m/>
    <m/>
    <x v="0"/>
    <m/>
    <m/>
    <m/>
    <m/>
    <m/>
    <m/>
    <x v="0"/>
    <x v="0"/>
    <m/>
    <m/>
    <x v="0"/>
  </r>
  <r>
    <x v="21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4.5"/>
    <n v="2.61"/>
    <n v="17.11"/>
    <n v="17.11"/>
    <n v="17.11"/>
    <s v="PEN"/>
    <b v="0"/>
    <s v="Sin pagar"/>
    <s v="Enviado"/>
    <m/>
    <m/>
    <x v="0"/>
    <m/>
    <m/>
    <m/>
    <m/>
    <m/>
    <m/>
    <x v="0"/>
    <x v="0"/>
    <m/>
    <m/>
    <x v="0"/>
  </r>
  <r>
    <x v="22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84.5"/>
    <n v="15.21"/>
    <n v="99.71"/>
    <n v="99.71"/>
    <n v="99.71"/>
    <s v="PEN"/>
    <b v="0"/>
    <s v="Sin pagar"/>
    <s v="Enviado"/>
    <m/>
    <m/>
    <x v="0"/>
    <m/>
    <m/>
    <m/>
    <m/>
    <m/>
    <m/>
    <x v="0"/>
    <x v="0"/>
    <m/>
    <m/>
    <x v="0"/>
  </r>
  <r>
    <x v="23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50"/>
    <n v="27"/>
    <n v="177"/>
    <n v="177"/>
    <n v="177"/>
    <s v="PEN"/>
    <b v="0"/>
    <s v="Sin pagar"/>
    <s v="Enviado"/>
    <m/>
    <m/>
    <x v="0"/>
    <m/>
    <m/>
    <m/>
    <m/>
    <m/>
    <m/>
    <x v="0"/>
    <x v="0"/>
    <m/>
    <m/>
    <x v="0"/>
  </r>
  <r>
    <x v="24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600"/>
    <n v="288"/>
    <n v="1888"/>
    <n v="1888"/>
    <n v="1888"/>
    <s v="PEN"/>
    <b v="0"/>
    <s v="Sin pagar"/>
    <s v="Enviado"/>
    <m/>
    <m/>
    <x v="0"/>
    <m/>
    <m/>
    <m/>
    <m/>
    <m/>
    <m/>
    <x v="0"/>
    <x v="0"/>
    <m/>
    <m/>
    <x v="0"/>
  </r>
  <r>
    <x v="25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000"/>
    <n v="180"/>
    <n v="1180"/>
    <n v="1180"/>
    <n v="1180"/>
    <s v="PEN"/>
    <b v="0"/>
    <s v="Sin pagar"/>
    <s v="Enviado"/>
    <m/>
    <m/>
    <x v="0"/>
    <m/>
    <m/>
    <m/>
    <m/>
    <m/>
    <m/>
    <x v="0"/>
    <x v="0"/>
    <m/>
    <m/>
    <x v="0"/>
  </r>
  <r>
    <x v="26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6305.08"/>
    <n v="1134.9100000000001"/>
    <n v="7439.99"/>
    <n v="7439.99"/>
    <n v="7439.99"/>
    <s v="PEN"/>
    <b v="0"/>
    <s v="Sin pagar"/>
    <s v="Enviado"/>
    <m/>
    <m/>
    <x v="0"/>
    <m/>
    <m/>
    <m/>
    <m/>
    <m/>
    <m/>
    <x v="0"/>
    <x v="0"/>
    <m/>
    <m/>
    <x v="0"/>
  </r>
  <r>
    <x v="27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2880.59"/>
    <n v="518.51"/>
    <n v="3399.1"/>
    <n v="3399.1"/>
    <n v="3399.1"/>
    <s v="PEN"/>
    <b v="0"/>
    <s v="Sin pagar"/>
    <s v="Enviado"/>
    <m/>
    <m/>
    <x v="0"/>
    <m/>
    <m/>
    <m/>
    <m/>
    <m/>
    <m/>
    <x v="0"/>
    <x v="0"/>
    <m/>
    <m/>
    <x v="0"/>
  </r>
  <r>
    <x v="28"/>
    <n v="3188"/>
    <s v="La Bella Luz y más en Ate Vitarte"/>
    <s v="(01) Factura"/>
    <x v="6"/>
    <x v="0"/>
    <d v="2025-10-15T00:00:00"/>
    <d v="2025-10-15T00:00:00"/>
    <m/>
    <m/>
    <s v="SAMUEL CHUQUISTA"/>
    <s v="Ventas"/>
    <m/>
    <s v="COLABORATIVA S.A.C."/>
    <n v="369.41"/>
    <n v="66.489999999999995"/>
    <n v="435.9"/>
    <n v="435.9"/>
    <n v="435.9"/>
    <s v="PEN"/>
    <b v="0"/>
    <s v="Sin pagar"/>
    <s v="Enviado"/>
    <m/>
    <m/>
    <x v="0"/>
    <m/>
    <m/>
    <m/>
    <m/>
    <m/>
    <m/>
    <x v="0"/>
    <x v="0"/>
    <m/>
    <m/>
    <x v="0"/>
  </r>
  <r>
    <x v="29"/>
    <n v="3188"/>
    <s v="La Bella Luz y más en Ate Vitarte"/>
    <s v="(01) Factura"/>
    <x v="6"/>
    <x v="0"/>
    <d v="2025-10-15T00:00:00"/>
    <d v="2025-10-15T00:00:00"/>
    <m/>
    <m/>
    <s v="SAMUEL CHUQUISTA"/>
    <s v="Ventas"/>
    <m/>
    <s v="COLABORATIVA S.A.C."/>
    <n v="256.61"/>
    <n v="46.19"/>
    <n v="302.8"/>
    <n v="302.8"/>
    <n v="302.8"/>
    <s v="PEN"/>
    <b v="0"/>
    <s v="Sin pagar"/>
    <s v="Enviado"/>
    <m/>
    <m/>
    <x v="0"/>
    <m/>
    <m/>
    <m/>
    <m/>
    <m/>
    <m/>
    <x v="0"/>
    <x v="0"/>
    <m/>
    <m/>
    <x v="0"/>
  </r>
  <r>
    <x v="30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0"/>
  </r>
  <r>
    <x v="31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1400"/>
    <n v="252"/>
    <n v="1652"/>
    <n v="1652"/>
    <n v="1652"/>
    <s v="PEN"/>
    <b v="0"/>
    <s v="Sin pagar"/>
    <s v="Enviado"/>
    <m/>
    <m/>
    <x v="0"/>
    <m/>
    <m/>
    <m/>
    <m/>
    <m/>
    <m/>
    <x v="0"/>
    <x v="0"/>
    <m/>
    <m/>
    <x v="0"/>
  </r>
  <r>
    <x v="32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3741.1"/>
    <n v="673.4"/>
    <n v="4414.5"/>
    <n v="4414.5"/>
    <n v="4414.5"/>
    <s v="PEN"/>
    <b v="0"/>
    <s v="Sin pagar"/>
    <s v="Enviado"/>
    <m/>
    <m/>
    <x v="0"/>
    <m/>
    <m/>
    <m/>
    <m/>
    <m/>
    <m/>
    <x v="0"/>
    <x v="0"/>
    <m/>
    <m/>
    <x v="0"/>
  </r>
  <r>
    <x v="33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1571.02"/>
    <n v="282.77999999999997"/>
    <n v="1853.8"/>
    <n v="1853.8"/>
    <n v="1853.8"/>
    <s v="PEN"/>
    <b v="0"/>
    <s v="Sin pagar"/>
    <s v="Enviado"/>
    <m/>
    <m/>
    <x v="0"/>
    <m/>
    <m/>
    <m/>
    <m/>
    <m/>
    <m/>
    <x v="0"/>
    <x v="0"/>
    <m/>
    <m/>
    <x v="0"/>
  </r>
  <r>
    <x v="34"/>
    <n v="2897"/>
    <s v="Amaranta en Cusco"/>
    <s v="(01) Factura"/>
    <x v="7"/>
    <x v="0"/>
    <d v="2025-10-15T00:00:00"/>
    <d v="2025-10-15T00:00:00"/>
    <m/>
    <m/>
    <s v="SAMUEL CHUQUISTA"/>
    <s v="Ventas"/>
    <m/>
    <s v="COLABORATIVA S.A.C."/>
    <n v="1820"/>
    <n v="327.60000000000002"/>
    <n v="2147.6"/>
    <n v="2147.6"/>
    <n v="2147.6"/>
    <s v="PEN"/>
    <b v="0"/>
    <s v="Sin pagar"/>
    <s v="Enviado"/>
    <m/>
    <m/>
    <x v="0"/>
    <m/>
    <m/>
    <m/>
    <m/>
    <m/>
    <m/>
    <x v="0"/>
    <x v="0"/>
    <m/>
    <m/>
    <x v="0"/>
  </r>
  <r>
    <x v="35"/>
    <n v="2897"/>
    <s v="Amaranta en Cusco"/>
    <s v="(01) Factura"/>
    <x v="7"/>
    <x v="0"/>
    <d v="2025-10-15T00:00:00"/>
    <d v="2025-10-15T00:00:00"/>
    <m/>
    <m/>
    <s v="SAMUEL CHUQUISTA"/>
    <s v="Ventas"/>
    <m/>
    <s v="COLABORATIVA S.A.C."/>
    <n v="2213.98"/>
    <n v="398.52"/>
    <n v="2612.5"/>
    <n v="2612.5"/>
    <n v="2612.5"/>
    <s v="PEN"/>
    <b v="0"/>
    <s v="Sin pagar"/>
    <s v="Enviado"/>
    <m/>
    <m/>
    <x v="0"/>
    <m/>
    <m/>
    <m/>
    <m/>
    <m/>
    <m/>
    <x v="0"/>
    <x v="0"/>
    <m/>
    <m/>
    <x v="0"/>
  </r>
  <r>
    <x v="36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7.5"/>
    <n v="1.35"/>
    <n v="8.85"/>
    <n v="8.85"/>
    <n v="8.85"/>
    <s v="PEN"/>
    <b v="0"/>
    <s v="Sin pagar"/>
    <s v="Enviado"/>
    <m/>
    <m/>
    <x v="0"/>
    <m/>
    <m/>
    <m/>
    <m/>
    <m/>
    <m/>
    <x v="0"/>
    <x v="0"/>
    <m/>
    <m/>
    <x v="1"/>
  </r>
  <r>
    <x v="37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1174.24"/>
    <n v="211.36"/>
    <n v="1385.6"/>
    <n v="1385.6"/>
    <n v="1385.6"/>
    <s v="PEN"/>
    <b v="0"/>
    <s v="Sin pagar"/>
    <s v="Enviado"/>
    <m/>
    <m/>
    <x v="0"/>
    <m/>
    <m/>
    <m/>
    <m/>
    <m/>
    <m/>
    <x v="0"/>
    <x v="0"/>
    <m/>
    <m/>
    <x v="0"/>
  </r>
  <r>
    <x v="38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1463.05"/>
    <n v="263.35000000000002"/>
    <n v="1726.4"/>
    <n v="1726.4"/>
    <n v="1726.4"/>
    <s v="PEN"/>
    <b v="0"/>
    <s v="Sin pagar"/>
    <s v="Enviado"/>
    <m/>
    <m/>
    <x v="0"/>
    <m/>
    <m/>
    <m/>
    <m/>
    <m/>
    <m/>
    <x v="0"/>
    <x v="0"/>
    <m/>
    <m/>
    <x v="0"/>
  </r>
  <r>
    <x v="39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6"/>
    <n v="1.08"/>
    <n v="7.08"/>
    <n v="7.08"/>
    <n v="7.08"/>
    <s v="PEN"/>
    <b v="0"/>
    <s v="Sin pagar"/>
    <s v="Enviado"/>
    <m/>
    <m/>
    <x v="0"/>
    <m/>
    <m/>
    <m/>
    <m/>
    <m/>
    <m/>
    <x v="0"/>
    <x v="0"/>
    <m/>
    <m/>
    <x v="0"/>
  </r>
  <r>
    <x v="40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3056.19"/>
    <n v="550.11"/>
    <n v="3606.3"/>
    <n v="3606.3"/>
    <n v="3606.3"/>
    <s v="PEN"/>
    <b v="0"/>
    <s v="Sin pagar"/>
    <s v="Enviado"/>
    <m/>
    <m/>
    <x v="0"/>
    <m/>
    <m/>
    <m/>
    <m/>
    <m/>
    <m/>
    <x v="0"/>
    <x v="0"/>
    <m/>
    <m/>
    <x v="0"/>
  </r>
  <r>
    <x v="41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3740.42"/>
    <n v="673.28"/>
    <n v="4413.7"/>
    <n v="4413.7"/>
    <n v="4413.7"/>
    <s v="PEN"/>
    <b v="0"/>
    <s v="Sin pagar"/>
    <s v="Enviado"/>
    <m/>
    <m/>
    <x v="0"/>
    <m/>
    <m/>
    <m/>
    <m/>
    <m/>
    <m/>
    <x v="0"/>
    <x v="0"/>
    <m/>
    <m/>
    <x v="0"/>
  </r>
  <r>
    <x v="42"/>
    <n v="3094"/>
    <s v="24 Aniversario de Victor Manuel del Perú, Max Castro, Milder Ore y más en Trujillo"/>
    <s v="(01) Factura"/>
    <x v="8"/>
    <x v="0"/>
    <d v="2025-10-15T00:00:00"/>
    <d v="2025-10-15T00:00:00"/>
    <m/>
    <m/>
    <s v="SAMUEL CHUQUISTA"/>
    <s v="Ventas"/>
    <m/>
    <s v="COLABORATIVA S.A.C."/>
    <n v="1934.24"/>
    <n v="348.16"/>
    <n v="2282.4"/>
    <n v="2282.4"/>
    <n v="2282.4"/>
    <s v="PEN"/>
    <b v="0"/>
    <s v="Sin pagar"/>
    <s v="Enviado"/>
    <m/>
    <m/>
    <x v="0"/>
    <m/>
    <m/>
    <m/>
    <m/>
    <m/>
    <m/>
    <x v="0"/>
    <x v="0"/>
    <m/>
    <m/>
    <x v="0"/>
  </r>
  <r>
    <x v="43"/>
    <n v="3094"/>
    <s v="24 Aniversario de Victor Manuel del Perú, Max Castro, Milder Ore y más en Trujillo"/>
    <s v="(01) Factura"/>
    <x v="8"/>
    <x v="0"/>
    <d v="2025-10-15T00:00:00"/>
    <d v="2025-10-15T00:00:00"/>
    <m/>
    <m/>
    <s v="SAMUEL CHUQUISTA"/>
    <s v="Ventas"/>
    <m/>
    <s v="COLABORATIVA S.A.C."/>
    <n v="2316.61"/>
    <n v="416.99"/>
    <n v="2733.6"/>
    <n v="2733.6"/>
    <n v="2733.6"/>
    <s v="PEN"/>
    <b v="0"/>
    <s v="Sin pagar"/>
    <s v="Enviado"/>
    <m/>
    <m/>
    <x v="0"/>
    <m/>
    <m/>
    <m/>
    <m/>
    <m/>
    <m/>
    <x v="0"/>
    <x v="0"/>
    <m/>
    <m/>
    <x v="0"/>
  </r>
  <r>
    <x v="44"/>
    <n v="3172"/>
    <s v="La Bella Luz en Pachacamac"/>
    <s v="(01) Factura"/>
    <x v="6"/>
    <x v="0"/>
    <d v="2025-10-15T00:00:00"/>
    <d v="2025-10-15T00:00:00"/>
    <m/>
    <m/>
    <s v="SAMUEL CHUQUISTA"/>
    <s v="Ventas"/>
    <m/>
    <s v="COLABORATIVA S.A.C."/>
    <n v="1427.8"/>
    <n v="257"/>
    <n v="1684.8"/>
    <n v="1684.8"/>
    <n v="1684.8"/>
    <s v="PEN"/>
    <b v="0"/>
    <s v="Sin pagar"/>
    <s v="Enviado"/>
    <m/>
    <m/>
    <x v="0"/>
    <m/>
    <m/>
    <m/>
    <m/>
    <m/>
    <m/>
    <x v="0"/>
    <x v="0"/>
    <m/>
    <m/>
    <x v="0"/>
  </r>
  <r>
    <x v="45"/>
    <n v="3172"/>
    <s v="La Bella Luz en Pachacamac"/>
    <s v="(01) Factura"/>
    <x v="6"/>
    <x v="0"/>
    <d v="2025-10-15T00:00:00"/>
    <d v="2025-10-15T00:00:00"/>
    <m/>
    <m/>
    <s v="SAMUEL CHUQUISTA"/>
    <s v="Ventas"/>
    <m/>
    <s v="COLABORATIVA S.A.C."/>
    <n v="976.78"/>
    <n v="175.82"/>
    <n v="1152.5999999999999"/>
    <n v="1152.5999999999999"/>
    <n v="1152.5999999999999"/>
    <s v="PEN"/>
    <b v="0"/>
    <s v="Sin pagar"/>
    <s v="Enviado"/>
    <m/>
    <m/>
    <x v="0"/>
    <m/>
    <m/>
    <m/>
    <m/>
    <m/>
    <m/>
    <x v="0"/>
    <x v="0"/>
    <m/>
    <m/>
    <x v="0"/>
  </r>
  <r>
    <x v="46"/>
    <n v="3123"/>
    <s v="Agua Marina en Barranca"/>
    <s v="(03) Boleta"/>
    <x v="9"/>
    <x v="1"/>
    <d v="2025-10-14T00:00:00"/>
    <d v="2025-10-14T00:00:00"/>
    <m/>
    <m/>
    <s v="SAMUEL CHUQUISTA"/>
    <s v="Ventas"/>
    <m/>
    <s v="COLABORATIVA S.A.C."/>
    <n v="60"/>
    <n v="10.8"/>
    <n v="70.8"/>
    <n v="70.8"/>
    <n v="70.8"/>
    <s v="PEN"/>
    <b v="0"/>
    <s v="Sin pagar"/>
    <s v="Enviado"/>
    <m/>
    <m/>
    <x v="0"/>
    <m/>
    <m/>
    <m/>
    <m/>
    <m/>
    <m/>
    <x v="0"/>
    <x v="0"/>
    <m/>
    <m/>
    <x v="2"/>
  </r>
  <r>
    <x v="47"/>
    <n v="3092"/>
    <s v="Desde Colombia Lil Silvio &amp; El Vega en Cajamarca"/>
    <s v="(01) Factura"/>
    <x v="10"/>
    <x v="1"/>
    <d v="2025-10-14T00:00:00"/>
    <d v="2025-10-14T00:00:00"/>
    <m/>
    <m/>
    <s v="SAMUEL CHUQUISTA"/>
    <s v="Ventas"/>
    <m/>
    <s v="COLABORATIVA S.A.C."/>
    <n v="651.53"/>
    <n v="117.28"/>
    <n v="768.81"/>
    <n v="768.81"/>
    <n v="768.81"/>
    <s v="PEN"/>
    <b v="0"/>
    <s v="Sin pagar"/>
    <s v="Enviado"/>
    <m/>
    <m/>
    <x v="0"/>
    <m/>
    <m/>
    <m/>
    <m/>
    <m/>
    <m/>
    <x v="0"/>
    <x v="0"/>
    <m/>
    <m/>
    <x v="2"/>
  </r>
  <r>
    <x v="48"/>
    <n v="3092"/>
    <s v="Desde Colombia Lil Silvio &amp; El Vega en Cajamarca"/>
    <s v="(01) Factura"/>
    <x v="10"/>
    <x v="1"/>
    <d v="2025-10-14T00:00:00"/>
    <d v="2025-10-14T00:00:00"/>
    <m/>
    <m/>
    <s v="SAMUEL CHUQUISTA"/>
    <s v="Ventas"/>
    <m/>
    <s v="COLABORATIVA S.A.C."/>
    <n v="556.44000000000005"/>
    <n v="100.16"/>
    <n v="656.6"/>
    <n v="656.6"/>
    <n v="656.6"/>
    <s v="PEN"/>
    <b v="0"/>
    <s v="Sin pagar"/>
    <s v="Enviado"/>
    <m/>
    <m/>
    <x v="0"/>
    <m/>
    <m/>
    <m/>
    <m/>
    <m/>
    <m/>
    <x v="0"/>
    <x v="0"/>
    <m/>
    <m/>
    <x v="2"/>
  </r>
  <r>
    <x v="49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2.5"/>
    <n v="2.25"/>
    <n v="14.75"/>
    <n v="14.75"/>
    <n v="14.75"/>
    <s v="PEN"/>
    <b v="0"/>
    <s v="Sin pagar"/>
    <s v="Enviado"/>
    <m/>
    <m/>
    <x v="0"/>
    <m/>
    <m/>
    <m/>
    <m/>
    <m/>
    <m/>
    <x v="0"/>
    <x v="0"/>
    <m/>
    <m/>
    <x v="2"/>
  </r>
  <r>
    <x v="50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271.19"/>
    <n v="228.81"/>
    <n v="1500"/>
    <n v="1500"/>
    <n v="1500"/>
    <s v="PEN"/>
    <b v="0"/>
    <s v="Sin pagar"/>
    <s v="Enviado"/>
    <m/>
    <m/>
    <x v="0"/>
    <m/>
    <m/>
    <m/>
    <m/>
    <m/>
    <m/>
    <x v="0"/>
    <x v="0"/>
    <m/>
    <m/>
    <x v="2"/>
  </r>
  <r>
    <x v="51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4676.95"/>
    <n v="841.85"/>
    <n v="5518.8"/>
    <n v="5518.8"/>
    <n v="5518.8"/>
    <s v="PEN"/>
    <b v="0"/>
    <s v="Sin pagar"/>
    <s v="Enviado"/>
    <m/>
    <m/>
    <x v="0"/>
    <m/>
    <m/>
    <m/>
    <m/>
    <m/>
    <m/>
    <x v="0"/>
    <x v="0"/>
    <m/>
    <m/>
    <x v="2"/>
  </r>
  <r>
    <x v="52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50"/>
    <n v="27"/>
    <n v="177"/>
    <n v="177"/>
    <n v="177"/>
    <s v="PEN"/>
    <b v="0"/>
    <s v="Sin pagar"/>
    <s v="Enviado"/>
    <m/>
    <m/>
    <x v="0"/>
    <m/>
    <m/>
    <m/>
    <m/>
    <m/>
    <m/>
    <x v="0"/>
    <x v="0"/>
    <m/>
    <m/>
    <x v="2"/>
  </r>
  <r>
    <x v="53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x v="0"/>
    <m/>
    <m/>
    <x v="2"/>
  </r>
  <r>
    <x v="54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500"/>
    <n v="90"/>
    <n v="590"/>
    <n v="590"/>
    <n v="590"/>
    <s v="PEN"/>
    <b v="0"/>
    <s v="Sin pagar"/>
    <s v="Enviado"/>
    <m/>
    <m/>
    <x v="0"/>
    <m/>
    <m/>
    <m/>
    <m/>
    <m/>
    <m/>
    <x v="0"/>
    <x v="0"/>
    <m/>
    <m/>
    <x v="3"/>
  </r>
  <r>
    <x v="55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1000"/>
    <n v="180"/>
    <n v="1180"/>
    <n v="1180"/>
    <n v="1180"/>
    <s v="PEN"/>
    <b v="0"/>
    <s v="Sin pagar"/>
    <s v="Enviado"/>
    <m/>
    <m/>
    <x v="0"/>
    <m/>
    <m/>
    <m/>
    <m/>
    <m/>
    <m/>
    <x v="0"/>
    <x v="0"/>
    <m/>
    <m/>
    <x v="3"/>
  </r>
  <r>
    <x v="56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1800"/>
    <n v="324"/>
    <n v="2124"/>
    <n v="2124"/>
    <n v="2124"/>
    <s v="PEN"/>
    <b v="0"/>
    <s v="Sin pagar"/>
    <s v="Enviado"/>
    <m/>
    <m/>
    <x v="0"/>
    <m/>
    <m/>
    <m/>
    <m/>
    <m/>
    <m/>
    <x v="0"/>
    <x v="0"/>
    <m/>
    <m/>
    <x v="3"/>
  </r>
  <r>
    <x v="57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638.30999999999995"/>
    <n v="114.9"/>
    <n v="753.21"/>
    <n v="753.21"/>
    <n v="753.21"/>
    <s v="PEN"/>
    <b v="0"/>
    <s v="Sin pagar"/>
    <s v="Enviado"/>
    <m/>
    <m/>
    <x v="0"/>
    <m/>
    <m/>
    <m/>
    <m/>
    <m/>
    <m/>
    <x v="0"/>
    <x v="0"/>
    <m/>
    <m/>
    <x v="3"/>
  </r>
  <r>
    <x v="58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652.20000000000005"/>
    <n v="117.4"/>
    <n v="769.6"/>
    <n v="769.6"/>
    <n v="769.6"/>
    <s v="PEN"/>
    <b v="0"/>
    <s v="Sin pagar"/>
    <s v="Enviado"/>
    <m/>
    <m/>
    <x v="0"/>
    <m/>
    <m/>
    <m/>
    <m/>
    <m/>
    <m/>
    <x v="0"/>
    <x v="0"/>
    <m/>
    <m/>
    <x v="3"/>
  </r>
  <r>
    <x v="59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75"/>
    <n v="13.5"/>
    <n v="88.5"/>
    <n v="88.5"/>
    <n v="88.5"/>
    <s v="PEN"/>
    <b v="0"/>
    <s v="Sin pagar"/>
    <s v="Enviado"/>
    <m/>
    <m/>
    <x v="0"/>
    <m/>
    <m/>
    <m/>
    <m/>
    <m/>
    <m/>
    <x v="0"/>
    <x v="0"/>
    <m/>
    <m/>
    <x v="3"/>
  </r>
  <r>
    <x v="60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423.73"/>
    <n v="76.27"/>
    <n v="500"/>
    <n v="500"/>
    <n v="500"/>
    <s v="PEN"/>
    <b v="0"/>
    <s v="Sin pagar"/>
    <s v="Enviado"/>
    <m/>
    <m/>
    <x v="0"/>
    <m/>
    <m/>
    <m/>
    <m/>
    <m/>
    <m/>
    <x v="0"/>
    <x v="0"/>
    <m/>
    <m/>
    <x v="3"/>
  </r>
  <r>
    <x v="61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1695.17"/>
    <n v="305.13"/>
    <n v="2000.3"/>
    <n v="2000.3"/>
    <n v="2000.3"/>
    <s v="PEN"/>
    <b v="0"/>
    <s v="Sin pagar"/>
    <s v="Enviado"/>
    <m/>
    <m/>
    <x v="0"/>
    <m/>
    <m/>
    <m/>
    <m/>
    <m/>
    <m/>
    <x v="0"/>
    <x v="0"/>
    <m/>
    <m/>
    <x v="3"/>
  </r>
  <r>
    <x v="62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1163.56"/>
    <n v="209.44"/>
    <n v="1373"/>
    <n v="1373"/>
    <n v="1373"/>
    <s v="PEN"/>
    <b v="0"/>
    <s v="Sin pagar"/>
    <s v="Enviado"/>
    <m/>
    <m/>
    <x v="0"/>
    <m/>
    <m/>
    <m/>
    <m/>
    <m/>
    <m/>
    <x v="0"/>
    <x v="0"/>
    <m/>
    <m/>
    <x v="3"/>
  </r>
  <r>
    <x v="63"/>
    <n v="3147"/>
    <s v="Flor Pileña, Alegres de Bambarmarca y Victor Manuel en Cajabamba"/>
    <s v="(01) Factura"/>
    <x v="12"/>
    <x v="2"/>
    <d v="2025-10-13T00:00:00"/>
    <d v="2025-10-13T00:00:00"/>
    <m/>
    <m/>
    <s v="SAMUEL CHUQUISTA"/>
    <s v="Ventas"/>
    <m/>
    <s v="COLABORATIVA S.A.C."/>
    <n v="375.53"/>
    <n v="67.599999999999994"/>
    <n v="443.13"/>
    <n v="443.13"/>
    <n v="443.13"/>
    <s v="PEN"/>
    <b v="0"/>
    <s v="Sin pagar"/>
    <s v="Enviado"/>
    <m/>
    <m/>
    <x v="0"/>
    <m/>
    <m/>
    <m/>
    <m/>
    <m/>
    <m/>
    <x v="0"/>
    <x v="0"/>
    <m/>
    <m/>
    <x v="3"/>
  </r>
  <r>
    <x v="64"/>
    <n v="3147"/>
    <s v="Flor Pileña, Alegres de Bambarmarca y Victor Manuel en Cajabamba"/>
    <s v="(01) Factura"/>
    <x v="12"/>
    <x v="2"/>
    <d v="2025-10-13T00:00:00"/>
    <d v="2025-10-13T00:00:00"/>
    <m/>
    <m/>
    <s v="SAMUEL CHUQUISTA"/>
    <s v="Ventas"/>
    <m/>
    <s v="COLABORATIVA S.A.C."/>
    <n v="268.52999999999997"/>
    <n v="48.34"/>
    <n v="316.87"/>
    <n v="316.87"/>
    <n v="316.87"/>
    <s v="PEN"/>
    <b v="0"/>
    <s v="Sin pagar"/>
    <s v="Enviado"/>
    <m/>
    <m/>
    <x v="0"/>
    <m/>
    <m/>
    <m/>
    <m/>
    <m/>
    <m/>
    <x v="0"/>
    <x v="0"/>
    <m/>
    <m/>
    <x v="3"/>
  </r>
  <r>
    <x v="65"/>
    <n v="3190"/>
    <s v="Feliz Aniversario Barranca con La Bella Luz"/>
    <s v="(01) Factura"/>
    <x v="6"/>
    <x v="2"/>
    <d v="2025-10-13T00:00:00"/>
    <d v="2025-10-13T00:00:00"/>
    <m/>
    <m/>
    <s v="SAMUEL CHUQUISTA"/>
    <s v="Ventas"/>
    <m/>
    <s v="COLABORATIVA S.A.C."/>
    <n v="708.9"/>
    <n v="127.6"/>
    <n v="836.5"/>
    <n v="836.5"/>
    <n v="836.5"/>
    <s v="PEN"/>
    <b v="0"/>
    <s v="Sin pagar"/>
    <s v="Enviado"/>
    <m/>
    <m/>
    <x v="0"/>
    <m/>
    <m/>
    <m/>
    <m/>
    <m/>
    <m/>
    <x v="0"/>
    <x v="0"/>
    <m/>
    <m/>
    <x v="3"/>
  </r>
  <r>
    <x v="66"/>
    <n v="3190"/>
    <s v="Feliz Aniversario Barranca con La Bella Luz"/>
    <s v="(01) Factura"/>
    <x v="6"/>
    <x v="2"/>
    <d v="2025-10-13T00:00:00"/>
    <d v="2025-10-13T00:00:00"/>
    <m/>
    <m/>
    <s v="SAMUEL CHUQUISTA"/>
    <s v="Ventas"/>
    <m/>
    <s v="COLABORATIVA S.A.C."/>
    <n v="488.81"/>
    <n v="87.99"/>
    <n v="576.79999999999995"/>
    <n v="576.79999999999995"/>
    <n v="576.79999999999995"/>
    <s v="PEN"/>
    <b v="0"/>
    <s v="Sin pagar"/>
    <s v="Enviado"/>
    <m/>
    <m/>
    <x v="0"/>
    <m/>
    <m/>
    <m/>
    <m/>
    <m/>
    <m/>
    <x v="0"/>
    <x v="0"/>
    <m/>
    <m/>
    <x v="3"/>
  </r>
  <r>
    <x v="67"/>
    <n v="3149"/>
    <s v="18° Aniversario de Illari del Cusco con Chinito del Ande, Osito Pardo, Los Puntos del Amor y más en Huaracondo de SJL"/>
    <s v="(03) Boleta"/>
    <x v="13"/>
    <x v="3"/>
    <d v="2025-10-11T00:00:00"/>
    <d v="2025-10-11T00:00:00"/>
    <m/>
    <m/>
    <s v="SAMUEL CHUQUISTA"/>
    <s v="Ventas"/>
    <m/>
    <s v="COLABORATIVA S.A.C."/>
    <n v="79.75"/>
    <n v="14.36"/>
    <n v="94.11"/>
    <n v="94.11"/>
    <n v="94.11"/>
    <s v="PEN"/>
    <b v="0"/>
    <s v="Sin pagar"/>
    <s v="Enviado"/>
    <m/>
    <m/>
    <x v="0"/>
    <m/>
    <m/>
    <m/>
    <m/>
    <m/>
    <m/>
    <x v="0"/>
    <x v="0"/>
    <m/>
    <m/>
    <x v="4"/>
  </r>
  <r>
    <x v="68"/>
    <n v="3149"/>
    <s v="18° Aniversario de Illari del Cusco con Chinito del Ande, Osito Pardo, Los Puntos del Amor y más en Huaracondo de SJL"/>
    <s v="(03) Boleta"/>
    <x v="13"/>
    <x v="4"/>
    <d v="2025-10-10T00:00:00"/>
    <d v="2025-10-10T00:00:00"/>
    <m/>
    <m/>
    <s v="SAMUEL CHUQUISTA"/>
    <s v="Ventas"/>
    <m/>
    <s v="COLABORATIVA S.A.C."/>
    <n v="73.47"/>
    <n v="13.22"/>
    <n v="86.69"/>
    <n v="86.69"/>
    <n v="86.69"/>
    <s v="PEN"/>
    <b v="0"/>
    <s v="Sin pagar"/>
    <s v="Enviado"/>
    <m/>
    <m/>
    <x v="0"/>
    <m/>
    <m/>
    <m/>
    <m/>
    <m/>
    <m/>
    <x v="0"/>
    <x v="0"/>
    <m/>
    <m/>
    <x v="5"/>
  </r>
  <r>
    <x v="69"/>
    <n v="3157"/>
    <s v="Corazón Serrano en Huacho"/>
    <s v="(01) Factura"/>
    <x v="14"/>
    <x v="4"/>
    <d v="2025-10-10T00:00:00"/>
    <d v="2025-10-10T00:00:00"/>
    <m/>
    <m/>
    <s v="SAMUEL CHUQUISTA"/>
    <s v="Ventas"/>
    <m/>
    <s v="COLABORATIVA S.A.C."/>
    <n v="482.54"/>
    <n v="86.86"/>
    <n v="569.4"/>
    <n v="569.4"/>
    <n v="569.4"/>
    <s v="PEN"/>
    <b v="0"/>
    <s v="Sin pagar"/>
    <s v="Enviado"/>
    <m/>
    <m/>
    <x v="0"/>
    <m/>
    <m/>
    <m/>
    <m/>
    <m/>
    <m/>
    <x v="0"/>
    <x v="0"/>
    <m/>
    <m/>
    <x v="5"/>
  </r>
  <r>
    <x v="70"/>
    <n v="3157"/>
    <s v="Corazón Serrano en Huacho"/>
    <s v="(01) Factura"/>
    <x v="14"/>
    <x v="5"/>
    <d v="2025-10-09T00:00:00"/>
    <d v="2025-10-09T00:00:00"/>
    <m/>
    <m/>
    <s v="SAMUEL CHUQUISTA"/>
    <s v="Ventas"/>
    <m/>
    <s v="COLABORATIVA S.A.C."/>
    <n v="317.5"/>
    <n v="57.15"/>
    <n v="374.65"/>
    <n v="374.65"/>
    <n v="374.65"/>
    <s v="PEN"/>
    <b v="0"/>
    <s v="Sin pagar"/>
    <s v="Enviado"/>
    <m/>
    <m/>
    <x v="0"/>
    <m/>
    <m/>
    <m/>
    <m/>
    <m/>
    <m/>
    <x v="0"/>
    <x v="0"/>
    <m/>
    <m/>
    <x v="6"/>
  </r>
  <r>
    <x v="71"/>
    <n v="3185"/>
    <s v="Atlético Torino vs Bagua FC - Copa Perú 2025"/>
    <s v="(03) Boleta"/>
    <x v="15"/>
    <x v="6"/>
    <d v="2025-10-07T00:00:00"/>
    <d v="2025-10-07T00:00:00"/>
    <m/>
    <m/>
    <s v="SAMUEL CHUQUISTA"/>
    <s v="Ventas"/>
    <m/>
    <s v="COLABORATIVA S.A.C."/>
    <n v="4123.66"/>
    <n v="742.26"/>
    <n v="4865.92"/>
    <n v="4865.92"/>
    <n v="4865.92"/>
    <s v="PEN"/>
    <b v="0"/>
    <s v="Sin pagar"/>
    <s v="Enviado"/>
    <m/>
    <m/>
    <x v="0"/>
    <m/>
    <m/>
    <m/>
    <m/>
    <m/>
    <m/>
    <x v="0"/>
    <x v="0"/>
    <m/>
    <m/>
    <x v="7"/>
  </r>
  <r>
    <x v="72"/>
    <n v="3065"/>
    <s v="Corazón Serrano en la Isla del Paraíso del Callao"/>
    <s v="(01) Factura"/>
    <x v="11"/>
    <x v="6"/>
    <d v="2025-10-07T00:00:00"/>
    <d v="2025-10-07T00:00:00"/>
    <m/>
    <m/>
    <s v="SAMUEL CHUQUISTA"/>
    <s v="Ventas"/>
    <m/>
    <s v="COLABORATIVA S.A.C."/>
    <n v="5603.9"/>
    <n v="1008.7"/>
    <n v="6612.6"/>
    <n v="6612.6"/>
    <n v="6612.6"/>
    <s v="PEN"/>
    <b v="0"/>
    <s v="Sin pagar"/>
    <s v="Enviado"/>
    <m/>
    <m/>
    <x v="0"/>
    <m/>
    <m/>
    <m/>
    <m/>
    <m/>
    <m/>
    <x v="0"/>
    <x v="0"/>
    <m/>
    <m/>
    <x v="7"/>
  </r>
  <r>
    <x v="73"/>
    <n v="0"/>
    <m/>
    <s v="(01) Factura"/>
    <x v="16"/>
    <x v="7"/>
    <d v="2025-02-10T00:00:00"/>
    <d v="2025-02-10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66 error: Error en envio de documeto '&lt;/p&gt;"/>
    <x v="0"/>
    <m/>
    <m/>
    <m/>
    <m/>
    <m/>
    <m/>
    <x v="0"/>
    <x v="0"/>
    <m/>
    <m/>
    <x v="8"/>
  </r>
  <r>
    <x v="74"/>
    <n v="0"/>
    <m/>
    <s v="(01) Factura"/>
    <x v="14"/>
    <x v="7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78 error: Error en envio de documeto '&lt;/p&gt;"/>
    <x v="0"/>
    <m/>
    <m/>
    <m/>
    <m/>
    <m/>
    <m/>
    <x v="0"/>
    <x v="0"/>
    <m/>
    <m/>
    <x v="8"/>
  </r>
  <r>
    <x v="75"/>
    <n v="0"/>
    <m/>
    <s v="(01) Factura"/>
    <x v="17"/>
    <x v="7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96 error: Error en envio de documeto '&lt;/p&gt;"/>
    <x v="0"/>
    <m/>
    <m/>
    <m/>
    <m/>
    <m/>
    <m/>
    <x v="0"/>
    <x v="0"/>
    <m/>
    <m/>
    <x v="8"/>
  </r>
  <r>
    <x v="76"/>
    <n v="0"/>
    <m/>
    <s v="(01) Factura"/>
    <x v="18"/>
    <x v="8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11 error: Error en envio de documeto '&lt;/p&gt;"/>
    <x v="0"/>
    <m/>
    <m/>
    <m/>
    <m/>
    <m/>
    <m/>
    <x v="0"/>
    <x v="0"/>
    <m/>
    <m/>
    <x v="9"/>
  </r>
  <r>
    <x v="77"/>
    <n v="0"/>
    <m/>
    <s v="(01) Factura"/>
    <x v="18"/>
    <x v="8"/>
    <d v="2025-02-07T00:00:00"/>
    <d v="2025-02-07T00:00:00"/>
    <m/>
    <m/>
    <s v="SAMUEL CHUQUISTA"/>
    <s v="Ventas"/>
    <m/>
    <s v="COLABORATIVA S.A.C."/>
    <n v="30.68"/>
    <n v="5.52"/>
    <n v="36.200000000000003"/>
    <n v="36.200000000000003"/>
    <n v="36.2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22 error: Error en envio de documeto '&lt;/p&gt;"/>
    <x v="0"/>
    <m/>
    <m/>
    <m/>
    <m/>
    <m/>
    <m/>
    <x v="0"/>
    <x v="0"/>
    <m/>
    <m/>
    <x v="9"/>
  </r>
  <r>
    <x v="78"/>
    <n v="0"/>
    <m/>
    <s v="(01) Factura"/>
    <x v="18"/>
    <x v="8"/>
    <d v="2025-02-07T00:00:00"/>
    <d v="2025-02-07T00:00:00"/>
    <m/>
    <m/>
    <s v="SAMUEL CHUQUISTA"/>
    <s v="Ventas"/>
    <m/>
    <s v="COLABORATIVA S.A.C."/>
    <n v="20.190000000000001"/>
    <n v="3.64"/>
    <n v="23.83"/>
    <n v="23.83"/>
    <n v="23.8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41 error: Error en envio de documeto '&lt;/p&gt;"/>
    <x v="0"/>
    <m/>
    <m/>
    <m/>
    <m/>
    <m/>
    <m/>
    <x v="0"/>
    <x v="0"/>
    <m/>
    <m/>
    <x v="9"/>
  </r>
  <r>
    <x v="79"/>
    <n v="0"/>
    <m/>
    <s v="(03) Boleta"/>
    <x v="19"/>
    <x v="8"/>
    <d v="2025-02-07T00:00:00"/>
    <d v="2025-02-07T00:00:00"/>
    <m/>
    <m/>
    <s v="SAMUEL CHUQUISTA"/>
    <s v="Ventas"/>
    <m/>
    <s v="COLABORATIVA S.A.C."/>
    <n v="50.85"/>
    <n v="9.15"/>
    <n v="60"/>
    <n v="60"/>
    <n v="6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62 error: Error en envio de documeto '&lt;/p&gt;"/>
    <x v="0"/>
    <m/>
    <m/>
    <m/>
    <m/>
    <m/>
    <m/>
    <x v="0"/>
    <x v="0"/>
    <m/>
    <m/>
    <x v="9"/>
  </r>
  <r>
    <x v="80"/>
    <n v="0"/>
    <m/>
    <s v="(03) Boleta"/>
    <x v="19"/>
    <x v="8"/>
    <d v="2025-02-07T00:00:00"/>
    <d v="2025-02-07T00:00:00"/>
    <m/>
    <m/>
    <s v="SAMUEL CHUQUISTA"/>
    <s v="Ventas"/>
    <m/>
    <s v="COLABORATIVA S.A.C."/>
    <n v="60"/>
    <n v="10.8"/>
    <n v="70.8"/>
    <n v="70.8"/>
    <n v="70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89 error: Error en envio de documeto '&lt;/p&gt;"/>
    <x v="0"/>
    <m/>
    <m/>
    <m/>
    <m/>
    <m/>
    <m/>
    <x v="0"/>
    <x v="0"/>
    <m/>
    <m/>
    <x v="9"/>
  </r>
  <r>
    <x v="81"/>
    <n v="0"/>
    <m/>
    <s v="(01) Factura"/>
    <x v="20"/>
    <x v="9"/>
    <d v="2025-02-05T00:00:00"/>
    <d v="2025-02-05T00:00:00"/>
    <m/>
    <m/>
    <s v="SAMUEL CHUQUISTA"/>
    <s v="Ventas"/>
    <m/>
    <s v="COLABORATIVA S.A.C."/>
    <n v="12.75"/>
    <n v="2.29"/>
    <n v="15.04"/>
    <n v="15.04"/>
    <n v="15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440 error: Error en envio de documeto '&lt;/p&gt;"/>
    <x v="0"/>
    <m/>
    <m/>
    <m/>
    <m/>
    <m/>
    <m/>
    <x v="0"/>
    <x v="0"/>
    <m/>
    <m/>
    <x v="10"/>
  </r>
  <r>
    <x v="82"/>
    <n v="0"/>
    <m/>
    <s v="(01) Factura"/>
    <x v="20"/>
    <x v="9"/>
    <d v="2025-02-05T00:00:00"/>
    <d v="2025-02-05T00:00:00"/>
    <m/>
    <m/>
    <s v="SAMUEL CHUQUISTA"/>
    <s v="Ventas"/>
    <m/>
    <s v="COLABORATIVA S.A.C."/>
    <n v="392.2"/>
    <n v="70.599999999999994"/>
    <n v="462.8"/>
    <n v="462.8"/>
    <n v="462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487 error: Error en envio de documeto '&lt;/p&gt;"/>
    <x v="0"/>
    <m/>
    <m/>
    <m/>
    <m/>
    <m/>
    <m/>
    <x v="0"/>
    <x v="0"/>
    <m/>
    <m/>
    <x v="10"/>
  </r>
  <r>
    <x v="83"/>
    <n v="0"/>
    <m/>
    <s v="(01) Factura"/>
    <x v="20"/>
    <x v="9"/>
    <d v="2025-02-05T00:00:00"/>
    <d v="2025-02-05T00:00:00"/>
    <m/>
    <m/>
    <s v="SAMUEL CHUQUISTA"/>
    <s v="Ventas"/>
    <m/>
    <s v="COLABORATIVA S.A.C."/>
    <n v="527.39"/>
    <n v="94.93"/>
    <n v="622.32000000000005"/>
    <n v="622.32000000000005"/>
    <n v="622.32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55 error: Error en envio de documeto '&lt;/p&gt;"/>
    <x v="0"/>
    <m/>
    <m/>
    <m/>
    <m/>
    <m/>
    <m/>
    <x v="0"/>
    <x v="0"/>
    <m/>
    <m/>
    <x v="10"/>
  </r>
  <r>
    <x v="84"/>
    <n v="0"/>
    <m/>
    <s v="(01) Factura"/>
    <x v="21"/>
    <x v="9"/>
    <d v="2025-02-05T00:00:00"/>
    <d v="2025-02-05T00:00:00"/>
    <m/>
    <m/>
    <s v="SAMUEL CHUQUISTA"/>
    <s v="Ventas"/>
    <m/>
    <s v="COLABORATIVA S.A.C."/>
    <n v="190.17"/>
    <n v="34.229999999999997"/>
    <n v="224.4"/>
    <n v="224.4"/>
    <n v="22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61 error: Error en envio de documeto '&lt;/p&gt;"/>
    <x v="0"/>
    <m/>
    <m/>
    <m/>
    <m/>
    <m/>
    <m/>
    <x v="0"/>
    <x v="0"/>
    <m/>
    <m/>
    <x v="10"/>
  </r>
  <r>
    <x v="85"/>
    <n v="0"/>
    <m/>
    <s v="(01) Factura"/>
    <x v="21"/>
    <x v="9"/>
    <d v="2025-02-05T00:00:00"/>
    <d v="2025-02-05T00:00:00"/>
    <m/>
    <m/>
    <s v="SAMUEL CHUQUISTA"/>
    <s v="Ventas"/>
    <m/>
    <s v="COLABORATIVA S.A.C."/>
    <n v="140.34"/>
    <n v="25.26"/>
    <n v="165.6"/>
    <n v="165.6"/>
    <n v="165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84 error: Error en envio de documeto '&lt;/p&gt;"/>
    <x v="0"/>
    <m/>
    <m/>
    <m/>
    <m/>
    <m/>
    <m/>
    <x v="0"/>
    <x v="0"/>
    <m/>
    <m/>
    <x v="10"/>
  </r>
  <r>
    <x v="86"/>
    <n v="0"/>
    <m/>
    <s v="(01) Factura"/>
    <x v="22"/>
    <x v="9"/>
    <d v="2025-02-05T00:00:00"/>
    <d v="2025-02-05T00:00:00"/>
    <m/>
    <m/>
    <s v="SAMUEL CHUQUISTA"/>
    <s v="Ventas"/>
    <m/>
    <s v="COLABORATIVA S.A.C."/>
    <n v="18.64"/>
    <n v="3.36"/>
    <n v="22"/>
    <n v="22"/>
    <n v="2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07 error: Error en envio de documeto '&lt;/p&gt;"/>
    <x v="0"/>
    <m/>
    <m/>
    <m/>
    <m/>
    <m/>
    <m/>
    <x v="0"/>
    <x v="0"/>
    <m/>
    <m/>
    <x v="10"/>
  </r>
  <r>
    <x v="87"/>
    <n v="0"/>
    <m/>
    <s v="(01) Factura"/>
    <x v="22"/>
    <x v="9"/>
    <d v="2025-02-05T00:00:00"/>
    <d v="2025-02-05T00:00:00"/>
    <m/>
    <m/>
    <s v="SAMUEL CHUQUISTA"/>
    <s v="Ventas"/>
    <m/>
    <s v="COLABORATIVA S.A.C."/>
    <n v="12.71"/>
    <n v="2.29"/>
    <n v="15"/>
    <n v="15"/>
    <n v="1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16 error: Error en envio de documeto '&lt;/p&gt;"/>
    <x v="0"/>
    <m/>
    <m/>
    <m/>
    <m/>
    <m/>
    <m/>
    <x v="0"/>
    <x v="0"/>
    <m/>
    <m/>
    <x v="10"/>
  </r>
  <r>
    <x v="88"/>
    <n v="0"/>
    <m/>
    <s v="(01) Factura"/>
    <x v="22"/>
    <x v="9"/>
    <d v="2025-02-05T00:00:00"/>
    <d v="2025-02-05T00:00:00"/>
    <m/>
    <m/>
    <s v="SAMUEL CHUQUISTA"/>
    <s v="Ventas"/>
    <m/>
    <s v="COLABORATIVA S.A.C."/>
    <n v="6.95"/>
    <n v="1.25"/>
    <n v="8.1999999999999993"/>
    <n v="8.1999999999999993"/>
    <n v="8.199999999999999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43 error: Error en envio de documeto '&lt;/p&gt;"/>
    <x v="0"/>
    <m/>
    <m/>
    <m/>
    <m/>
    <m/>
    <m/>
    <x v="0"/>
    <x v="0"/>
    <m/>
    <m/>
    <x v="10"/>
  </r>
  <r>
    <x v="89"/>
    <n v="0"/>
    <m/>
    <s v="(01) Factura"/>
    <x v="22"/>
    <x v="9"/>
    <d v="2025-02-05T00:00:00"/>
    <d v="2025-02-05T00:00:00"/>
    <m/>
    <m/>
    <s v="SAMUEL CHUQUISTA"/>
    <s v="Ventas"/>
    <m/>
    <s v="COLABORATIVA S.A.C."/>
    <n v="4.58"/>
    <n v="0.82"/>
    <n v="5.4"/>
    <n v="5.4"/>
    <n v="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54 error: Error en envio de documeto '&lt;/p&gt;"/>
    <x v="0"/>
    <m/>
    <m/>
    <m/>
    <m/>
    <m/>
    <m/>
    <x v="0"/>
    <x v="0"/>
    <m/>
    <m/>
    <x v="10"/>
  </r>
  <r>
    <x v="90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85 error: Error en envio de documeto '&lt;/p&gt;"/>
    <x v="0"/>
    <m/>
    <m/>
    <m/>
    <m/>
    <m/>
    <m/>
    <x v="0"/>
    <x v="0"/>
    <m/>
    <m/>
    <x v="10"/>
  </r>
  <r>
    <x v="91"/>
    <n v="0"/>
    <m/>
    <s v="(01) Factura"/>
    <x v="23"/>
    <x v="9"/>
    <d v="2025-02-05T00:00:00"/>
    <d v="2025-02-05T00:00:00"/>
    <m/>
    <m/>
    <s v="SAMUEL CHUQUISTA"/>
    <s v="Ventas"/>
    <m/>
    <s v="COLABORATIVA S.A.C."/>
    <n v="200"/>
    <n v="36"/>
    <n v="236"/>
    <n v="236"/>
    <n v="2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99 error: Error en envio de documeto '&lt;/p&gt;"/>
    <x v="0"/>
    <m/>
    <m/>
    <m/>
    <m/>
    <m/>
    <m/>
    <x v="0"/>
    <x v="0"/>
    <m/>
    <m/>
    <x v="10"/>
  </r>
  <r>
    <x v="92"/>
    <n v="0"/>
    <m/>
    <s v="(01) Factura"/>
    <x v="23"/>
    <x v="9"/>
    <d v="2025-02-05T00:00:00"/>
    <d v="2025-02-05T00:00:00"/>
    <m/>
    <m/>
    <s v="SAMUEL CHUQUISTA"/>
    <s v="Ventas"/>
    <m/>
    <s v="COLABORATIVA S.A.C."/>
    <n v="69.42"/>
    <n v="12.5"/>
    <n v="81.92"/>
    <n v="81.92"/>
    <n v="81.9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21 error: Error en envio de documeto '&lt;/p&gt;"/>
    <x v="0"/>
    <m/>
    <m/>
    <m/>
    <m/>
    <m/>
    <m/>
    <x v="0"/>
    <x v="0"/>
    <m/>
    <m/>
    <x v="10"/>
  </r>
  <r>
    <x v="93"/>
    <n v="0"/>
    <m/>
    <s v="(01) Factura"/>
    <x v="23"/>
    <x v="9"/>
    <d v="2025-02-05T00:00:00"/>
    <d v="2025-02-05T00:00:00"/>
    <m/>
    <m/>
    <s v="SAMUEL CHUQUISTA"/>
    <s v="Ventas"/>
    <m/>
    <s v="COLABORATIVA S.A.C."/>
    <n v="42.58"/>
    <n v="7.66"/>
    <n v="50.24"/>
    <n v="50.24"/>
    <n v="50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36 error: Error en envio de documeto '&lt;/p&gt;"/>
    <x v="0"/>
    <m/>
    <m/>
    <m/>
    <m/>
    <m/>
    <m/>
    <x v="0"/>
    <x v="0"/>
    <m/>
    <m/>
    <x v="10"/>
  </r>
  <r>
    <x v="94"/>
    <n v="0"/>
    <m/>
    <s v="(01) Factura"/>
    <x v="24"/>
    <x v="9"/>
    <d v="2025-02-05T00:00:00"/>
    <d v="2025-02-05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54 error: Error en envio de documeto '&lt;/p&gt;"/>
    <x v="0"/>
    <m/>
    <m/>
    <m/>
    <m/>
    <m/>
    <m/>
    <x v="0"/>
    <x v="0"/>
    <m/>
    <m/>
    <x v="10"/>
  </r>
  <r>
    <x v="95"/>
    <n v="0"/>
    <m/>
    <s v="(01) Factura"/>
    <x v="24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70 error: Error en envio de documeto '&lt;/p&gt;"/>
    <x v="0"/>
    <m/>
    <m/>
    <m/>
    <m/>
    <m/>
    <m/>
    <x v="0"/>
    <x v="0"/>
    <m/>
    <m/>
    <x v="10"/>
  </r>
  <r>
    <x v="96"/>
    <n v="0"/>
    <m/>
    <s v="(01) Factura"/>
    <x v="24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99 error: Error en envio de documeto '&lt;/p&gt;"/>
    <x v="0"/>
    <m/>
    <m/>
    <m/>
    <m/>
    <m/>
    <m/>
    <x v="0"/>
    <x v="0"/>
    <m/>
    <m/>
    <x v="10"/>
  </r>
  <r>
    <x v="97"/>
    <n v="0"/>
    <m/>
    <s v="(01) Factura"/>
    <x v="24"/>
    <x v="9"/>
    <d v="2025-02-05T00:00:00"/>
    <d v="2025-02-05T00:00:00"/>
    <m/>
    <m/>
    <s v="SAMUEL CHUQUISTA"/>
    <s v="Ventas"/>
    <m/>
    <s v="COLABORATIVA S.A.C."/>
    <n v="1693.39"/>
    <n v="304.81"/>
    <n v="1998.2"/>
    <n v="1998.2"/>
    <n v="1998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23 error: Error en envio de documeto '&lt;/p&gt;"/>
    <x v="0"/>
    <m/>
    <m/>
    <m/>
    <m/>
    <m/>
    <m/>
    <x v="0"/>
    <x v="0"/>
    <m/>
    <m/>
    <x v="10"/>
  </r>
  <r>
    <x v="98"/>
    <n v="0"/>
    <m/>
    <s v="(01) Factura"/>
    <x v="24"/>
    <x v="9"/>
    <d v="2025-02-05T00:00:00"/>
    <d v="2025-02-05T00:00:00"/>
    <m/>
    <m/>
    <s v="SAMUEL CHUQUISTA"/>
    <s v="Ventas"/>
    <m/>
    <s v="COLABORATIVA S.A.C."/>
    <n v="660"/>
    <n v="118.8"/>
    <n v="778.8"/>
    <n v="778.8"/>
    <n v="778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32 error: Error en envio de documeto '&lt;/p&gt;"/>
    <x v="0"/>
    <m/>
    <m/>
    <m/>
    <m/>
    <m/>
    <m/>
    <x v="0"/>
    <x v="0"/>
    <m/>
    <m/>
    <x v="10"/>
  </r>
  <r>
    <x v="99"/>
    <n v="0"/>
    <m/>
    <s v="(01) Factura"/>
    <x v="25"/>
    <x v="9"/>
    <d v="2025-02-05T00:00:00"/>
    <d v="2025-02-05T00:00:00"/>
    <m/>
    <m/>
    <s v="SAMUEL CHUQUISTA"/>
    <s v="Ventas"/>
    <m/>
    <s v="COLABORATIVA S.A.C."/>
    <n v="308"/>
    <n v="55.44"/>
    <n v="363.44"/>
    <n v="363.44"/>
    <n v="363.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47 error: Error en envio de documeto '&lt;/p&gt;"/>
    <x v="0"/>
    <m/>
    <m/>
    <m/>
    <m/>
    <m/>
    <m/>
    <x v="0"/>
    <x v="0"/>
    <m/>
    <m/>
    <x v="10"/>
  </r>
  <r>
    <x v="100"/>
    <n v="0"/>
    <m/>
    <s v="(01) Factura"/>
    <x v="25"/>
    <x v="9"/>
    <d v="2025-02-05T00:00:00"/>
    <d v="2025-02-05T00:00:00"/>
    <m/>
    <m/>
    <s v="SAMUEL CHUQUISTA"/>
    <s v="Ventas"/>
    <m/>
    <s v="COLABORATIVA S.A.C."/>
    <n v="298.87"/>
    <n v="53.8"/>
    <n v="352.67"/>
    <n v="352.67"/>
    <n v="352.6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73 error: Error en envio de documeto '&lt;/p&gt;"/>
    <x v="0"/>
    <m/>
    <m/>
    <m/>
    <m/>
    <m/>
    <m/>
    <x v="0"/>
    <x v="0"/>
    <m/>
    <m/>
    <x v="10"/>
  </r>
  <r>
    <x v="101"/>
    <n v="0"/>
    <m/>
    <s v="(01) Factura"/>
    <x v="25"/>
    <x v="9"/>
    <d v="2025-02-05T00:00:00"/>
    <d v="2025-02-05T00:00:00"/>
    <m/>
    <m/>
    <s v="SAMUEL CHUQUISTA"/>
    <s v="Ventas"/>
    <m/>
    <s v="COLABORATIVA S.A.C."/>
    <n v="183.02"/>
    <n v="32.94"/>
    <n v="215.96"/>
    <n v="215.96"/>
    <n v="215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07 error: Error en envio de documeto '&lt;/p&gt;"/>
    <x v="0"/>
    <m/>
    <m/>
    <m/>
    <m/>
    <m/>
    <m/>
    <x v="0"/>
    <x v="0"/>
    <m/>
    <m/>
    <x v="10"/>
  </r>
  <r>
    <x v="102"/>
    <n v="0"/>
    <m/>
    <s v="(01) Factura"/>
    <x v="26"/>
    <x v="9"/>
    <d v="2025-02-05T00:00:00"/>
    <d v="2025-02-05T00:00:00"/>
    <m/>
    <m/>
    <s v="SAMUEL CHUQUISTA"/>
    <s v="Ventas"/>
    <m/>
    <s v="COLABORATIVA S.A.C."/>
    <n v="54.07"/>
    <n v="9.73"/>
    <n v="63.8"/>
    <n v="63.8"/>
    <n v="63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22 error: Error en envio de documeto '&lt;/p&gt;"/>
    <x v="0"/>
    <m/>
    <m/>
    <m/>
    <m/>
    <m/>
    <m/>
    <x v="0"/>
    <x v="0"/>
    <m/>
    <m/>
    <x v="10"/>
  </r>
  <r>
    <x v="103"/>
    <n v="0"/>
    <m/>
    <s v="(01) Factura"/>
    <x v="26"/>
    <x v="9"/>
    <d v="2025-02-05T00:00:00"/>
    <d v="2025-02-05T00:00:00"/>
    <m/>
    <m/>
    <s v="SAMUEL CHUQUISTA"/>
    <s v="Ventas"/>
    <m/>
    <s v="COLABORATIVA S.A.C."/>
    <n v="29.49"/>
    <n v="5.31"/>
    <n v="34.799999999999997"/>
    <n v="34.799999999999997"/>
    <n v="34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32 error: Error en envio de documeto '&lt;/p&gt;"/>
    <x v="0"/>
    <m/>
    <m/>
    <m/>
    <m/>
    <m/>
    <m/>
    <x v="0"/>
    <x v="0"/>
    <m/>
    <m/>
    <x v="10"/>
  </r>
  <r>
    <x v="104"/>
    <n v="0"/>
    <m/>
    <s v="(01) Factura"/>
    <x v="27"/>
    <x v="9"/>
    <d v="2025-02-05T00:00:00"/>
    <d v="2025-02-05T00:00:00"/>
    <m/>
    <m/>
    <s v="SAMUEL CHUQUISTA"/>
    <s v="Ventas"/>
    <m/>
    <s v="COLABORATIVA S.A.C."/>
    <n v="16.440000000000001"/>
    <n v="2.96"/>
    <n v="19.399999999999999"/>
    <n v="19.399999999999999"/>
    <n v="19.39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37 error: Error en envio de documeto '&lt;/p&gt;"/>
    <x v="0"/>
    <m/>
    <m/>
    <m/>
    <m/>
    <m/>
    <m/>
    <x v="0"/>
    <x v="0"/>
    <m/>
    <m/>
    <x v="10"/>
  </r>
  <r>
    <x v="105"/>
    <n v="0"/>
    <m/>
    <s v="(01) Factura"/>
    <x v="27"/>
    <x v="9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57 error: Error en envio de documeto '&lt;/p&gt;"/>
    <x v="0"/>
    <m/>
    <m/>
    <m/>
    <m/>
    <m/>
    <m/>
    <x v="0"/>
    <x v="0"/>
    <m/>
    <m/>
    <x v="10"/>
  </r>
  <r>
    <x v="106"/>
    <n v="0"/>
    <m/>
    <s v="(01) Factura"/>
    <x v="28"/>
    <x v="9"/>
    <d v="2025-02-05T00:00:00"/>
    <d v="2025-02-05T00:00:00"/>
    <m/>
    <m/>
    <s v="SAMUEL CHUQUISTA"/>
    <s v="Ventas"/>
    <m/>
    <s v="COLABORATIVA S.A.C."/>
    <n v="30.34"/>
    <n v="5.46"/>
    <n v="35.799999999999997"/>
    <n v="35.799999999999997"/>
    <n v="35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72 error: Error en envio de documeto '&lt;/p&gt;"/>
    <x v="0"/>
    <m/>
    <m/>
    <m/>
    <m/>
    <m/>
    <m/>
    <x v="0"/>
    <x v="0"/>
    <m/>
    <m/>
    <x v="10"/>
  </r>
  <r>
    <x v="107"/>
    <n v="0"/>
    <m/>
    <s v="(01) Factura"/>
    <x v="28"/>
    <x v="9"/>
    <d v="2025-02-05T00:00:00"/>
    <d v="2025-02-05T00:00:00"/>
    <m/>
    <m/>
    <s v="SAMUEL CHUQUISTA"/>
    <s v="Ventas"/>
    <m/>
    <s v="COLABORATIVA S.A.C."/>
    <n v="17.29"/>
    <n v="3.11"/>
    <n v="20.399999999999999"/>
    <n v="20.399999999999999"/>
    <n v="20.39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81 error: Error en envio de documeto '&lt;/p&gt;"/>
    <x v="0"/>
    <m/>
    <m/>
    <m/>
    <m/>
    <m/>
    <m/>
    <x v="0"/>
    <x v="0"/>
    <m/>
    <m/>
    <x v="10"/>
  </r>
  <r>
    <x v="108"/>
    <n v="0"/>
    <m/>
    <s v="(01) Factura"/>
    <x v="29"/>
    <x v="9"/>
    <d v="2025-02-05T00:00:00"/>
    <d v="2025-02-05T00:00:00"/>
    <m/>
    <m/>
    <s v="SAMUEL CHUQUISTA"/>
    <s v="Ventas"/>
    <m/>
    <s v="COLABORATIVA S.A.C."/>
    <n v="11.47"/>
    <n v="2.0699999999999998"/>
    <n v="13.54"/>
    <n v="13.54"/>
    <n v="13.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95 error: Error en envio de documeto '&lt;/p&gt;"/>
    <x v="0"/>
    <m/>
    <m/>
    <m/>
    <m/>
    <m/>
    <m/>
    <x v="0"/>
    <x v="0"/>
    <m/>
    <m/>
    <x v="10"/>
  </r>
  <r>
    <x v="109"/>
    <n v="0"/>
    <m/>
    <s v="(01) Factura"/>
    <x v="29"/>
    <x v="9"/>
    <d v="2025-02-05T00:00:00"/>
    <d v="2025-02-05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05 error: Error en envio de documeto '&lt;/p&gt;"/>
    <x v="0"/>
    <m/>
    <m/>
    <m/>
    <m/>
    <m/>
    <m/>
    <x v="0"/>
    <x v="0"/>
    <m/>
    <m/>
    <x v="10"/>
  </r>
  <r>
    <x v="110"/>
    <n v="0"/>
    <m/>
    <s v="(01) Factura"/>
    <x v="30"/>
    <x v="9"/>
    <d v="2025-02-05T00:00:00"/>
    <d v="2025-02-05T00:00:00"/>
    <m/>
    <m/>
    <s v="SAMUEL CHUQUISTA"/>
    <s v="Ventas"/>
    <m/>
    <s v="COLABORATIVA S.A.C."/>
    <n v="1553.9"/>
    <n v="279.7"/>
    <n v="1833.6"/>
    <n v="1833.6"/>
    <n v="183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15 error: Error en envio de documeto '&lt;/p&gt;"/>
    <x v="0"/>
    <m/>
    <m/>
    <m/>
    <m/>
    <m/>
    <m/>
    <x v="0"/>
    <x v="0"/>
    <m/>
    <m/>
    <x v="10"/>
  </r>
  <r>
    <x v="111"/>
    <n v="0"/>
    <m/>
    <s v="(01) Factura"/>
    <x v="30"/>
    <x v="9"/>
    <d v="2025-02-05T00:00:00"/>
    <d v="2025-02-05T00:00:00"/>
    <m/>
    <m/>
    <s v="SAMUEL CHUQUISTA"/>
    <s v="Ventas"/>
    <m/>
    <s v="COLABORATIVA S.A.C."/>
    <n v="1180.25"/>
    <n v="212.45"/>
    <n v="1392.7"/>
    <n v="1392.7"/>
    <n v="1392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26 error: Error en envio de documeto '&lt;/p&gt;"/>
    <x v="0"/>
    <m/>
    <m/>
    <m/>
    <m/>
    <m/>
    <m/>
    <x v="0"/>
    <x v="0"/>
    <m/>
    <m/>
    <x v="10"/>
  </r>
  <r>
    <x v="112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45 error: Error en envio de documeto '&lt;/p&gt;"/>
    <x v="0"/>
    <m/>
    <m/>
    <m/>
    <m/>
    <m/>
    <m/>
    <x v="0"/>
    <x v="0"/>
    <m/>
    <m/>
    <x v="10"/>
  </r>
  <r>
    <x v="113"/>
    <n v="0"/>
    <m/>
    <s v="(01) Factura"/>
    <x v="23"/>
    <x v="9"/>
    <d v="2025-02-05T00:00:00"/>
    <d v="2025-02-05T00:00:00"/>
    <m/>
    <m/>
    <s v="SAMUEL CHUQUISTA"/>
    <s v="Ventas"/>
    <m/>
    <s v="COLABORATIVA S.A.C."/>
    <n v="2327.5300000000002"/>
    <n v="418.95"/>
    <n v="2746.48"/>
    <n v="2746.48"/>
    <n v="2746.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67 error: Error en envio de documeto '&lt;/p&gt;"/>
    <x v="0"/>
    <m/>
    <m/>
    <m/>
    <m/>
    <m/>
    <m/>
    <x v="0"/>
    <x v="0"/>
    <m/>
    <m/>
    <x v="10"/>
  </r>
  <r>
    <x v="114"/>
    <n v="0"/>
    <m/>
    <s v="(01) Factura"/>
    <x v="23"/>
    <x v="9"/>
    <d v="2025-02-05T00:00:00"/>
    <d v="2025-02-05T00:00:00"/>
    <m/>
    <m/>
    <s v="SAMUEL CHUQUISTA"/>
    <s v="Ventas"/>
    <m/>
    <s v="COLABORATIVA S.A.C."/>
    <n v="1440.93"/>
    <n v="259.37"/>
    <n v="1700.3"/>
    <n v="1700.3"/>
    <n v="170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80 error: Error en envio de documeto '&lt;/p&gt;"/>
    <x v="0"/>
    <m/>
    <m/>
    <m/>
    <m/>
    <m/>
    <m/>
    <x v="0"/>
    <x v="0"/>
    <m/>
    <m/>
    <x v="10"/>
  </r>
  <r>
    <x v="115"/>
    <n v="0"/>
    <m/>
    <s v="(01) Factura"/>
    <x v="23"/>
    <x v="9"/>
    <d v="2025-02-05T00:00:00"/>
    <d v="2025-02-05T00:00:00"/>
    <m/>
    <m/>
    <s v="SAMUEL CHUQUISTA"/>
    <s v="Ventas"/>
    <m/>
    <s v="COLABORATIVA S.A.C."/>
    <n v="650"/>
    <n v="117"/>
    <n v="767"/>
    <n v="767"/>
    <n v="76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94 error: Error en envio de documeto '&lt;/p&gt;"/>
    <x v="0"/>
    <m/>
    <m/>
    <m/>
    <m/>
    <m/>
    <m/>
    <x v="0"/>
    <x v="0"/>
    <m/>
    <m/>
    <x v="10"/>
  </r>
  <r>
    <x v="116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09 error: Error en envio de documeto '&lt;/p&gt;"/>
    <x v="0"/>
    <m/>
    <m/>
    <m/>
    <m/>
    <m/>
    <m/>
    <x v="0"/>
    <x v="0"/>
    <m/>
    <m/>
    <x v="10"/>
  </r>
  <r>
    <x v="117"/>
    <n v="0"/>
    <m/>
    <s v="(01) Factura"/>
    <x v="23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31 error: Error en envio de documeto '&lt;/p&gt;"/>
    <x v="0"/>
    <m/>
    <m/>
    <m/>
    <m/>
    <m/>
    <m/>
    <x v="0"/>
    <x v="0"/>
    <m/>
    <m/>
    <x v="10"/>
  </r>
  <r>
    <x v="118"/>
    <n v="0"/>
    <m/>
    <s v="(01) Factura"/>
    <x v="23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45 error: Error en envio de documeto '&lt;/p&gt;"/>
    <x v="0"/>
    <m/>
    <m/>
    <m/>
    <m/>
    <m/>
    <m/>
    <x v="0"/>
    <x v="0"/>
    <m/>
    <m/>
    <x v="10"/>
  </r>
  <r>
    <x v="119"/>
    <n v="0"/>
    <m/>
    <s v="(01) Factura"/>
    <x v="23"/>
    <x v="9"/>
    <d v="2025-02-05T00:00:00"/>
    <d v="2025-02-05T00:00:00"/>
    <m/>
    <m/>
    <s v="SAMUEL CHUQUISTA"/>
    <s v="Ventas"/>
    <m/>
    <s v="COLABORATIVA S.A.C."/>
    <n v="2530.92"/>
    <n v="455.56"/>
    <n v="2986.48"/>
    <n v="2986.48"/>
    <n v="2986.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66 error: Error en envio de documeto '&lt;/p&gt;"/>
    <x v="0"/>
    <m/>
    <m/>
    <m/>
    <m/>
    <m/>
    <m/>
    <x v="0"/>
    <x v="0"/>
    <m/>
    <m/>
    <x v="10"/>
  </r>
  <r>
    <x v="120"/>
    <n v="0"/>
    <m/>
    <s v="(01) Factura"/>
    <x v="23"/>
    <x v="9"/>
    <d v="2025-02-05T00:00:00"/>
    <d v="2025-02-05T00:00:00"/>
    <m/>
    <m/>
    <s v="SAMUEL CHUQUISTA"/>
    <s v="Ventas"/>
    <m/>
    <s v="COLABORATIVA S.A.C."/>
    <n v="1544.46"/>
    <n v="278"/>
    <n v="1822.46"/>
    <n v="1822.46"/>
    <n v="1822.4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93 error: Error en envio de documeto '&lt;/p&gt;"/>
    <x v="0"/>
    <m/>
    <m/>
    <m/>
    <m/>
    <m/>
    <m/>
    <x v="0"/>
    <x v="0"/>
    <m/>
    <m/>
    <x v="10"/>
  </r>
  <r>
    <x v="121"/>
    <n v="0"/>
    <m/>
    <s v="(01) Factura"/>
    <x v="31"/>
    <x v="9"/>
    <d v="2025-02-05T00:00:00"/>
    <d v="2025-02-05T00:00:00"/>
    <m/>
    <m/>
    <s v="SAMUEL CHUQUISTA"/>
    <s v="Ventas"/>
    <m/>
    <s v="COLABORATIVA S.A.C."/>
    <n v="25.85"/>
    <n v="4.6500000000000004"/>
    <n v="30.5"/>
    <n v="30.5"/>
    <n v="30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18 error: Error en envio de documeto '&lt;/p&gt;"/>
    <x v="0"/>
    <m/>
    <m/>
    <m/>
    <m/>
    <m/>
    <m/>
    <x v="0"/>
    <x v="0"/>
    <m/>
    <m/>
    <x v="10"/>
  </r>
  <r>
    <x v="122"/>
    <n v="0"/>
    <m/>
    <s v="(01) Factura"/>
    <x v="31"/>
    <x v="9"/>
    <d v="2025-02-05T00:00:00"/>
    <d v="2025-02-05T00:00:00"/>
    <m/>
    <m/>
    <s v="SAMUEL CHUQUISTA"/>
    <s v="Ventas"/>
    <m/>
    <s v="COLABORATIVA S.A.C."/>
    <n v="20.34"/>
    <n v="3.66"/>
    <n v="24"/>
    <n v="24"/>
    <n v="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33 error: Error en envio de documeto '&lt;/p&gt;"/>
    <x v="0"/>
    <m/>
    <m/>
    <m/>
    <m/>
    <m/>
    <m/>
    <x v="0"/>
    <x v="0"/>
    <m/>
    <m/>
    <x v="10"/>
  </r>
  <r>
    <x v="123"/>
    <n v="0"/>
    <m/>
    <s v="(01) Factura"/>
    <x v="32"/>
    <x v="9"/>
    <d v="2025-02-05T00:00:00"/>
    <d v="2025-02-05T00:00:00"/>
    <m/>
    <m/>
    <s v="SAMUEL CHUQUISTA"/>
    <s v="Ventas"/>
    <m/>
    <s v="COLABORATIVA S.A.C."/>
    <n v="24.75"/>
    <n v="4.45"/>
    <n v="29.2"/>
    <n v="29.2"/>
    <n v="2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49 error: Error en envio de documeto '&lt;/p&gt;"/>
    <x v="0"/>
    <m/>
    <m/>
    <m/>
    <m/>
    <m/>
    <m/>
    <x v="0"/>
    <x v="0"/>
    <m/>
    <m/>
    <x v="10"/>
  </r>
  <r>
    <x v="124"/>
    <n v="0"/>
    <m/>
    <s v="(01) Factura"/>
    <x v="32"/>
    <x v="9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67 error: Error en envio de documeto '&lt;/p&gt;"/>
    <x v="0"/>
    <m/>
    <m/>
    <m/>
    <m/>
    <m/>
    <m/>
    <x v="0"/>
    <x v="0"/>
    <m/>
    <m/>
    <x v="10"/>
  </r>
  <r>
    <x v="125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78 error: Error en envio de documeto '&lt;/p&gt;"/>
    <x v="0"/>
    <m/>
    <m/>
    <m/>
    <m/>
    <m/>
    <m/>
    <x v="0"/>
    <x v="0"/>
    <m/>
    <m/>
    <x v="10"/>
  </r>
  <r>
    <x v="126"/>
    <n v="0"/>
    <m/>
    <s v="(01) Factura"/>
    <x v="23"/>
    <x v="9"/>
    <d v="2025-02-05T00:00:00"/>
    <d v="2025-02-05T00:00:00"/>
    <m/>
    <m/>
    <s v="SAMUEL CHUQUISTA"/>
    <s v="Ventas"/>
    <m/>
    <s v="COLABORATIVA S.A.C."/>
    <n v="1264.92"/>
    <n v="227.68"/>
    <n v="1492.6"/>
    <n v="1492.6"/>
    <n v="1492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09 error: Error en envio de documeto '&lt;/p&gt;"/>
    <x v="0"/>
    <m/>
    <m/>
    <m/>
    <m/>
    <m/>
    <m/>
    <x v="0"/>
    <x v="0"/>
    <m/>
    <m/>
    <x v="10"/>
  </r>
  <r>
    <x v="127"/>
    <n v="0"/>
    <m/>
    <s v="(01) Factura"/>
    <x v="23"/>
    <x v="9"/>
    <d v="2025-02-05T00:00:00"/>
    <d v="2025-02-05T00:00:00"/>
    <m/>
    <m/>
    <s v="SAMUEL CHUQUISTA"/>
    <s v="Ventas"/>
    <m/>
    <s v="COLABORATIVA S.A.C."/>
    <n v="896.27"/>
    <n v="161.33000000000001"/>
    <n v="1057.5999999999999"/>
    <n v="1057.5999999999999"/>
    <n v="1057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36 error: Error en envio de documeto '&lt;/p&gt;"/>
    <x v="0"/>
    <m/>
    <m/>
    <m/>
    <m/>
    <m/>
    <m/>
    <x v="0"/>
    <x v="0"/>
    <m/>
    <m/>
    <x v="10"/>
  </r>
  <r>
    <x v="128"/>
    <n v="0"/>
    <m/>
    <s v="(01) Factura"/>
    <x v="33"/>
    <x v="9"/>
    <d v="2025-02-05T00:00:00"/>
    <d v="2025-02-05T00:00:00"/>
    <m/>
    <m/>
    <s v="SAMUEL CHUQUISTA"/>
    <s v="Ventas"/>
    <m/>
    <s v="COLABORATIVA S.A.C."/>
    <n v="4.95"/>
    <n v="0.89"/>
    <n v="5.84"/>
    <n v="5.84"/>
    <n v="5.8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44 error: Error en envio de documeto '&lt;/p&gt;"/>
    <x v="0"/>
    <m/>
    <m/>
    <m/>
    <m/>
    <m/>
    <m/>
    <x v="0"/>
    <x v="0"/>
    <m/>
    <m/>
    <x v="10"/>
  </r>
  <r>
    <x v="129"/>
    <n v="0"/>
    <m/>
    <s v="(01) Factura"/>
    <x v="33"/>
    <x v="9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55 error: Error en envio de documeto '&lt;/p&gt;"/>
    <x v="0"/>
    <m/>
    <m/>
    <m/>
    <m/>
    <m/>
    <m/>
    <x v="0"/>
    <x v="0"/>
    <m/>
    <m/>
    <x v="10"/>
  </r>
  <r>
    <x v="130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83 error: Error en envio de documeto '&lt;/p&gt;"/>
    <x v="0"/>
    <m/>
    <m/>
    <m/>
    <m/>
    <m/>
    <m/>
    <x v="0"/>
    <x v="0"/>
    <m/>
    <m/>
    <x v="10"/>
  </r>
  <r>
    <x v="131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03 error: Error en envio de documeto '&lt;/p&gt;"/>
    <x v="0"/>
    <m/>
    <m/>
    <m/>
    <m/>
    <m/>
    <m/>
    <x v="0"/>
    <x v="0"/>
    <m/>
    <m/>
    <x v="10"/>
  </r>
  <r>
    <x v="132"/>
    <n v="0"/>
    <m/>
    <s v="(01) Factura"/>
    <x v="23"/>
    <x v="9"/>
    <d v="2025-02-05T00:00:00"/>
    <d v="2025-02-05T00:00:00"/>
    <m/>
    <m/>
    <s v="SAMUEL CHUQUISTA"/>
    <s v="Ventas"/>
    <m/>
    <s v="COLABORATIVA S.A.C."/>
    <n v="1854.82"/>
    <n v="333.87"/>
    <n v="2188.69"/>
    <n v="2188.69"/>
    <n v="218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34 error: Error en envio de documeto '&lt;/p&gt;"/>
    <x v="0"/>
    <m/>
    <m/>
    <m/>
    <m/>
    <m/>
    <m/>
    <x v="0"/>
    <x v="0"/>
    <m/>
    <m/>
    <x v="10"/>
  </r>
  <r>
    <x v="133"/>
    <n v="0"/>
    <m/>
    <s v="(01) Factura"/>
    <x v="23"/>
    <x v="9"/>
    <d v="2025-02-05T00:00:00"/>
    <d v="2025-02-05T00:00:00"/>
    <m/>
    <m/>
    <s v="SAMUEL CHUQUISTA"/>
    <s v="Ventas"/>
    <m/>
    <s v="COLABORATIVA S.A.C."/>
    <n v="1170.3900000000001"/>
    <n v="210.67"/>
    <n v="1381.06"/>
    <n v="1381.06"/>
    <n v="1381.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46 error: Error en envio de documeto '&lt;/p&gt;"/>
    <x v="0"/>
    <m/>
    <m/>
    <m/>
    <m/>
    <m/>
    <m/>
    <x v="0"/>
    <x v="0"/>
    <m/>
    <m/>
    <x v="10"/>
  </r>
  <r>
    <x v="134"/>
    <n v="0"/>
    <m/>
    <s v="(01) Factura"/>
    <x v="34"/>
    <x v="9"/>
    <d v="2025-02-05T00:00:00"/>
    <d v="2025-02-05T00:00:00"/>
    <m/>
    <m/>
    <s v="SAMUEL CHUQUISTA"/>
    <s v="Ventas"/>
    <m/>
    <s v="COLABORATIVA S.A.C."/>
    <n v="138.18"/>
    <n v="24.87"/>
    <n v="163.05000000000001"/>
    <n v="163.05000000000001"/>
    <n v="163.05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75 error: Error en envio de documeto '&lt;/p&gt;"/>
    <x v="0"/>
    <m/>
    <m/>
    <m/>
    <m/>
    <m/>
    <m/>
    <x v="0"/>
    <x v="0"/>
    <m/>
    <m/>
    <x v="10"/>
  </r>
  <r>
    <x v="135"/>
    <n v="0"/>
    <m/>
    <s v="(01) Factura"/>
    <x v="34"/>
    <x v="9"/>
    <d v="2025-02-05T00:00:00"/>
    <d v="2025-02-05T00:00:00"/>
    <m/>
    <m/>
    <s v="SAMUEL CHUQUISTA"/>
    <s v="Ventas"/>
    <m/>
    <s v="COLABORATIVA S.A.C."/>
    <n v="132.97"/>
    <n v="23.93"/>
    <n v="156.9"/>
    <n v="156.9"/>
    <n v="156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82 error: Error en envio de documeto '&lt;/p&gt;"/>
    <x v="0"/>
    <m/>
    <m/>
    <m/>
    <m/>
    <m/>
    <m/>
    <x v="0"/>
    <x v="0"/>
    <m/>
    <m/>
    <x v="10"/>
  </r>
  <r>
    <x v="136"/>
    <n v="0"/>
    <m/>
    <s v="(03) Boleta"/>
    <x v="35"/>
    <x v="9"/>
    <d v="2025-02-05T00:00:00"/>
    <d v="2025-02-05T00:00:00"/>
    <m/>
    <m/>
    <s v="SAMUEL CHUQUISTA"/>
    <s v="Ventas"/>
    <m/>
    <s v="COLABORATIVA S.A.C."/>
    <n v="980"/>
    <n v="176.4"/>
    <n v="1156.4000000000001"/>
    <n v="1156.4000000000001"/>
    <n v="1156.4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09 error: Error en envio de documeto '&lt;/p&gt;"/>
    <x v="0"/>
    <m/>
    <m/>
    <m/>
    <m/>
    <m/>
    <m/>
    <x v="0"/>
    <x v="0"/>
    <m/>
    <m/>
    <x v="10"/>
  </r>
  <r>
    <x v="137"/>
    <n v="0"/>
    <m/>
    <s v="(03) Boleta"/>
    <x v="35"/>
    <x v="9"/>
    <d v="2025-02-05T00:00:00"/>
    <d v="2025-02-05T00:00:00"/>
    <m/>
    <m/>
    <s v="SAMUEL CHUQUISTA"/>
    <s v="Ventas"/>
    <m/>
    <s v="COLABORATIVA S.A.C."/>
    <n v="437.8"/>
    <n v="78.8"/>
    <n v="516.6"/>
    <n v="516.6"/>
    <n v="516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16 error: Error en envio de documeto '&lt;/p&gt;"/>
    <x v="0"/>
    <m/>
    <m/>
    <m/>
    <m/>
    <m/>
    <m/>
    <x v="0"/>
    <x v="0"/>
    <m/>
    <m/>
    <x v="10"/>
  </r>
  <r>
    <x v="138"/>
    <n v="0"/>
    <m/>
    <s v="(03) Boleta"/>
    <x v="35"/>
    <x v="9"/>
    <d v="2025-02-05T00:00:00"/>
    <d v="2025-02-05T00:00:00"/>
    <m/>
    <m/>
    <s v="SAMUEL CHUQUISTA"/>
    <s v="Ventas"/>
    <m/>
    <s v="COLABORATIVA S.A.C."/>
    <n v="391.08"/>
    <n v="70.39"/>
    <n v="461.47"/>
    <n v="461.47"/>
    <n v="461.4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24 error: Error en envio de documeto '&lt;/p&gt;"/>
    <x v="0"/>
    <m/>
    <m/>
    <m/>
    <m/>
    <m/>
    <m/>
    <x v="0"/>
    <x v="0"/>
    <m/>
    <m/>
    <x v="10"/>
  </r>
  <r>
    <x v="139"/>
    <n v="0"/>
    <m/>
    <s v="(03) Boleta"/>
    <x v="36"/>
    <x v="9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35 error: Error en envio de documeto '&lt;/p&gt;"/>
    <x v="0"/>
    <m/>
    <m/>
    <m/>
    <m/>
    <m/>
    <m/>
    <x v="0"/>
    <x v="0"/>
    <m/>
    <m/>
    <x v="10"/>
  </r>
  <r>
    <x v="140"/>
    <n v="0"/>
    <m/>
    <s v="(03) Boleta"/>
    <x v="36"/>
    <x v="9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44 error: Error en envio de documeto '&lt;/p&gt;"/>
    <x v="0"/>
    <m/>
    <m/>
    <m/>
    <m/>
    <m/>
    <m/>
    <x v="0"/>
    <x v="0"/>
    <m/>
    <m/>
    <x v="10"/>
  </r>
  <r>
    <x v="141"/>
    <n v="0"/>
    <m/>
    <s v="(03) Boleta"/>
    <x v="36"/>
    <x v="9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51 error: Error en envio de documeto '&lt;/p&gt;"/>
    <x v="0"/>
    <m/>
    <m/>
    <m/>
    <m/>
    <m/>
    <m/>
    <x v="0"/>
    <x v="0"/>
    <m/>
    <m/>
    <x v="10"/>
  </r>
  <r>
    <x v="142"/>
    <n v="0"/>
    <m/>
    <s v="(03) Boleta"/>
    <x v="37"/>
    <x v="9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72 error: Error en envio de documeto '&lt;/p&gt;"/>
    <x v="0"/>
    <m/>
    <m/>
    <m/>
    <m/>
    <m/>
    <m/>
    <x v="0"/>
    <x v="0"/>
    <m/>
    <m/>
    <x v="10"/>
  </r>
  <r>
    <x v="143"/>
    <n v="0"/>
    <m/>
    <s v="(03) Boleta"/>
    <x v="37"/>
    <x v="9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82 error: Error en envio de documeto '&lt;/p&gt;"/>
    <x v="0"/>
    <m/>
    <m/>
    <m/>
    <m/>
    <m/>
    <m/>
    <x v="0"/>
    <x v="0"/>
    <m/>
    <m/>
    <x v="10"/>
  </r>
  <r>
    <x v="144"/>
    <n v="0"/>
    <m/>
    <s v="(03) Boleta"/>
    <x v="37"/>
    <x v="9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19 error: Error en envio de documeto '&lt;/p&gt;"/>
    <x v="0"/>
    <m/>
    <m/>
    <m/>
    <m/>
    <m/>
    <m/>
    <x v="0"/>
    <x v="0"/>
    <m/>
    <m/>
    <x v="10"/>
  </r>
  <r>
    <x v="145"/>
    <n v="0"/>
    <m/>
    <s v="(03) Boleta"/>
    <x v="38"/>
    <x v="9"/>
    <d v="2025-02-05T00:00:00"/>
    <d v="2025-02-05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42 error: Error en envio de documeto '&lt;/p&gt;"/>
    <x v="0"/>
    <m/>
    <m/>
    <m/>
    <m/>
    <m/>
    <m/>
    <x v="0"/>
    <x v="0"/>
    <m/>
    <m/>
    <x v="10"/>
  </r>
  <r>
    <x v="146"/>
    <n v="0"/>
    <m/>
    <s v="(03) Boleta"/>
    <x v="38"/>
    <x v="9"/>
    <d v="2025-02-05T00:00:00"/>
    <d v="2025-02-05T00:00:00"/>
    <m/>
    <m/>
    <s v="SAMUEL CHUQUISTA"/>
    <s v="Ventas"/>
    <m/>
    <s v="COLABORATIVA S.A.C."/>
    <n v="57.2"/>
    <n v="10.3"/>
    <n v="67.5"/>
    <n v="67.5"/>
    <n v="6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55 error: Error en envio de documeto '&lt;/p&gt;"/>
    <x v="0"/>
    <m/>
    <m/>
    <m/>
    <m/>
    <m/>
    <m/>
    <x v="0"/>
    <x v="0"/>
    <m/>
    <m/>
    <x v="10"/>
  </r>
  <r>
    <x v="147"/>
    <n v="0"/>
    <m/>
    <s v="(03) Boleta"/>
    <x v="38"/>
    <x v="9"/>
    <d v="2025-02-05T00:00:00"/>
    <d v="2025-02-05T00:00:00"/>
    <m/>
    <m/>
    <s v="SAMUEL CHUQUISTA"/>
    <s v="Ventas"/>
    <m/>
    <s v="COLABORATIVA S.A.C."/>
    <n v="33.47"/>
    <n v="6.03"/>
    <n v="39.5"/>
    <n v="39.5"/>
    <n v="39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67 error: Error en envio de documeto '&lt;/p&gt;"/>
    <x v="0"/>
    <m/>
    <m/>
    <m/>
    <m/>
    <m/>
    <m/>
    <x v="0"/>
    <x v="0"/>
    <m/>
    <m/>
    <x v="10"/>
  </r>
  <r>
    <x v="148"/>
    <n v="0"/>
    <m/>
    <s v="(03) Boleta"/>
    <x v="39"/>
    <x v="9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80 error: Error en envio de documeto '&lt;/p&gt;"/>
    <x v="0"/>
    <m/>
    <m/>
    <m/>
    <m/>
    <m/>
    <m/>
    <x v="0"/>
    <x v="0"/>
    <m/>
    <m/>
    <x v="10"/>
  </r>
  <r>
    <x v="149"/>
    <n v="0"/>
    <m/>
    <s v="(03) Boleta"/>
    <x v="39"/>
    <x v="9"/>
    <d v="2025-02-05T00:00:00"/>
    <d v="2025-02-05T00:00:00"/>
    <m/>
    <m/>
    <s v="SAMUEL CHUQUISTA"/>
    <s v="Ventas"/>
    <m/>
    <s v="COLABORATIVA S.A.C."/>
    <n v="275.32"/>
    <n v="49.56"/>
    <n v="324.88"/>
    <n v="324.88"/>
    <n v="324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13 error: Error en envio de documeto '&lt;/p&gt;"/>
    <x v="0"/>
    <m/>
    <m/>
    <m/>
    <m/>
    <m/>
    <m/>
    <x v="0"/>
    <x v="0"/>
    <m/>
    <m/>
    <x v="10"/>
  </r>
  <r>
    <x v="150"/>
    <n v="0"/>
    <m/>
    <s v="(03) Boleta"/>
    <x v="39"/>
    <x v="9"/>
    <d v="2025-02-05T00:00:00"/>
    <d v="2025-02-05T00:00:00"/>
    <m/>
    <m/>
    <s v="SAMUEL CHUQUISTA"/>
    <s v="Ventas"/>
    <m/>
    <s v="COLABORATIVA S.A.C."/>
    <n v="165.5"/>
    <n v="29.79"/>
    <n v="195.29"/>
    <n v="195.29"/>
    <n v="195.2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20 error: Error en envio de documeto '&lt;/p&gt;"/>
    <x v="0"/>
    <m/>
    <m/>
    <m/>
    <m/>
    <m/>
    <m/>
    <x v="0"/>
    <x v="0"/>
    <m/>
    <m/>
    <x v="10"/>
  </r>
  <r>
    <x v="151"/>
    <n v="0"/>
    <m/>
    <s v="(03) Boleta"/>
    <x v="40"/>
    <x v="9"/>
    <d v="2025-02-05T00:00:00"/>
    <d v="2025-02-05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37 error: Error en envio de documeto '&lt;/p&gt;"/>
    <x v="0"/>
    <m/>
    <m/>
    <m/>
    <m/>
    <m/>
    <m/>
    <x v="0"/>
    <x v="0"/>
    <m/>
    <m/>
    <x v="10"/>
  </r>
  <r>
    <x v="152"/>
    <n v="0"/>
    <m/>
    <s v="(03) Boleta"/>
    <x v="40"/>
    <x v="9"/>
    <d v="2025-02-05T00:00:00"/>
    <d v="2025-02-05T00:00:00"/>
    <m/>
    <m/>
    <s v="SAMUEL CHUQUISTA"/>
    <s v="Ventas"/>
    <m/>
    <s v="COLABORATIVA S.A.C."/>
    <n v="8.93"/>
    <n v="1.61"/>
    <n v="10.54"/>
    <n v="10.54"/>
    <n v="10.54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529184353 error: Error en envio de documeto '&lt;/p&gt;"/>
    <x v="0"/>
    <m/>
    <m/>
    <m/>
    <m/>
    <m/>
    <m/>
    <x v="0"/>
    <x v="0"/>
    <m/>
    <m/>
    <x v="10"/>
  </r>
  <r>
    <x v="153"/>
    <n v="0"/>
    <m/>
    <s v="(03) Boleta"/>
    <x v="40"/>
    <x v="9"/>
    <d v="2025-02-05T00:00:00"/>
    <d v="2025-02-05T00:00:00"/>
    <m/>
    <m/>
    <s v="SAMUEL CHUQUISTA"/>
    <s v="Ventas"/>
    <m/>
    <s v="COLABORATIVA S.A.C."/>
    <n v="7.98"/>
    <n v="1.44"/>
    <n v="9.42"/>
    <n v="9.42"/>
    <n v="9.4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66 error: Error en envio de documeto '&lt;/p&gt;"/>
    <x v="0"/>
    <m/>
    <m/>
    <m/>
    <m/>
    <m/>
    <m/>
    <x v="0"/>
    <x v="0"/>
    <m/>
    <m/>
    <x v="10"/>
  </r>
  <r>
    <x v="154"/>
    <n v="0"/>
    <m/>
    <s v="(03) Boleta"/>
    <x v="41"/>
    <x v="9"/>
    <d v="2025-02-05T00:00:00"/>
    <d v="2025-02-05T00:00:00"/>
    <m/>
    <m/>
    <s v="SAMUEL CHUQUISTA"/>
    <s v="Ventas"/>
    <m/>
    <s v="COLABORATIVA S.A.C."/>
    <n v="3.48"/>
    <n v="0.63"/>
    <n v="4.1100000000000003"/>
    <n v="4.1100000000000003"/>
    <n v="4.11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75 error: Error en envio de documeto '&lt;/p&gt;"/>
    <x v="0"/>
    <m/>
    <m/>
    <m/>
    <m/>
    <m/>
    <m/>
    <x v="0"/>
    <x v="0"/>
    <m/>
    <m/>
    <x v="10"/>
  </r>
  <r>
    <x v="155"/>
    <n v="0"/>
    <m/>
    <s v="(03) Boleta"/>
    <x v="41"/>
    <x v="9"/>
    <d v="2025-02-05T00:00:00"/>
    <d v="2025-02-05T00:00:00"/>
    <m/>
    <m/>
    <s v="SAMUEL CHUQUISTA"/>
    <s v="Ventas"/>
    <m/>
    <s v="COLABORATIVA S.A.C."/>
    <n v="3"/>
    <n v="0.54"/>
    <n v="3.54"/>
    <n v="3.54"/>
    <n v="3.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82 error: Error en envio de documeto '&lt;/p&gt;"/>
    <x v="0"/>
    <m/>
    <m/>
    <m/>
    <m/>
    <m/>
    <m/>
    <x v="0"/>
    <x v="0"/>
    <m/>
    <m/>
    <x v="10"/>
  </r>
  <r>
    <x v="156"/>
    <n v="0"/>
    <m/>
    <s v="(03) Boleta"/>
    <x v="42"/>
    <x v="9"/>
    <d v="2025-02-05T00:00:00"/>
    <d v="2025-02-05T00:00:00"/>
    <m/>
    <m/>
    <s v="SAMUEL CHUQUISTA"/>
    <s v="Ventas"/>
    <m/>
    <s v="COLABORATIVA S.A.C."/>
    <n v="799.58"/>
    <n v="143.91999999999999"/>
    <n v="943.5"/>
    <n v="943.5"/>
    <n v="94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93 error: Error en envio de documeto '&lt;/p&gt;"/>
    <x v="0"/>
    <m/>
    <m/>
    <m/>
    <m/>
    <m/>
    <m/>
    <x v="0"/>
    <x v="0"/>
    <m/>
    <m/>
    <x v="10"/>
  </r>
  <r>
    <x v="157"/>
    <n v="0"/>
    <m/>
    <s v="(03) Boleta"/>
    <x v="42"/>
    <x v="9"/>
    <d v="2025-02-05T00:00:00"/>
    <d v="2025-02-05T00:00:00"/>
    <m/>
    <m/>
    <s v="SAMUEL CHUQUISTA"/>
    <s v="Ventas"/>
    <m/>
    <s v="COLABORATIVA S.A.C."/>
    <n v="614.24"/>
    <n v="110.56"/>
    <n v="724.8"/>
    <n v="724.8"/>
    <n v="724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02 error: Error en envio de documeto '&lt;/p&gt;"/>
    <x v="0"/>
    <m/>
    <m/>
    <m/>
    <m/>
    <m/>
    <m/>
    <x v="0"/>
    <x v="0"/>
    <m/>
    <m/>
    <x v="10"/>
  </r>
  <r>
    <x v="158"/>
    <n v="0"/>
    <m/>
    <s v="(03) Boleta"/>
    <x v="42"/>
    <x v="9"/>
    <d v="2025-02-05T00:00:00"/>
    <d v="2025-02-05T00:00:00"/>
    <m/>
    <m/>
    <s v="SAMUEL CHUQUISTA"/>
    <s v="Ventas"/>
    <m/>
    <s v="COLABORATIVA S.A.C."/>
    <n v="272.2"/>
    <n v="49"/>
    <n v="321.2"/>
    <n v="321.2"/>
    <n v="32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09 error: Error en envio de documeto '&lt;/p&gt;"/>
    <x v="0"/>
    <m/>
    <m/>
    <m/>
    <m/>
    <m/>
    <m/>
    <x v="0"/>
    <x v="0"/>
    <m/>
    <m/>
    <x v="10"/>
  </r>
  <r>
    <x v="159"/>
    <n v="0"/>
    <m/>
    <s v="(03) Boleta"/>
    <x v="42"/>
    <x v="9"/>
    <d v="2025-02-05T00:00:00"/>
    <d v="2025-02-05T00:00:00"/>
    <m/>
    <m/>
    <s v="SAMUEL CHUQUISTA"/>
    <s v="Ventas"/>
    <m/>
    <s v="COLABORATIVA S.A.C."/>
    <n v="222.71"/>
    <n v="40.090000000000003"/>
    <n v="262.8"/>
    <n v="262.8"/>
    <n v="262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22 error: Error en envio de documeto '&lt;/p&gt;"/>
    <x v="0"/>
    <m/>
    <m/>
    <m/>
    <m/>
    <m/>
    <m/>
    <x v="0"/>
    <x v="0"/>
    <m/>
    <m/>
    <x v="10"/>
  </r>
  <r>
    <x v="160"/>
    <n v="0"/>
    <m/>
    <s v="(03) Boleta"/>
    <x v="9"/>
    <x v="9"/>
    <d v="2025-02-05T00:00:00"/>
    <d v="2025-02-05T00:00:00"/>
    <m/>
    <m/>
    <s v="SAMUEL CHUQUISTA"/>
    <s v="Ventas"/>
    <m/>
    <s v="COLABORATIVA S.A.C."/>
    <n v="1885.17"/>
    <n v="339.33"/>
    <n v="2224.5"/>
    <n v="2224.5"/>
    <n v="2224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46 error: Error en envio de documeto '&lt;/p&gt;"/>
    <x v="0"/>
    <m/>
    <m/>
    <m/>
    <m/>
    <m/>
    <m/>
    <x v="0"/>
    <x v="0"/>
    <m/>
    <m/>
    <x v="10"/>
  </r>
  <r>
    <x v="161"/>
    <n v="0"/>
    <m/>
    <s v="(03) Boleta"/>
    <x v="9"/>
    <x v="9"/>
    <d v="2025-02-05T00:00:00"/>
    <d v="2025-02-05T00:00:00"/>
    <m/>
    <m/>
    <s v="SAMUEL CHUQUISTA"/>
    <s v="Ventas"/>
    <m/>
    <s v="COLABORATIVA S.A.C."/>
    <n v="2021.19"/>
    <n v="363.81"/>
    <n v="2385"/>
    <n v="2385"/>
    <n v="23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61 error: Error en envio de documeto '&lt;/p&gt;"/>
    <x v="0"/>
    <m/>
    <m/>
    <m/>
    <m/>
    <m/>
    <m/>
    <x v="0"/>
    <x v="0"/>
    <m/>
    <m/>
    <x v="10"/>
  </r>
  <r>
    <x v="162"/>
    <n v="0"/>
    <m/>
    <s v="(03) Boleta"/>
    <x v="9"/>
    <x v="9"/>
    <d v="2025-02-05T00:00:00"/>
    <d v="2025-02-05T00:00:00"/>
    <m/>
    <m/>
    <s v="SAMUEL CHUQUISTA"/>
    <s v="Ventas"/>
    <m/>
    <s v="COLABORATIVA S.A.C."/>
    <n v="32"/>
    <n v="5.76"/>
    <n v="37.76"/>
    <n v="37.76"/>
    <n v="37.7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66 error: Error en envio de documeto '&lt;/p&gt;"/>
    <x v="0"/>
    <m/>
    <m/>
    <m/>
    <m/>
    <m/>
    <m/>
    <x v="0"/>
    <x v="0"/>
    <m/>
    <m/>
    <x v="10"/>
  </r>
  <r>
    <x v="163"/>
    <n v="0"/>
    <m/>
    <s v="(03) Boleta"/>
    <x v="9"/>
    <x v="9"/>
    <d v="2025-02-05T00:00:00"/>
    <d v="2025-02-05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02 error: Error en envio de documeto '&lt;/p&gt;"/>
    <x v="0"/>
    <m/>
    <m/>
    <m/>
    <m/>
    <m/>
    <m/>
    <x v="0"/>
    <x v="0"/>
    <m/>
    <m/>
    <x v="10"/>
  </r>
  <r>
    <x v="164"/>
    <n v="0"/>
    <m/>
    <s v="(03) Boleta"/>
    <x v="9"/>
    <x v="9"/>
    <d v="2025-02-05T00:00:00"/>
    <d v="2025-02-05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28 error: Error en envio de documeto '&lt;/p&gt;"/>
    <x v="0"/>
    <m/>
    <m/>
    <m/>
    <m/>
    <m/>
    <m/>
    <x v="0"/>
    <x v="0"/>
    <m/>
    <m/>
    <x v="10"/>
  </r>
  <r>
    <x v="165"/>
    <n v="0"/>
    <m/>
    <s v="(03) Boleta"/>
    <x v="9"/>
    <x v="9"/>
    <d v="2025-02-05T00:00:00"/>
    <d v="2025-02-05T00:00:00"/>
    <m/>
    <m/>
    <s v="SAMUEL CHUQUISTA"/>
    <s v="Ventas"/>
    <m/>
    <s v="COLABORATIVA S.A.C."/>
    <n v="930"/>
    <n v="167.4"/>
    <n v="1097.4000000000001"/>
    <n v="1097.4000000000001"/>
    <n v="1097.4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51 error: Error en envio de documeto '&lt;/p&gt;"/>
    <x v="0"/>
    <m/>
    <m/>
    <m/>
    <m/>
    <m/>
    <m/>
    <x v="0"/>
    <x v="0"/>
    <m/>
    <m/>
    <x v="10"/>
  </r>
  <r>
    <x v="166"/>
    <n v="0"/>
    <m/>
    <s v="(01) Factura"/>
    <x v="23"/>
    <x v="10"/>
    <d v="2025-02-04T00:00:00"/>
    <d v="2025-02-04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60 error: Error en envio de documeto '&lt;/p&gt;"/>
    <x v="0"/>
    <m/>
    <m/>
    <m/>
    <m/>
    <m/>
    <m/>
    <x v="0"/>
    <x v="0"/>
    <m/>
    <m/>
    <x v="11"/>
  </r>
  <r>
    <x v="167"/>
    <n v="0"/>
    <m/>
    <s v="(01) Factura"/>
    <x v="16"/>
    <x v="11"/>
    <d v="2025-02-03T00:00:00"/>
    <d v="2025-02-03T00:00:00"/>
    <m/>
    <m/>
    <s v="SAMUEL CHUQUISTA"/>
    <s v="Ventas"/>
    <m/>
    <s v="COLABORATIVA S.A.C."/>
    <n v="830"/>
    <n v="149.4"/>
    <n v="979.4"/>
    <n v="979.4"/>
    <n v="979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81 error: Error en envio de documeto '&lt;/p&gt;"/>
    <x v="0"/>
    <m/>
    <m/>
    <m/>
    <m/>
    <m/>
    <m/>
    <x v="0"/>
    <x v="0"/>
    <m/>
    <m/>
    <x v="12"/>
  </r>
  <r>
    <x v="168"/>
    <n v="0"/>
    <m/>
    <s v="(01) Factura"/>
    <x v="43"/>
    <x v="12"/>
    <d v="2025-01-31T00:00:00"/>
    <d v="2025-01-31T00:00:00"/>
    <m/>
    <m/>
    <s v="SAMUEL CHUQUISTA"/>
    <s v="Ventas"/>
    <m/>
    <s v="COLABORATIVA S.A.C."/>
    <n v="212.8"/>
    <n v="38.299999999999997"/>
    <n v="251.1"/>
    <n v="251.1"/>
    <n v="251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88 error: Error en envio de documeto '&lt;/p&gt;"/>
    <x v="0"/>
    <m/>
    <m/>
    <m/>
    <m/>
    <m/>
    <m/>
    <x v="0"/>
    <x v="0"/>
    <m/>
    <m/>
    <x v="13"/>
  </r>
  <r>
    <x v="169"/>
    <n v="0"/>
    <m/>
    <s v="(01) Factura"/>
    <x v="43"/>
    <x v="12"/>
    <d v="2025-01-31T00:00:00"/>
    <d v="2025-01-31T00:00:00"/>
    <m/>
    <m/>
    <s v="SAMUEL CHUQUISTA"/>
    <s v="Ventas"/>
    <m/>
    <s v="COLABORATIVA S.A.C."/>
    <n v="125.25"/>
    <n v="22.55"/>
    <n v="147.80000000000001"/>
    <n v="147.80000000000001"/>
    <n v="147.80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04 error: Error en envio de documeto '&lt;/p&gt;"/>
    <x v="0"/>
    <m/>
    <m/>
    <m/>
    <m/>
    <m/>
    <m/>
    <x v="0"/>
    <x v="0"/>
    <m/>
    <m/>
    <x v="13"/>
  </r>
  <r>
    <x v="170"/>
    <n v="0"/>
    <m/>
    <s v="(03) Boleta"/>
    <x v="44"/>
    <x v="12"/>
    <d v="2025-01-31T00:00:00"/>
    <d v="2025-01-31T00:00:00"/>
    <m/>
    <m/>
    <s v="SAMUEL CHUQUISTA"/>
    <s v="Ventas"/>
    <m/>
    <s v="COLABORATIVA S.A.C."/>
    <n v="24.56"/>
    <n v="4.42"/>
    <n v="28.98"/>
    <n v="28.98"/>
    <n v="28.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10 error: Error en envio de documeto '&lt;/p&gt;"/>
    <x v="0"/>
    <m/>
    <m/>
    <m/>
    <m/>
    <m/>
    <m/>
    <x v="0"/>
    <x v="0"/>
    <m/>
    <m/>
    <x v="13"/>
  </r>
  <r>
    <x v="171"/>
    <n v="0"/>
    <m/>
    <s v="(03) Boleta"/>
    <x v="44"/>
    <x v="12"/>
    <d v="2025-01-31T00:00:00"/>
    <d v="2025-01-31T00:00:00"/>
    <m/>
    <m/>
    <s v="SAMUEL CHUQUISTA"/>
    <s v="Ventas"/>
    <m/>
    <s v="COLABORATIVA S.A.C."/>
    <n v="26.45"/>
    <n v="4.76"/>
    <n v="31.21"/>
    <n v="31.21"/>
    <n v="31.2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15 error: Error en envio de documeto '&lt;/p&gt;"/>
    <x v="0"/>
    <m/>
    <m/>
    <m/>
    <m/>
    <m/>
    <m/>
    <x v="0"/>
    <x v="0"/>
    <m/>
    <m/>
    <x v="13"/>
  </r>
  <r>
    <x v="172"/>
    <n v="0"/>
    <m/>
    <s v="(03) Boleta"/>
    <x v="45"/>
    <x v="12"/>
    <d v="2025-01-31T00:00:00"/>
    <d v="2025-01-31T00:00:00"/>
    <m/>
    <m/>
    <s v="SAMUEL CHUQUISTA"/>
    <s v="Ventas"/>
    <m/>
    <s v="COLABORATIVA S.A.C."/>
    <n v="117.97"/>
    <n v="21.23"/>
    <n v="139.19999999999999"/>
    <n v="139.19999999999999"/>
    <n v="139.1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35 error: Error en envio de documeto '&lt;/p&gt;"/>
    <x v="0"/>
    <m/>
    <m/>
    <m/>
    <m/>
    <m/>
    <m/>
    <x v="0"/>
    <x v="0"/>
    <m/>
    <m/>
    <x v="13"/>
  </r>
  <r>
    <x v="173"/>
    <n v="0"/>
    <m/>
    <s v="(03) Boleta"/>
    <x v="45"/>
    <x v="12"/>
    <d v="2025-01-31T00:00:00"/>
    <d v="2025-01-31T00:00:00"/>
    <m/>
    <m/>
    <s v="SAMUEL CHUQUISTA"/>
    <s v="Ventas"/>
    <m/>
    <s v="COLABORATIVA S.A.C."/>
    <n v="96.1"/>
    <n v="17.3"/>
    <n v="113.4"/>
    <n v="113.4"/>
    <n v="11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40 error: Error en envio de documeto '&lt;/p&gt;"/>
    <x v="0"/>
    <m/>
    <m/>
    <m/>
    <m/>
    <m/>
    <m/>
    <x v="0"/>
    <x v="0"/>
    <m/>
    <m/>
    <x v="13"/>
  </r>
  <r>
    <x v="174"/>
    <n v="0"/>
    <m/>
    <s v="(03) Boleta"/>
    <x v="42"/>
    <x v="13"/>
    <d v="2025-01-30T00:00:00"/>
    <d v="2025-01-30T00:00:00"/>
    <m/>
    <m/>
    <s v="SAMUEL CHUQUISTA"/>
    <s v="Ventas"/>
    <m/>
    <s v="COLABORATIVA S.A.C."/>
    <n v="374.24"/>
    <n v="67.36"/>
    <n v="441.6"/>
    <n v="441.6"/>
    <n v="441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61 error: Error en envio de documeto '&lt;/p&gt;"/>
    <x v="0"/>
    <m/>
    <m/>
    <m/>
    <m/>
    <m/>
    <m/>
    <x v="0"/>
    <x v="0"/>
    <m/>
    <m/>
    <x v="14"/>
  </r>
  <r>
    <x v="175"/>
    <n v="0"/>
    <m/>
    <s v="(03) Boleta"/>
    <x v="42"/>
    <x v="13"/>
    <d v="2025-01-30T00:00:00"/>
    <d v="2025-01-30T00:00:00"/>
    <m/>
    <m/>
    <s v="SAMUEL CHUQUISTA"/>
    <s v="Ventas"/>
    <m/>
    <s v="COLABORATIVA S.A.C."/>
    <n v="279.66000000000003"/>
    <n v="50.34"/>
    <n v="330"/>
    <n v="330"/>
    <n v="33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72 error: Error en envio de documeto '&lt;/p&gt;"/>
    <x v="0"/>
    <m/>
    <m/>
    <m/>
    <m/>
    <m/>
    <m/>
    <x v="0"/>
    <x v="0"/>
    <m/>
    <m/>
    <x v="14"/>
  </r>
  <r>
    <x v="176"/>
    <n v="0"/>
    <m/>
    <s v="(03) Boleta"/>
    <x v="46"/>
    <x v="13"/>
    <d v="2025-01-30T00:00:00"/>
    <d v="2025-01-30T00:00:00"/>
    <m/>
    <m/>
    <s v="SAMUEL CHUQUISTA"/>
    <s v="Ventas"/>
    <m/>
    <s v="COLABORATIVA S.A.C."/>
    <n v="32.5"/>
    <n v="5.85"/>
    <n v="38.35"/>
    <n v="38.35"/>
    <n v="38.35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598888847 error: Error en envio de documento '&lt;/p&gt;"/>
    <x v="0"/>
    <m/>
    <m/>
    <m/>
    <m/>
    <m/>
    <m/>
    <x v="0"/>
    <x v="0"/>
    <m/>
    <m/>
    <x v="14"/>
  </r>
  <r>
    <x v="177"/>
    <n v="0"/>
    <m/>
    <s v="(03) Boleta"/>
    <x v="46"/>
    <x v="13"/>
    <d v="2025-01-30T00:00:00"/>
    <d v="2025-01-30T00:00:00"/>
    <m/>
    <m/>
    <s v="SAMUEL CHUQUISTA"/>
    <s v="Ventas"/>
    <m/>
    <s v="COLABORATIVA S.A.C."/>
    <n v="4.83"/>
    <n v="0.87"/>
    <n v="5.7"/>
    <n v="5.7"/>
    <n v="5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08 error: Error en envio de documeto '&lt;/p&gt;"/>
    <x v="0"/>
    <m/>
    <m/>
    <m/>
    <m/>
    <m/>
    <m/>
    <x v="0"/>
    <x v="0"/>
    <m/>
    <m/>
    <x v="14"/>
  </r>
  <r>
    <x v="178"/>
    <n v="0"/>
    <m/>
    <s v="(03) Boleta"/>
    <x v="46"/>
    <x v="13"/>
    <d v="2025-01-30T00:00:00"/>
    <d v="2025-01-30T00:00:00"/>
    <m/>
    <m/>
    <s v="SAMUEL CHUQUISTA"/>
    <s v="Ventas"/>
    <m/>
    <s v="COLABORATIVA S.A.C."/>
    <n v="35.549999999999997"/>
    <n v="6.4"/>
    <n v="41.95"/>
    <n v="41.95"/>
    <n v="41.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17 error: Error en envio de documeto '&lt;/p&gt;"/>
    <x v="0"/>
    <m/>
    <m/>
    <m/>
    <m/>
    <m/>
    <m/>
    <x v="0"/>
    <x v="0"/>
    <m/>
    <m/>
    <x v="14"/>
  </r>
  <r>
    <x v="179"/>
    <n v="0"/>
    <m/>
    <s v="(03) Boleta"/>
    <x v="47"/>
    <x v="13"/>
    <d v="2025-01-30T00:00:00"/>
    <d v="2025-01-30T00:00:00"/>
    <m/>
    <m/>
    <s v="SAMUEL CHUQUISTA"/>
    <s v="Ventas"/>
    <m/>
    <s v="COLABORATIVA S.A.C."/>
    <n v="370.08"/>
    <n v="66.62"/>
    <n v="436.7"/>
    <n v="436.7"/>
    <n v="43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25 error: Error en envio de documeto '&lt;/p&gt;"/>
    <x v="0"/>
    <m/>
    <m/>
    <m/>
    <m/>
    <m/>
    <m/>
    <x v="0"/>
    <x v="0"/>
    <m/>
    <m/>
    <x v="14"/>
  </r>
  <r>
    <x v="180"/>
    <n v="0"/>
    <m/>
    <s v="(03) Boleta"/>
    <x v="47"/>
    <x v="13"/>
    <d v="2025-01-30T00:00:00"/>
    <d v="2025-01-30T00:00:00"/>
    <m/>
    <m/>
    <s v="SAMUEL CHUQUISTA"/>
    <s v="Ventas"/>
    <m/>
    <s v="COLABORATIVA S.A.C."/>
    <n v="283.73"/>
    <n v="51.07"/>
    <n v="334.8"/>
    <n v="334.8"/>
    <n v="334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33 error: Error en envio de documeto '&lt;/p&gt;"/>
    <x v="0"/>
    <m/>
    <m/>
    <m/>
    <m/>
    <m/>
    <m/>
    <x v="0"/>
    <x v="0"/>
    <m/>
    <m/>
    <x v="14"/>
  </r>
  <r>
    <x v="181"/>
    <n v="0"/>
    <m/>
    <s v="(01) Factura"/>
    <x v="48"/>
    <x v="14"/>
    <d v="2025-01-29T00:00:00"/>
    <d v="2025-01-29T00:00:00"/>
    <m/>
    <m/>
    <s v="SAMUEL CHUQUISTA"/>
    <s v="Ventas"/>
    <m/>
    <s v="COLABORATIVA S.A.C."/>
    <n v="53.56"/>
    <n v="9.64"/>
    <n v="63.2"/>
    <n v="63.2"/>
    <n v="63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39 error: Error en envio de documeto '&lt;/p&gt;"/>
    <x v="0"/>
    <m/>
    <m/>
    <m/>
    <m/>
    <m/>
    <m/>
    <x v="0"/>
    <x v="0"/>
    <m/>
    <m/>
    <x v="15"/>
  </r>
  <r>
    <x v="182"/>
    <n v="0"/>
    <m/>
    <s v="(01) Factura"/>
    <x v="48"/>
    <x v="14"/>
    <d v="2025-01-29T00:00:00"/>
    <d v="2025-01-29T00:00:00"/>
    <m/>
    <m/>
    <s v="SAMUEL CHUQUISTA"/>
    <s v="Ventas"/>
    <m/>
    <s v="COLABORATIVA S.A.C."/>
    <n v="34.75"/>
    <n v="6.25"/>
    <n v="41"/>
    <n v="41"/>
    <n v="4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51 error: Error en envio de documeto '&lt;/p&gt;"/>
    <x v="0"/>
    <m/>
    <m/>
    <m/>
    <m/>
    <m/>
    <m/>
    <x v="0"/>
    <x v="0"/>
    <m/>
    <m/>
    <x v="15"/>
  </r>
  <r>
    <x v="183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54 error: Error en envio de documeto '&lt;/p&gt;"/>
    <x v="0"/>
    <m/>
    <m/>
    <m/>
    <m/>
    <m/>
    <m/>
    <x v="0"/>
    <x v="0"/>
    <m/>
    <m/>
    <x v="15"/>
  </r>
  <r>
    <x v="184"/>
    <n v="0"/>
    <m/>
    <s v="(01) Factura"/>
    <x v="49"/>
    <x v="14"/>
    <d v="2025-01-29T00:00:00"/>
    <d v="2025-01-29T00:00:00"/>
    <m/>
    <m/>
    <s v="SAMUEL CHUQUISTA"/>
    <s v="Ventas"/>
    <m/>
    <s v="COLABORATIVA S.A.C."/>
    <n v="30"/>
    <n v="5.4"/>
    <n v="35.4"/>
    <n v="35.4"/>
    <n v="3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61 error: Error en envio de documeto '&lt;/p&gt;"/>
    <x v="0"/>
    <m/>
    <m/>
    <m/>
    <m/>
    <m/>
    <m/>
    <x v="0"/>
    <x v="0"/>
    <m/>
    <m/>
    <x v="15"/>
  </r>
  <r>
    <x v="185"/>
    <n v="0"/>
    <m/>
    <s v="(01) Factura"/>
    <x v="49"/>
    <x v="14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77 error: Error en envio de documeto '&lt;/p&gt;"/>
    <x v="0"/>
    <m/>
    <m/>
    <m/>
    <m/>
    <m/>
    <m/>
    <x v="0"/>
    <x v="0"/>
    <m/>
    <m/>
    <x v="15"/>
  </r>
  <r>
    <x v="186"/>
    <n v="0"/>
    <m/>
    <s v="(01) Factura"/>
    <x v="49"/>
    <x v="14"/>
    <d v="2025-01-29T00:00:00"/>
    <d v="2025-01-29T00:00:00"/>
    <m/>
    <m/>
    <s v="SAMUEL CHUQUISTA"/>
    <s v="Ventas"/>
    <m/>
    <s v="COLABORATIVA S.A.C."/>
    <n v="1608.31"/>
    <n v="289.49"/>
    <n v="1897.8"/>
    <n v="1897.8"/>
    <n v="1897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92 error: Error en envio de documeto '&lt;/p&gt;"/>
    <x v="0"/>
    <m/>
    <m/>
    <m/>
    <m/>
    <m/>
    <m/>
    <x v="0"/>
    <x v="0"/>
    <m/>
    <m/>
    <x v="15"/>
  </r>
  <r>
    <x v="187"/>
    <n v="0"/>
    <m/>
    <s v="(01) Factura"/>
    <x v="49"/>
    <x v="14"/>
    <d v="2025-01-29T00:00:00"/>
    <d v="2025-01-29T00:00:00"/>
    <m/>
    <m/>
    <s v="SAMUEL CHUQUISTA"/>
    <s v="Ventas"/>
    <m/>
    <s v="COLABORATIVA S.A.C."/>
    <n v="991.19"/>
    <n v="178.41"/>
    <n v="1169.5999999999999"/>
    <n v="1169.5999999999999"/>
    <n v="1169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11 error: Error en envio de documeto '&lt;/p&gt;"/>
    <x v="0"/>
    <m/>
    <m/>
    <m/>
    <m/>
    <m/>
    <m/>
    <x v="0"/>
    <x v="0"/>
    <m/>
    <m/>
    <x v="15"/>
  </r>
  <r>
    <x v="188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16 error: Error en envio de documeto '&lt;/p&gt;"/>
    <x v="0"/>
    <m/>
    <m/>
    <m/>
    <m/>
    <m/>
    <m/>
    <x v="0"/>
    <x v="0"/>
    <m/>
    <m/>
    <x v="15"/>
  </r>
  <r>
    <x v="189"/>
    <n v="0"/>
    <m/>
    <s v="(01) Factura"/>
    <x v="49"/>
    <x v="14"/>
    <d v="2025-01-29T00:00:00"/>
    <d v="2025-01-29T00:00:00"/>
    <m/>
    <m/>
    <s v="SAMUEL CHUQUISTA"/>
    <s v="Ventas"/>
    <m/>
    <s v="COLABORATIVA S.A.C."/>
    <n v="418.22"/>
    <n v="75.28"/>
    <n v="493.5"/>
    <n v="493.5"/>
    <n v="49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35 error: Error en envio de documeto '&lt;/p&gt;"/>
    <x v="0"/>
    <m/>
    <m/>
    <m/>
    <m/>
    <m/>
    <m/>
    <x v="0"/>
    <x v="0"/>
    <m/>
    <m/>
    <x v="15"/>
  </r>
  <r>
    <x v="190"/>
    <n v="0"/>
    <m/>
    <s v="(01) Factura"/>
    <x v="49"/>
    <x v="14"/>
    <d v="2025-01-29T00:00:00"/>
    <d v="2025-01-29T00:00:00"/>
    <m/>
    <m/>
    <s v="SAMUEL CHUQUISTA"/>
    <s v="Ventas"/>
    <m/>
    <s v="COLABORATIVA S.A.C."/>
    <n v="250.51"/>
    <n v="45.09"/>
    <n v="295.60000000000002"/>
    <n v="295.60000000000002"/>
    <n v="295.6000000000000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39 error: Error en envio de documeto '&lt;/p&gt;"/>
    <x v="0"/>
    <m/>
    <m/>
    <m/>
    <m/>
    <m/>
    <m/>
    <x v="0"/>
    <x v="0"/>
    <m/>
    <m/>
    <x v="15"/>
  </r>
  <r>
    <x v="191"/>
    <n v="0"/>
    <m/>
    <s v="(01) Factura"/>
    <x v="49"/>
    <x v="14"/>
    <d v="2025-01-29T00:00:00"/>
    <d v="2025-01-29T00:00:00"/>
    <m/>
    <m/>
    <s v="SAMUEL CHUQUISTA"/>
    <s v="Ventas"/>
    <m/>
    <s v="COLABORATIVA S.A.C."/>
    <n v="438.73"/>
    <n v="78.97"/>
    <n v="517.70000000000005"/>
    <n v="517.70000000000005"/>
    <n v="517.7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48 error: Error en envio de documeto '&lt;/p&gt;"/>
    <x v="0"/>
    <m/>
    <m/>
    <m/>
    <m/>
    <m/>
    <m/>
    <x v="0"/>
    <x v="0"/>
    <m/>
    <m/>
    <x v="15"/>
  </r>
  <r>
    <x v="192"/>
    <n v="0"/>
    <m/>
    <s v="(01) Factura"/>
    <x v="49"/>
    <x v="14"/>
    <d v="2025-01-29T00:00:00"/>
    <d v="2025-01-29T00:00:00"/>
    <m/>
    <m/>
    <s v="SAMUEL CHUQUISTA"/>
    <s v="Ventas"/>
    <m/>
    <s v="COLABORATIVA S.A.C."/>
    <n v="139.75"/>
    <n v="25.15"/>
    <n v="164.9"/>
    <n v="164.9"/>
    <n v="164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62 error: Error en envio de documeto '&lt;/p&gt;"/>
    <x v="0"/>
    <m/>
    <m/>
    <m/>
    <m/>
    <m/>
    <m/>
    <x v="0"/>
    <x v="0"/>
    <m/>
    <m/>
    <x v="15"/>
  </r>
  <r>
    <x v="193"/>
    <n v="0"/>
    <m/>
    <s v="(01) Factura"/>
    <x v="49"/>
    <x v="14"/>
    <d v="2025-01-29T00:00:00"/>
    <d v="2025-01-29T00:00:00"/>
    <m/>
    <m/>
    <s v="SAMUEL CHUQUISTA"/>
    <s v="Ventas"/>
    <m/>
    <s v="COLABORATIVA S.A.C."/>
    <n v="79.150000000000006"/>
    <n v="14.25"/>
    <n v="93.4"/>
    <n v="93.4"/>
    <n v="9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78 error: Error en envio de documeto '&lt;/p&gt;"/>
    <x v="0"/>
    <m/>
    <m/>
    <m/>
    <m/>
    <m/>
    <m/>
    <x v="0"/>
    <x v="0"/>
    <m/>
    <m/>
    <x v="15"/>
  </r>
  <r>
    <x v="194"/>
    <n v="0"/>
    <m/>
    <s v="(01) Factura"/>
    <x v="49"/>
    <x v="14"/>
    <d v="2025-01-29T00:00:00"/>
    <d v="2025-01-29T00:00:00"/>
    <m/>
    <m/>
    <s v="SAMUEL CHUQUISTA"/>
    <s v="Ventas"/>
    <m/>
    <s v="COLABORATIVA S.A.C."/>
    <n v="447.73"/>
    <n v="80.59"/>
    <n v="528.32000000000005"/>
    <n v="528.32000000000005"/>
    <n v="528.32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97 error: Error en envio de documeto '&lt;/p&gt;"/>
    <x v="0"/>
    <m/>
    <m/>
    <m/>
    <m/>
    <m/>
    <m/>
    <x v="0"/>
    <x v="0"/>
    <m/>
    <m/>
    <x v="15"/>
  </r>
  <r>
    <x v="195"/>
    <n v="0"/>
    <m/>
    <s v="(01) Factura"/>
    <x v="49"/>
    <x v="14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05 error: Error en envio de documeto '&lt;/p&gt;"/>
    <x v="0"/>
    <m/>
    <m/>
    <m/>
    <m/>
    <m/>
    <m/>
    <x v="0"/>
    <x v="0"/>
    <m/>
    <m/>
    <x v="15"/>
  </r>
  <r>
    <x v="196"/>
    <n v="0"/>
    <m/>
    <s v="(01) Factura"/>
    <x v="49"/>
    <x v="14"/>
    <d v="2025-01-29T00:00:00"/>
    <d v="2025-01-29T00:00:00"/>
    <m/>
    <m/>
    <s v="SAMUEL CHUQUISTA"/>
    <s v="Ventas"/>
    <m/>
    <s v="COLABORATIVA S.A.C."/>
    <n v="2377.37"/>
    <n v="427.93"/>
    <n v="2805.3"/>
    <n v="2805.3"/>
    <n v="2805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31 error: Error en envio de documeto '&lt;/p&gt;"/>
    <x v="0"/>
    <m/>
    <m/>
    <m/>
    <m/>
    <m/>
    <m/>
    <x v="0"/>
    <x v="0"/>
    <m/>
    <m/>
    <x v="15"/>
  </r>
  <r>
    <x v="197"/>
    <n v="0"/>
    <m/>
    <s v="(01) Factura"/>
    <x v="49"/>
    <x v="14"/>
    <d v="2025-01-29T00:00:00"/>
    <d v="2025-01-29T00:00:00"/>
    <m/>
    <m/>
    <s v="SAMUEL CHUQUISTA"/>
    <s v="Ventas"/>
    <m/>
    <s v="COLABORATIVA S.A.C."/>
    <n v="1467.71"/>
    <n v="264.19"/>
    <n v="1731.9"/>
    <n v="1731.9"/>
    <n v="173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44 error: Error en envio de documeto '&lt;/p&gt;"/>
    <x v="0"/>
    <m/>
    <m/>
    <m/>
    <m/>
    <m/>
    <m/>
    <x v="0"/>
    <x v="0"/>
    <m/>
    <m/>
    <x v="15"/>
  </r>
  <r>
    <x v="198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51 error: Error en envio de documeto '&lt;/p&gt;"/>
    <x v="0"/>
    <m/>
    <m/>
    <m/>
    <m/>
    <m/>
    <m/>
    <x v="0"/>
    <x v="0"/>
    <m/>
    <m/>
    <x v="15"/>
  </r>
  <r>
    <x v="199"/>
    <n v="0"/>
    <m/>
    <s v="(01) Factura"/>
    <x v="49"/>
    <x v="14"/>
    <d v="2025-01-29T00:00:00"/>
    <d v="2025-01-29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64 error: Error en envio de documeto '&lt;/p&gt;"/>
    <x v="0"/>
    <m/>
    <m/>
    <m/>
    <m/>
    <m/>
    <m/>
    <x v="0"/>
    <x v="0"/>
    <m/>
    <m/>
    <x v="15"/>
  </r>
  <r>
    <x v="200"/>
    <n v="0"/>
    <m/>
    <s v="(01) Factura"/>
    <x v="49"/>
    <x v="14"/>
    <d v="2025-01-29T00:00:00"/>
    <d v="2025-01-29T00:00:00"/>
    <m/>
    <m/>
    <s v="SAMUEL CHUQUISTA"/>
    <s v="Ventas"/>
    <m/>
    <s v="COLABORATIVA S.A.C."/>
    <n v="304.83"/>
    <n v="54.87"/>
    <n v="359.7"/>
    <n v="359.7"/>
    <n v="35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73 error: Error en envio de documeto '&lt;/p&gt;"/>
    <x v="0"/>
    <m/>
    <m/>
    <m/>
    <m/>
    <m/>
    <m/>
    <x v="0"/>
    <x v="0"/>
    <m/>
    <m/>
    <x v="15"/>
  </r>
  <r>
    <x v="201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84 error: Error en envio de documeto '&lt;/p&gt;"/>
    <x v="0"/>
    <m/>
    <m/>
    <m/>
    <m/>
    <m/>
    <m/>
    <x v="0"/>
    <x v="0"/>
    <m/>
    <m/>
    <x v="15"/>
  </r>
  <r>
    <x v="202"/>
    <n v="0"/>
    <m/>
    <s v="(01) Factura"/>
    <x v="49"/>
    <x v="14"/>
    <d v="2025-01-29T00:00:00"/>
    <d v="2025-01-29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98 error: Error en envio de documeto '&lt;/p&gt;"/>
    <x v="0"/>
    <m/>
    <m/>
    <m/>
    <m/>
    <m/>
    <m/>
    <x v="0"/>
    <x v="0"/>
    <m/>
    <m/>
    <x v="15"/>
  </r>
  <r>
    <x v="203"/>
    <n v="0"/>
    <m/>
    <s v="(01) Factura"/>
    <x v="49"/>
    <x v="14"/>
    <d v="2025-01-29T00:00:00"/>
    <d v="2025-01-29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09 error: Error en envio de documeto '&lt;/p&gt;"/>
    <x v="0"/>
    <m/>
    <m/>
    <m/>
    <m/>
    <m/>
    <m/>
    <x v="0"/>
    <x v="0"/>
    <m/>
    <m/>
    <x v="15"/>
  </r>
  <r>
    <x v="204"/>
    <n v="0"/>
    <m/>
    <s v="(01) Factura"/>
    <x v="49"/>
    <x v="14"/>
    <d v="2025-01-29T00:00:00"/>
    <d v="2025-01-29T00:00:00"/>
    <m/>
    <m/>
    <s v="SAMUEL CHUQUISTA"/>
    <s v="Ventas"/>
    <m/>
    <s v="COLABORATIVA S.A.C."/>
    <n v="3637.63"/>
    <n v="654.77"/>
    <n v="4292.3999999999996"/>
    <n v="4292.3999999999996"/>
    <n v="4292.3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24 error: Error en envio de documeto '&lt;/p&gt;"/>
    <x v="0"/>
    <m/>
    <m/>
    <m/>
    <m/>
    <m/>
    <m/>
    <x v="0"/>
    <x v="0"/>
    <m/>
    <m/>
    <x v="15"/>
  </r>
  <r>
    <x v="205"/>
    <n v="0"/>
    <m/>
    <s v="(01) Factura"/>
    <x v="49"/>
    <x v="14"/>
    <d v="2025-01-29T00:00:00"/>
    <d v="2025-01-29T00:00:00"/>
    <m/>
    <m/>
    <s v="SAMUEL CHUQUISTA"/>
    <s v="Ventas"/>
    <m/>
    <s v="COLABORATIVA S.A.C."/>
    <n v="2347.0300000000002"/>
    <n v="422.47"/>
    <n v="2769.5"/>
    <n v="2769.5"/>
    <n v="2769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34 error: Error en envio de documeto '&lt;/p&gt;"/>
    <x v="0"/>
    <m/>
    <m/>
    <m/>
    <m/>
    <m/>
    <m/>
    <x v="0"/>
    <x v="0"/>
    <m/>
    <m/>
    <x v="15"/>
  </r>
  <r>
    <x v="206"/>
    <n v="0"/>
    <m/>
    <s v="(03) Boleta"/>
    <x v="50"/>
    <x v="14"/>
    <d v="2025-01-29T00:00:00"/>
    <d v="2025-01-29T00:00:00"/>
    <m/>
    <m/>
    <s v="SAMUEL CHUQUISTA"/>
    <s v="Ventas"/>
    <m/>
    <s v="COLABORATIVA S.A.C."/>
    <n v="483.73"/>
    <n v="87.07"/>
    <n v="570.79999999999995"/>
    <n v="570.79999999999995"/>
    <n v="57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42 error: Error en envio de documeto '&lt;/p&gt;"/>
    <x v="0"/>
    <m/>
    <m/>
    <m/>
    <m/>
    <m/>
    <m/>
    <x v="0"/>
    <x v="0"/>
    <m/>
    <m/>
    <x v="15"/>
  </r>
  <r>
    <x v="207"/>
    <n v="0"/>
    <m/>
    <s v="(03) Boleta"/>
    <x v="50"/>
    <x v="14"/>
    <d v="2025-01-29T00:00:00"/>
    <d v="2025-01-29T00:00:00"/>
    <m/>
    <m/>
    <s v="SAMUEL CHUQUISTA"/>
    <s v="Ventas"/>
    <m/>
    <s v="COLABORATIVA S.A.C."/>
    <n v="3100"/>
    <n v="558"/>
    <n v="3658"/>
    <n v="3658"/>
    <n v="36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52 error: Error en envio de documeto '&lt;/p&gt;"/>
    <x v="0"/>
    <m/>
    <m/>
    <m/>
    <m/>
    <m/>
    <m/>
    <x v="0"/>
    <x v="0"/>
    <m/>
    <m/>
    <x v="15"/>
  </r>
  <r>
    <x v="208"/>
    <n v="0"/>
    <m/>
    <s v="(03) Boleta"/>
    <x v="50"/>
    <x v="14"/>
    <d v="2025-01-29T00:00:00"/>
    <d v="2025-01-29T00:00:00"/>
    <m/>
    <m/>
    <s v="SAMUEL CHUQUISTA"/>
    <s v="Ventas"/>
    <m/>
    <s v="COLABORATIVA S.A.C."/>
    <n v="5235.68"/>
    <n v="942.42"/>
    <n v="6178.1"/>
    <n v="6178.1"/>
    <n v="6178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56 error: Error en envio de documeto '&lt;/p&gt;"/>
    <x v="0"/>
    <m/>
    <m/>
    <m/>
    <m/>
    <m/>
    <m/>
    <x v="0"/>
    <x v="0"/>
    <m/>
    <m/>
    <x v="15"/>
  </r>
  <r>
    <x v="209"/>
    <n v="0"/>
    <m/>
    <s v="(03) Boleta"/>
    <x v="50"/>
    <x v="14"/>
    <d v="2025-01-29T00:00:00"/>
    <d v="2025-01-29T00:00:00"/>
    <m/>
    <m/>
    <s v="SAMUEL CHUQUISTA"/>
    <s v="Ventas"/>
    <m/>
    <s v="COLABORATIVA S.A.C."/>
    <n v="4611.78"/>
    <n v="830.12"/>
    <n v="5441.9"/>
    <n v="5441.9"/>
    <n v="544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70 error: Error en envio de documeto '&lt;/p&gt;"/>
    <x v="0"/>
    <m/>
    <m/>
    <m/>
    <m/>
    <m/>
    <m/>
    <x v="0"/>
    <x v="0"/>
    <m/>
    <m/>
    <x v="15"/>
  </r>
  <r>
    <x v="210"/>
    <n v="0"/>
    <m/>
    <s v="(01) Factura"/>
    <x v="16"/>
    <x v="15"/>
    <d v="2025-01-28T00:00:00"/>
    <d v="2025-01-28T00:00:00"/>
    <m/>
    <m/>
    <s v="SAMUEL CHUQUISTA"/>
    <s v="Ventas"/>
    <m/>
    <s v="COLABORATIVA S.A.C."/>
    <n v="2080"/>
    <n v="374.4"/>
    <n v="2454.4"/>
    <n v="2454.4"/>
    <n v="245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80 error: Error en envio de documeto '&lt;/p&gt;"/>
    <x v="0"/>
    <m/>
    <m/>
    <m/>
    <m/>
    <m/>
    <m/>
    <x v="0"/>
    <x v="0"/>
    <m/>
    <m/>
    <x v="16"/>
  </r>
  <r>
    <x v="211"/>
    <n v="0"/>
    <m/>
    <s v="(01) Factura"/>
    <x v="23"/>
    <x v="15"/>
    <d v="2025-01-28T00:00:00"/>
    <d v="2025-01-28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86 error: Error en envio de documeto '&lt;/p&gt;"/>
    <x v="0"/>
    <m/>
    <m/>
    <m/>
    <m/>
    <m/>
    <m/>
    <x v="0"/>
    <x v="0"/>
    <m/>
    <m/>
    <x v="16"/>
  </r>
  <r>
    <x v="212"/>
    <n v="0"/>
    <m/>
    <s v="(01) Factura"/>
    <x v="23"/>
    <x v="15"/>
    <d v="2025-01-28T00:00:00"/>
    <d v="2025-01-28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95 error: Error en envio de documeto '&lt;/p&gt;"/>
    <x v="0"/>
    <m/>
    <m/>
    <m/>
    <m/>
    <m/>
    <m/>
    <x v="0"/>
    <x v="0"/>
    <m/>
    <m/>
    <x v="16"/>
  </r>
  <r>
    <x v="213"/>
    <n v="0"/>
    <m/>
    <s v="(01) Factura"/>
    <x v="23"/>
    <x v="15"/>
    <d v="2025-01-28T00:00:00"/>
    <d v="2025-01-28T00:00:00"/>
    <m/>
    <m/>
    <s v="SAMUEL CHUQUISTA"/>
    <s v="Ventas"/>
    <m/>
    <s v="COLABORATIVA S.A.C."/>
    <n v="872.71"/>
    <n v="157.09"/>
    <n v="1029.8"/>
    <n v="1029.8"/>
    <n v="1029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13 error: Error en envio de documeto '&lt;/p&gt;"/>
    <x v="0"/>
    <m/>
    <m/>
    <m/>
    <m/>
    <m/>
    <m/>
    <x v="0"/>
    <x v="0"/>
    <m/>
    <m/>
    <x v="16"/>
  </r>
  <r>
    <x v="214"/>
    <n v="0"/>
    <m/>
    <s v="(01) Factura"/>
    <x v="23"/>
    <x v="15"/>
    <d v="2025-01-28T00:00:00"/>
    <d v="2025-01-28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23 error: Error en envio de documeto '&lt;/p&gt;"/>
    <x v="0"/>
    <m/>
    <m/>
    <m/>
    <m/>
    <m/>
    <m/>
    <x v="0"/>
    <x v="0"/>
    <m/>
    <m/>
    <x v="16"/>
  </r>
  <r>
    <x v="215"/>
    <n v="0"/>
    <m/>
    <s v="(01) Factura"/>
    <x v="24"/>
    <x v="15"/>
    <d v="2025-01-28T00:00:00"/>
    <d v="2025-01-28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34 error: Error en envio de documeto '&lt;/p&gt;"/>
    <x v="0"/>
    <m/>
    <m/>
    <m/>
    <m/>
    <m/>
    <m/>
    <x v="0"/>
    <x v="0"/>
    <m/>
    <m/>
    <x v="16"/>
  </r>
  <r>
    <x v="216"/>
    <n v="0"/>
    <m/>
    <s v="(01) Factura"/>
    <x v="24"/>
    <x v="15"/>
    <d v="2025-01-28T00:00:00"/>
    <d v="2025-01-28T00:00:00"/>
    <m/>
    <m/>
    <s v="SAMUEL CHUQUISTA"/>
    <s v="Ventas"/>
    <m/>
    <s v="COLABORATIVA S.A.C."/>
    <n v="750"/>
    <n v="135"/>
    <n v="885"/>
    <n v="885"/>
    <n v="8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43 error: Error en envio de documeto '&lt;/p&gt;"/>
    <x v="0"/>
    <m/>
    <m/>
    <m/>
    <m/>
    <m/>
    <m/>
    <x v="0"/>
    <x v="0"/>
    <m/>
    <m/>
    <x v="16"/>
  </r>
  <r>
    <x v="217"/>
    <n v="0"/>
    <m/>
    <s v="(01) Factura"/>
    <x v="24"/>
    <x v="15"/>
    <d v="2025-01-28T00:00:00"/>
    <d v="2025-01-28T00:00:00"/>
    <m/>
    <m/>
    <s v="SAMUEL CHUQUISTA"/>
    <s v="Ventas"/>
    <m/>
    <s v="COLABORATIVA S.A.C."/>
    <n v="1575"/>
    <n v="283.5"/>
    <n v="1858.5"/>
    <n v="1858.5"/>
    <n v="1858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49 error: Error en envio de documeto '&lt;/p&gt;"/>
    <x v="0"/>
    <m/>
    <m/>
    <m/>
    <m/>
    <m/>
    <m/>
    <x v="0"/>
    <x v="0"/>
    <m/>
    <m/>
    <x v="16"/>
  </r>
  <r>
    <x v="218"/>
    <n v="0"/>
    <m/>
    <s v="(01) Factura"/>
    <x v="24"/>
    <x v="15"/>
    <d v="2025-01-28T00:00:00"/>
    <d v="2025-01-28T00:00:00"/>
    <m/>
    <m/>
    <s v="SAMUEL CHUQUISTA"/>
    <s v="Ventas"/>
    <m/>
    <s v="COLABORATIVA S.A.C."/>
    <n v="3585.68"/>
    <n v="645.41999999999996"/>
    <n v="4231.1000000000004"/>
    <n v="4231.1000000000004"/>
    <n v="4231.10000000000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53 error: Error en envio de documeto '&lt;/p&gt;"/>
    <x v="0"/>
    <m/>
    <m/>
    <m/>
    <m/>
    <m/>
    <m/>
    <x v="0"/>
    <x v="0"/>
    <m/>
    <m/>
    <x v="16"/>
  </r>
  <r>
    <x v="219"/>
    <n v="0"/>
    <m/>
    <s v="(01) Factura"/>
    <x v="24"/>
    <x v="15"/>
    <d v="2025-01-28T00:00:00"/>
    <d v="2025-01-28T00:00:00"/>
    <m/>
    <m/>
    <s v="SAMUEL CHUQUISTA"/>
    <s v="Ventas"/>
    <m/>
    <s v="COLABORATIVA S.A.C."/>
    <n v="2103.31"/>
    <n v="378.59"/>
    <n v="2481.9"/>
    <n v="2481.9"/>
    <n v="248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59 error: Error en envio de documeto '&lt;/p&gt;"/>
    <x v="0"/>
    <m/>
    <m/>
    <m/>
    <m/>
    <m/>
    <m/>
    <x v="0"/>
    <x v="0"/>
    <m/>
    <m/>
    <x v="16"/>
  </r>
  <r>
    <x v="220"/>
    <n v="0"/>
    <m/>
    <s v="(01) Factura"/>
    <x v="31"/>
    <x v="15"/>
    <d v="2025-01-28T00:00:00"/>
    <d v="2025-01-28T00:00:00"/>
    <m/>
    <m/>
    <s v="SAMUEL CHUQUISTA"/>
    <s v="Ventas"/>
    <m/>
    <s v="COLABORATIVA S.A.C."/>
    <n v="16.809999999999999"/>
    <n v="3.03"/>
    <n v="19.84"/>
    <n v="19.84"/>
    <n v="19.8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97 error: Error en envio de documeto '&lt;/p&gt;"/>
    <x v="0"/>
    <m/>
    <m/>
    <m/>
    <m/>
    <m/>
    <m/>
    <x v="0"/>
    <x v="0"/>
    <m/>
    <m/>
    <x v="16"/>
  </r>
  <r>
    <x v="221"/>
    <n v="0"/>
    <m/>
    <s v="(01) Factura"/>
    <x v="31"/>
    <x v="15"/>
    <d v="2025-01-28T00:00:00"/>
    <d v="2025-01-28T00:00:00"/>
    <m/>
    <m/>
    <s v="SAMUEL CHUQUISTA"/>
    <s v="Ventas"/>
    <m/>
    <s v="COLABORATIVA S.A.C."/>
    <n v="16"/>
    <n v="2.88"/>
    <n v="18.88"/>
    <n v="18.88"/>
    <n v="18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15 error: Error en envio de documeto '&lt;/p&gt;"/>
    <x v="0"/>
    <m/>
    <m/>
    <m/>
    <m/>
    <m/>
    <m/>
    <x v="0"/>
    <x v="0"/>
    <m/>
    <m/>
    <x v="16"/>
  </r>
  <r>
    <x v="222"/>
    <n v="0"/>
    <m/>
    <s v="(01) Factura"/>
    <x v="32"/>
    <x v="15"/>
    <d v="2025-01-28T00:00:00"/>
    <d v="2025-01-28T00:00:00"/>
    <m/>
    <m/>
    <s v="SAMUEL CHUQUISTA"/>
    <s v="Ventas"/>
    <m/>
    <s v="COLABORATIVA S.A.C."/>
    <n v="11.44"/>
    <n v="2.06"/>
    <n v="13.5"/>
    <n v="13.5"/>
    <n v="1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46 error: Error en envio de documeto '&lt;/p&gt;"/>
    <x v="0"/>
    <m/>
    <m/>
    <m/>
    <m/>
    <m/>
    <m/>
    <x v="0"/>
    <x v="0"/>
    <m/>
    <m/>
    <x v="16"/>
  </r>
  <r>
    <x v="223"/>
    <n v="0"/>
    <m/>
    <s v="(01) Factura"/>
    <x v="32"/>
    <x v="15"/>
    <d v="2025-01-28T00:00:00"/>
    <d v="2025-01-28T00:00:00"/>
    <m/>
    <m/>
    <s v="SAMUEL CHUQUISTA"/>
    <s v="Ventas"/>
    <m/>
    <s v="COLABORATIVA S.A.C."/>
    <n v="6.36"/>
    <n v="1.1399999999999999"/>
    <n v="7.5"/>
    <n v="7.5"/>
    <n v="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75 error: Error en envio de documeto '&lt;/p&gt;"/>
    <x v="0"/>
    <m/>
    <m/>
    <m/>
    <m/>
    <m/>
    <m/>
    <x v="0"/>
    <x v="0"/>
    <m/>
    <m/>
    <x v="16"/>
  </r>
  <r>
    <x v="224"/>
    <n v="0"/>
    <m/>
    <s v="(01) Factura"/>
    <x v="30"/>
    <x v="15"/>
    <d v="2025-01-28T00:00:00"/>
    <d v="2025-01-28T00:00:00"/>
    <m/>
    <m/>
    <s v="SAMUEL CHUQUISTA"/>
    <s v="Ventas"/>
    <m/>
    <s v="COLABORATIVA S.A.C."/>
    <n v="41.1"/>
    <n v="7.4"/>
    <n v="48.5"/>
    <n v="48.5"/>
    <n v="48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23 error: Error en envio de documeto '&lt;/p&gt;"/>
    <x v="0"/>
    <m/>
    <m/>
    <m/>
    <m/>
    <m/>
    <m/>
    <x v="0"/>
    <x v="0"/>
    <m/>
    <m/>
    <x v="16"/>
  </r>
  <r>
    <x v="225"/>
    <n v="0"/>
    <m/>
    <s v="(01) Factura"/>
    <x v="30"/>
    <x v="15"/>
    <d v="2025-01-28T00:00:00"/>
    <d v="2025-01-28T00:00:00"/>
    <m/>
    <m/>
    <s v="SAMUEL CHUQUISTA"/>
    <s v="Ventas"/>
    <m/>
    <s v="COLABORATIVA S.A.C."/>
    <n v="27.46"/>
    <n v="4.9400000000000004"/>
    <n v="32.4"/>
    <n v="32.4"/>
    <n v="32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48 error: Error en envio de documeto '&lt;/p&gt;"/>
    <x v="0"/>
    <m/>
    <m/>
    <m/>
    <m/>
    <m/>
    <m/>
    <x v="0"/>
    <x v="0"/>
    <m/>
    <m/>
    <x v="16"/>
  </r>
  <r>
    <x v="226"/>
    <n v="0"/>
    <m/>
    <s v="(01) Factura"/>
    <x v="51"/>
    <x v="15"/>
    <d v="2025-01-28T00:00:00"/>
    <d v="2025-01-28T00:00:00"/>
    <m/>
    <m/>
    <s v="SAMUEL CHUQUISTA"/>
    <s v="Ventas"/>
    <m/>
    <s v="COLABORATIVA S.A.C."/>
    <n v="274.92"/>
    <n v="49.48"/>
    <n v="324.39999999999998"/>
    <n v="324.39999999999998"/>
    <n v="324.39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70 error: Error en envio de documeto '&lt;/p&gt;"/>
    <x v="0"/>
    <m/>
    <m/>
    <m/>
    <m/>
    <m/>
    <m/>
    <x v="0"/>
    <x v="0"/>
    <m/>
    <m/>
    <x v="16"/>
  </r>
  <r>
    <x v="227"/>
    <n v="0"/>
    <m/>
    <s v="(01) Factura"/>
    <x v="51"/>
    <x v="15"/>
    <d v="2025-01-28T00:00:00"/>
    <d v="2025-01-28T00:00:00"/>
    <m/>
    <m/>
    <s v="SAMUEL CHUQUISTA"/>
    <s v="Ventas"/>
    <m/>
    <s v="COLABORATIVA S.A.C."/>
    <n v="159.29"/>
    <n v="28.67"/>
    <n v="187.96"/>
    <n v="187.96"/>
    <n v="187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96 error: Error en envio de documeto '&lt;/p&gt;"/>
    <x v="0"/>
    <m/>
    <m/>
    <m/>
    <m/>
    <m/>
    <m/>
    <x v="0"/>
    <x v="0"/>
    <m/>
    <m/>
    <x v="16"/>
  </r>
  <r>
    <x v="228"/>
    <n v="0"/>
    <m/>
    <s v="(01) Factura"/>
    <x v="52"/>
    <x v="15"/>
    <d v="2025-01-28T00:00:00"/>
    <d v="2025-01-28T00:00:00"/>
    <m/>
    <m/>
    <s v="SAMUEL CHUQUISTA"/>
    <s v="Ventas"/>
    <m/>
    <s v="COLABORATIVA S.A.C."/>
    <n v="967.12"/>
    <n v="174.08"/>
    <n v="1141.2"/>
    <n v="1141.2"/>
    <n v="114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07 error: Error en envio de documeto '&lt;/p&gt;"/>
    <x v="0"/>
    <m/>
    <m/>
    <m/>
    <m/>
    <m/>
    <m/>
    <x v="0"/>
    <x v="0"/>
    <m/>
    <m/>
    <x v="16"/>
  </r>
  <r>
    <x v="229"/>
    <n v="0"/>
    <m/>
    <s v="(01) Factura"/>
    <x v="52"/>
    <x v="15"/>
    <d v="2025-01-28T00:00:00"/>
    <d v="2025-01-28T00:00:00"/>
    <m/>
    <m/>
    <s v="SAMUEL CHUQUISTA"/>
    <s v="Ventas"/>
    <m/>
    <s v="COLABORATIVA S.A.C."/>
    <n v="777.2"/>
    <n v="139.9"/>
    <n v="917.1"/>
    <n v="917.1"/>
    <n v="917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24 error: Error en envio de documeto '&lt;/p&gt;"/>
    <x v="0"/>
    <m/>
    <m/>
    <m/>
    <m/>
    <m/>
    <m/>
    <x v="0"/>
    <x v="0"/>
    <m/>
    <m/>
    <x v="16"/>
  </r>
  <r>
    <x v="230"/>
    <n v="0"/>
    <m/>
    <s v="(01) Factura"/>
    <x v="53"/>
    <x v="15"/>
    <d v="2025-01-28T00:00:00"/>
    <d v="2025-01-28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38 error: Error en envio de documeto '&lt;/p&gt;"/>
    <x v="0"/>
    <m/>
    <m/>
    <m/>
    <m/>
    <m/>
    <m/>
    <x v="0"/>
    <x v="0"/>
    <m/>
    <m/>
    <x v="16"/>
  </r>
  <r>
    <x v="231"/>
    <n v="0"/>
    <m/>
    <s v="(01) Factura"/>
    <x v="53"/>
    <x v="15"/>
    <d v="2025-01-28T00:00:00"/>
    <d v="2025-01-28T00:00:00"/>
    <m/>
    <m/>
    <s v="SAMUEL CHUQUISTA"/>
    <s v="Ventas"/>
    <m/>
    <s v="COLABORATIVA S.A.C."/>
    <n v="276.52999999999997"/>
    <n v="49.77"/>
    <n v="326.3"/>
    <n v="326.3"/>
    <n v="326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51 error: Error en envio de documeto '&lt;/p&gt;"/>
    <x v="0"/>
    <m/>
    <m/>
    <m/>
    <m/>
    <m/>
    <m/>
    <x v="0"/>
    <x v="0"/>
    <m/>
    <m/>
    <x v="16"/>
  </r>
  <r>
    <x v="232"/>
    <n v="0"/>
    <m/>
    <s v="(01) Factura"/>
    <x v="53"/>
    <x v="15"/>
    <d v="2025-01-28T00:00:00"/>
    <d v="2025-01-28T00:00:00"/>
    <m/>
    <m/>
    <s v="SAMUEL CHUQUISTA"/>
    <s v="Ventas"/>
    <m/>
    <s v="COLABORATIVA S.A.C."/>
    <n v="177.63"/>
    <n v="31.97"/>
    <n v="209.6"/>
    <n v="209.6"/>
    <n v="20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69 error: Error en envio de documeto '&lt;/p&gt;"/>
    <x v="0"/>
    <m/>
    <m/>
    <m/>
    <m/>
    <m/>
    <m/>
    <x v="0"/>
    <x v="0"/>
    <m/>
    <m/>
    <x v="16"/>
  </r>
  <r>
    <x v="233"/>
    <n v="0"/>
    <m/>
    <s v="(03) Boleta"/>
    <x v="54"/>
    <x v="15"/>
    <d v="2025-01-28T00:00:00"/>
    <d v="2025-01-28T00:00:00"/>
    <m/>
    <m/>
    <s v="SAMUEL CHUQUISTA"/>
    <s v="Ventas"/>
    <m/>
    <s v="COLABORATIVA S.A.C."/>
    <n v="34.32"/>
    <n v="6.18"/>
    <n v="40.5"/>
    <n v="40.5"/>
    <n v="40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87 error: Error en envio de documeto '&lt;/p&gt;"/>
    <x v="0"/>
    <m/>
    <m/>
    <m/>
    <m/>
    <m/>
    <m/>
    <x v="0"/>
    <x v="0"/>
    <m/>
    <m/>
    <x v="16"/>
  </r>
  <r>
    <x v="234"/>
    <n v="0"/>
    <m/>
    <s v="(03) Boleta"/>
    <x v="54"/>
    <x v="15"/>
    <d v="2025-01-28T00:00:00"/>
    <d v="2025-01-28T00:00:00"/>
    <m/>
    <m/>
    <s v="SAMUEL CHUQUISTA"/>
    <s v="Ventas"/>
    <m/>
    <s v="COLABORATIVA S.A.C."/>
    <n v="19.07"/>
    <n v="3.43"/>
    <n v="22.5"/>
    <n v="22.5"/>
    <n v="22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03 error: Error en envio de documeto '&lt;/p&gt;"/>
    <x v="0"/>
    <m/>
    <m/>
    <m/>
    <m/>
    <m/>
    <m/>
    <x v="0"/>
    <x v="0"/>
    <m/>
    <m/>
    <x v="16"/>
  </r>
  <r>
    <x v="235"/>
    <n v="0"/>
    <m/>
    <s v="(03) Boleta"/>
    <x v="55"/>
    <x v="15"/>
    <d v="2025-01-28T00:00:00"/>
    <d v="2025-01-28T00:00:00"/>
    <m/>
    <m/>
    <s v="SAMUEL CHUQUISTA"/>
    <s v="Ventas"/>
    <m/>
    <s v="COLABORATIVA S.A.C."/>
    <n v="240.25"/>
    <n v="43.25"/>
    <n v="283.5"/>
    <n v="283.5"/>
    <n v="28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11 error: Error en envio de documeto '&lt;/p&gt;"/>
    <x v="0"/>
    <m/>
    <m/>
    <m/>
    <m/>
    <m/>
    <m/>
    <x v="0"/>
    <x v="0"/>
    <m/>
    <m/>
    <x v="16"/>
  </r>
  <r>
    <x v="236"/>
    <n v="0"/>
    <m/>
    <s v="(03) Boleta"/>
    <x v="55"/>
    <x v="15"/>
    <d v="2025-01-28T00:00:00"/>
    <d v="2025-01-28T00:00:00"/>
    <m/>
    <m/>
    <s v="SAMUEL CHUQUISTA"/>
    <s v="Ventas"/>
    <m/>
    <s v="COLABORATIVA S.A.C."/>
    <n v="133.47"/>
    <n v="24.03"/>
    <n v="157.5"/>
    <n v="157.5"/>
    <n v="15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29 error: Error en envio de documeto '&lt;/p&gt;"/>
    <x v="0"/>
    <m/>
    <m/>
    <m/>
    <m/>
    <m/>
    <m/>
    <x v="0"/>
    <x v="0"/>
    <m/>
    <m/>
    <x v="16"/>
  </r>
  <r>
    <x v="237"/>
    <n v="0"/>
    <m/>
    <s v="(03) Boleta"/>
    <x v="56"/>
    <x v="15"/>
    <d v="2025-01-28T00:00:00"/>
    <d v="2025-01-28T00:00:00"/>
    <m/>
    <m/>
    <s v="SAMUEL CHUQUISTA"/>
    <s v="Ventas"/>
    <m/>
    <s v="COLABORATIVA S.A.C."/>
    <n v="1346.2"/>
    <n v="242.32"/>
    <n v="1588.52"/>
    <n v="1588.52"/>
    <n v="1588.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43 error: Error en envio de documeto '&lt;/p&gt;"/>
    <x v="0"/>
    <m/>
    <m/>
    <m/>
    <m/>
    <m/>
    <m/>
    <x v="0"/>
    <x v="0"/>
    <m/>
    <m/>
    <x v="16"/>
  </r>
  <r>
    <x v="238"/>
    <n v="0"/>
    <m/>
    <s v="(03) Boleta"/>
    <x v="56"/>
    <x v="15"/>
    <d v="2025-01-28T00:00:00"/>
    <d v="2025-01-28T00:00:00"/>
    <m/>
    <m/>
    <s v="SAMUEL CHUQUISTA"/>
    <s v="Ventas"/>
    <m/>
    <s v="COLABORATIVA S.A.C."/>
    <n v="824.87"/>
    <n v="148.47999999999999"/>
    <n v="973.35"/>
    <n v="973.35"/>
    <n v="973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55 error: Error en envio de documeto '&lt;/p&gt;"/>
    <x v="0"/>
    <m/>
    <m/>
    <m/>
    <m/>
    <m/>
    <m/>
    <x v="0"/>
    <x v="0"/>
    <m/>
    <m/>
    <x v="16"/>
  </r>
  <r>
    <x v="239"/>
    <n v="0"/>
    <m/>
    <s v="(03) Boleta"/>
    <x v="57"/>
    <x v="15"/>
    <d v="2025-01-28T00:00:00"/>
    <d v="2025-01-28T00:00:00"/>
    <m/>
    <m/>
    <s v="SAMUEL CHUQUISTA"/>
    <s v="Ventas"/>
    <m/>
    <s v="COLABORATIVA S.A.C."/>
    <n v="96.1"/>
    <n v="17.3"/>
    <n v="113.4"/>
    <n v="113.4"/>
    <n v="11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67 error: Error en envio de documeto '&lt;/p&gt;"/>
    <x v="0"/>
    <m/>
    <m/>
    <m/>
    <m/>
    <m/>
    <m/>
    <x v="0"/>
    <x v="0"/>
    <m/>
    <m/>
    <x v="16"/>
  </r>
  <r>
    <x v="240"/>
    <n v="0"/>
    <m/>
    <s v="(03) Boleta"/>
    <x v="57"/>
    <x v="15"/>
    <d v="2025-01-28T00:00:00"/>
    <d v="2025-01-28T00:00:00"/>
    <m/>
    <m/>
    <s v="SAMUEL CHUQUISTA"/>
    <s v="Ventas"/>
    <m/>
    <s v="COLABORATIVA S.A.C."/>
    <n v="95.97"/>
    <n v="17.27"/>
    <n v="113.24"/>
    <n v="113.24"/>
    <n v="113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80 error: Error en envio de documeto '&lt;/p&gt;"/>
    <x v="0"/>
    <m/>
    <m/>
    <m/>
    <m/>
    <m/>
    <m/>
    <x v="0"/>
    <x v="0"/>
    <m/>
    <m/>
    <x v="16"/>
  </r>
  <r>
    <x v="241"/>
    <n v="0"/>
    <m/>
    <s v="(01) Factura"/>
    <x v="14"/>
    <x v="16"/>
    <d v="2025-01-27T00:00:00"/>
    <d v="2025-01-27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00 error: Error en envio de documeto '&lt;/p&gt;"/>
    <x v="0"/>
    <m/>
    <m/>
    <m/>
    <m/>
    <m/>
    <m/>
    <x v="0"/>
    <x v="0"/>
    <m/>
    <m/>
    <x v="17"/>
  </r>
  <r>
    <x v="242"/>
    <n v="0"/>
    <m/>
    <s v="(01) Factura"/>
    <x v="14"/>
    <x v="17"/>
    <d v="2025-01-23T00:00:00"/>
    <d v="2025-01-23T00:00:00"/>
    <m/>
    <m/>
    <s v="SAMUEL CHUQUISTA"/>
    <s v="Ventas"/>
    <m/>
    <s v="COLABORATIVA S.A.C."/>
    <n v="910"/>
    <n v="163.80000000000001"/>
    <n v="1073.8"/>
    <n v="1073.8"/>
    <n v="1073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13 error: Error en envio de documeto '&lt;/p&gt;"/>
    <x v="0"/>
    <m/>
    <m/>
    <m/>
    <m/>
    <m/>
    <m/>
    <x v="0"/>
    <x v="0"/>
    <m/>
    <m/>
    <x v="18"/>
  </r>
  <r>
    <x v="243"/>
    <n v="0"/>
    <m/>
    <s v="(01) Factura"/>
    <x v="58"/>
    <x v="17"/>
    <d v="2025-01-23T00:00:00"/>
    <d v="2025-01-23T00:00:00"/>
    <m/>
    <m/>
    <s v="SAMUEL CHUQUISTA"/>
    <s v="Ventas"/>
    <m/>
    <s v="COLABORATIVA S.A.C."/>
    <n v="25.35"/>
    <n v="4.5599999999999996"/>
    <n v="29.91"/>
    <n v="29.91"/>
    <n v="29.9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25 error: Error en envio de documeto '&lt;/p&gt;"/>
    <x v="0"/>
    <m/>
    <m/>
    <m/>
    <m/>
    <m/>
    <m/>
    <x v="0"/>
    <x v="0"/>
    <m/>
    <m/>
    <x v="18"/>
  </r>
  <r>
    <x v="244"/>
    <n v="0"/>
    <m/>
    <s v="(01) Factura"/>
    <x v="58"/>
    <x v="17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31 error: Error en envio de documeto '&lt;/p&gt;"/>
    <x v="0"/>
    <m/>
    <m/>
    <m/>
    <m/>
    <m/>
    <m/>
    <x v="0"/>
    <x v="0"/>
    <m/>
    <m/>
    <x v="18"/>
  </r>
  <r>
    <x v="245"/>
    <n v="0"/>
    <m/>
    <s v="(01) Factura"/>
    <x v="58"/>
    <x v="17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38 error: Error en envio de documeto '&lt;/p&gt;"/>
    <x v="0"/>
    <m/>
    <m/>
    <m/>
    <m/>
    <m/>
    <m/>
    <x v="0"/>
    <x v="0"/>
    <m/>
    <m/>
    <x v="18"/>
  </r>
  <r>
    <x v="246"/>
    <n v="0"/>
    <m/>
    <s v="(01) Factura"/>
    <x v="58"/>
    <x v="17"/>
    <d v="2025-01-23T00:00:00"/>
    <d v="2025-01-23T00:00:00"/>
    <m/>
    <m/>
    <s v="SAMUEL CHUQUISTA"/>
    <s v="Ventas"/>
    <m/>
    <s v="COLABORATIVA S.A.C."/>
    <n v="6508.39"/>
    <n v="1171.51"/>
    <n v="7679.9"/>
    <n v="7679.9"/>
    <n v="767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65 error: Error en envio de documeto '&lt;/p&gt;"/>
    <x v="0"/>
    <m/>
    <m/>
    <m/>
    <m/>
    <m/>
    <m/>
    <x v="0"/>
    <x v="0"/>
    <m/>
    <m/>
    <x v="18"/>
  </r>
  <r>
    <x v="247"/>
    <n v="0"/>
    <m/>
    <s v="(01) Factura"/>
    <x v="58"/>
    <x v="17"/>
    <d v="2025-01-23T00:00:00"/>
    <d v="2025-01-23T00:00:00"/>
    <m/>
    <m/>
    <s v="SAMUEL CHUQUISTA"/>
    <s v="Ventas"/>
    <m/>
    <s v="COLABORATIVA S.A.C."/>
    <n v="5640.85"/>
    <n v="1015.35"/>
    <n v="6656.2"/>
    <n v="6656.2"/>
    <n v="6656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72 error: Error en envio de documeto '&lt;/p&gt;"/>
    <x v="0"/>
    <m/>
    <m/>
    <m/>
    <m/>
    <m/>
    <m/>
    <x v="0"/>
    <x v="0"/>
    <m/>
    <m/>
    <x v="18"/>
  </r>
  <r>
    <x v="248"/>
    <n v="0"/>
    <m/>
    <s v="(01) Factura"/>
    <x v="20"/>
    <x v="17"/>
    <d v="2025-01-23T00:00:00"/>
    <d v="2025-01-23T00:00:00"/>
    <m/>
    <m/>
    <s v="SAMUEL CHUQUISTA"/>
    <s v="Ventas"/>
    <m/>
    <s v="COLABORATIVA S.A.C."/>
    <n v="170"/>
    <n v="30.6"/>
    <n v="200.6"/>
    <n v="200.6"/>
    <n v="200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81 error: Error en envio de documeto '&lt;/p&gt;"/>
    <x v="0"/>
    <m/>
    <m/>
    <m/>
    <m/>
    <m/>
    <m/>
    <x v="0"/>
    <x v="0"/>
    <m/>
    <m/>
    <x v="18"/>
  </r>
  <r>
    <x v="249"/>
    <n v="0"/>
    <m/>
    <s v="(01) Factura"/>
    <x v="20"/>
    <x v="17"/>
    <d v="2025-01-23T00:00:00"/>
    <d v="2025-01-23T00:00:00"/>
    <m/>
    <m/>
    <s v="SAMUEL CHUQUISTA"/>
    <s v="Ventas"/>
    <m/>
    <s v="COLABORATIVA S.A.C."/>
    <n v="187.63"/>
    <n v="33.770000000000003"/>
    <n v="221.4"/>
    <n v="221.4"/>
    <n v="22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89 error: Error en envio de documeto '&lt;/p&gt;"/>
    <x v="0"/>
    <m/>
    <m/>
    <m/>
    <m/>
    <m/>
    <m/>
    <x v="0"/>
    <x v="0"/>
    <m/>
    <m/>
    <x v="18"/>
  </r>
  <r>
    <x v="250"/>
    <n v="0"/>
    <m/>
    <s v="(01) Factura"/>
    <x v="30"/>
    <x v="17"/>
    <d v="2025-01-23T00:00:00"/>
    <d v="2025-01-23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96 error: Error en envio de documeto '&lt;/p&gt;"/>
    <x v="0"/>
    <m/>
    <m/>
    <m/>
    <m/>
    <m/>
    <m/>
    <x v="0"/>
    <x v="0"/>
    <m/>
    <m/>
    <x v="18"/>
  </r>
  <r>
    <x v="251"/>
    <n v="0"/>
    <m/>
    <s v="(01) Factura"/>
    <x v="30"/>
    <x v="17"/>
    <d v="2025-01-23T00:00:00"/>
    <d v="2025-01-23T00:00:00"/>
    <m/>
    <m/>
    <s v="SAMUEL CHUQUISTA"/>
    <s v="Ventas"/>
    <m/>
    <s v="COLABORATIVA S.A.C."/>
    <n v="400.93"/>
    <n v="72.17"/>
    <n v="473.1"/>
    <n v="473.1"/>
    <n v="473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07 error: Error en envio de documeto '&lt;/p&gt;"/>
    <x v="0"/>
    <m/>
    <m/>
    <m/>
    <m/>
    <m/>
    <m/>
    <x v="0"/>
    <x v="0"/>
    <m/>
    <m/>
    <x v="18"/>
  </r>
  <r>
    <x v="252"/>
    <n v="0"/>
    <m/>
    <s v="(01) Factura"/>
    <x v="30"/>
    <x v="17"/>
    <d v="2025-01-23T00:00:00"/>
    <d v="2025-01-23T00:00:00"/>
    <m/>
    <m/>
    <s v="SAMUEL CHUQUISTA"/>
    <s v="Ventas"/>
    <m/>
    <s v="COLABORATIVA S.A.C."/>
    <n v="289.32"/>
    <n v="52.08"/>
    <n v="341.4"/>
    <n v="341.4"/>
    <n v="34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15 error: Error en envio de documeto '&lt;/p&gt;"/>
    <x v="0"/>
    <m/>
    <m/>
    <m/>
    <m/>
    <m/>
    <m/>
    <x v="0"/>
    <x v="0"/>
    <m/>
    <m/>
    <x v="18"/>
  </r>
  <r>
    <x v="253"/>
    <n v="0"/>
    <m/>
    <s v="(01) Factura"/>
    <x v="26"/>
    <x v="17"/>
    <d v="2025-01-23T00:00:00"/>
    <d v="2025-01-23T00:00:00"/>
    <m/>
    <m/>
    <s v="SAMUEL CHUQUISTA"/>
    <s v="Ventas"/>
    <m/>
    <s v="COLABORATIVA S.A.C."/>
    <n v="106.95"/>
    <n v="19.25"/>
    <n v="126.2"/>
    <n v="126.2"/>
    <n v="126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22 error: Error en envio de documeto '&lt;/p&gt;"/>
    <x v="0"/>
    <m/>
    <m/>
    <m/>
    <m/>
    <m/>
    <m/>
    <x v="0"/>
    <x v="0"/>
    <m/>
    <m/>
    <x v="18"/>
  </r>
  <r>
    <x v="254"/>
    <n v="0"/>
    <m/>
    <s v="(01) Factura"/>
    <x v="26"/>
    <x v="17"/>
    <d v="2025-01-23T00:00:00"/>
    <d v="2025-01-23T00:00:00"/>
    <m/>
    <m/>
    <s v="SAMUEL CHUQUISTA"/>
    <s v="Ventas"/>
    <m/>
    <s v="COLABORATIVA S.A.C."/>
    <n v="66.69"/>
    <n v="12.01"/>
    <n v="78.7"/>
    <n v="78.7"/>
    <n v="78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28 error: Error en envio de documeto '&lt;/p&gt;"/>
    <x v="0"/>
    <m/>
    <m/>
    <m/>
    <m/>
    <m/>
    <m/>
    <x v="0"/>
    <x v="0"/>
    <m/>
    <m/>
    <x v="18"/>
  </r>
  <r>
    <x v="255"/>
    <n v="0"/>
    <m/>
    <s v="(01) Factura"/>
    <x v="28"/>
    <x v="17"/>
    <d v="2025-01-23T00:00:00"/>
    <d v="2025-01-23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38 error: Error en envio de documeto '&lt;/p&gt;"/>
    <x v="0"/>
    <m/>
    <m/>
    <m/>
    <m/>
    <m/>
    <m/>
    <x v="0"/>
    <x v="0"/>
    <m/>
    <m/>
    <x v="18"/>
  </r>
  <r>
    <x v="256"/>
    <n v="0"/>
    <m/>
    <s v="(01) Factura"/>
    <x v="28"/>
    <x v="17"/>
    <d v="2025-01-23T00:00:00"/>
    <d v="2025-01-23T00:00:00"/>
    <m/>
    <m/>
    <s v="SAMUEL CHUQUISTA"/>
    <s v="Ventas"/>
    <m/>
    <s v="COLABORATIVA S.A.C."/>
    <n v="33.22"/>
    <n v="5.98"/>
    <n v="39.200000000000003"/>
    <n v="39.200000000000003"/>
    <n v="39.2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50 error: Error en envio de documeto '&lt;/p&gt;"/>
    <x v="0"/>
    <m/>
    <m/>
    <m/>
    <m/>
    <m/>
    <m/>
    <x v="0"/>
    <x v="0"/>
    <m/>
    <m/>
    <x v="18"/>
  </r>
  <r>
    <x v="257"/>
    <n v="0"/>
    <m/>
    <s v="(01) Factura"/>
    <x v="59"/>
    <x v="17"/>
    <d v="2025-01-23T00:00:00"/>
    <d v="2025-01-23T00:00:00"/>
    <m/>
    <m/>
    <s v="SAMUEL CHUQUISTA"/>
    <s v="Ventas"/>
    <m/>
    <s v="COLABORATIVA S.A.C."/>
    <n v="97.37"/>
    <n v="17.53"/>
    <n v="114.9"/>
    <n v="114.9"/>
    <n v="114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59 error: Error en envio de documeto '&lt;/p&gt;"/>
    <x v="0"/>
    <m/>
    <m/>
    <m/>
    <m/>
    <m/>
    <m/>
    <x v="0"/>
    <x v="0"/>
    <m/>
    <m/>
    <x v="18"/>
  </r>
  <r>
    <x v="258"/>
    <n v="0"/>
    <m/>
    <s v="(01) Factura"/>
    <x v="59"/>
    <x v="17"/>
    <d v="2025-01-23T00:00:00"/>
    <d v="2025-01-23T00:00:00"/>
    <m/>
    <m/>
    <s v="SAMUEL CHUQUISTA"/>
    <s v="Ventas"/>
    <m/>
    <s v="COLABORATIVA S.A.C."/>
    <n v="59.07"/>
    <n v="10.63"/>
    <n v="69.7"/>
    <n v="69.7"/>
    <n v="6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67 error: Error en envio de documeto '&lt;/p&gt;"/>
    <x v="0"/>
    <m/>
    <m/>
    <m/>
    <m/>
    <m/>
    <m/>
    <x v="0"/>
    <x v="0"/>
    <m/>
    <m/>
    <x v="18"/>
  </r>
  <r>
    <x v="259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74 error: Error en envio de documeto '&lt;/p&gt;"/>
    <x v="0"/>
    <m/>
    <m/>
    <m/>
    <m/>
    <m/>
    <m/>
    <x v="0"/>
    <x v="0"/>
    <m/>
    <m/>
    <x v="18"/>
  </r>
  <r>
    <x v="260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88 error: Error en envio de documeto '&lt;/p&gt;"/>
    <x v="0"/>
    <m/>
    <m/>
    <m/>
    <m/>
    <m/>
    <m/>
    <x v="0"/>
    <x v="0"/>
    <m/>
    <m/>
    <x v="18"/>
  </r>
  <r>
    <x v="261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97 error: Error en envio de documeto '&lt;/p&gt;"/>
    <x v="0"/>
    <m/>
    <m/>
    <m/>
    <m/>
    <m/>
    <m/>
    <x v="0"/>
    <x v="0"/>
    <m/>
    <m/>
    <x v="18"/>
  </r>
  <r>
    <x v="262"/>
    <n v="0"/>
    <m/>
    <s v="(01) Factura"/>
    <x v="23"/>
    <x v="17"/>
    <d v="2025-01-23T00:00:00"/>
    <d v="2025-01-23T00:00:00"/>
    <m/>
    <m/>
    <s v="SAMUEL CHUQUISTA"/>
    <s v="Ventas"/>
    <m/>
    <s v="COLABORATIVA S.A.C."/>
    <n v="3754.15"/>
    <n v="675.75"/>
    <n v="4429.8999999999996"/>
    <n v="4429.8999999999996"/>
    <n v="4429.8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10 error: Error en envio de documeto '&lt;/p&gt;"/>
    <x v="0"/>
    <m/>
    <m/>
    <m/>
    <m/>
    <m/>
    <m/>
    <x v="0"/>
    <x v="0"/>
    <m/>
    <m/>
    <x v="18"/>
  </r>
  <r>
    <x v="263"/>
    <n v="0"/>
    <m/>
    <s v="(01) Factura"/>
    <x v="23"/>
    <x v="17"/>
    <d v="2025-01-23T00:00:00"/>
    <d v="2025-01-23T00:00:00"/>
    <m/>
    <m/>
    <s v="SAMUEL CHUQUISTA"/>
    <s v="Ventas"/>
    <m/>
    <s v="COLABORATIVA S.A.C."/>
    <n v="288.14"/>
    <n v="51.86"/>
    <n v="340"/>
    <n v="340"/>
    <n v="34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21 error: Error en envio de documeto '&lt;/p&gt;"/>
    <x v="0"/>
    <m/>
    <m/>
    <m/>
    <m/>
    <m/>
    <m/>
    <x v="0"/>
    <x v="0"/>
    <m/>
    <m/>
    <x v="18"/>
  </r>
  <r>
    <x v="264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33 error: Error en envio de documeto '&lt;/p&gt;"/>
    <x v="0"/>
    <m/>
    <m/>
    <m/>
    <m/>
    <m/>
    <m/>
    <x v="0"/>
    <x v="0"/>
    <m/>
    <m/>
    <x v="18"/>
  </r>
  <r>
    <x v="265"/>
    <n v="0"/>
    <m/>
    <s v="(01) Factura"/>
    <x v="23"/>
    <x v="17"/>
    <d v="2025-01-23T00:00:00"/>
    <d v="2025-01-23T00:00:00"/>
    <m/>
    <m/>
    <s v="SAMUEL CHUQUISTA"/>
    <s v="Ventas"/>
    <m/>
    <s v="COLABORATIVA S.A.C."/>
    <n v="2400"/>
    <n v="432"/>
    <n v="2832"/>
    <n v="2832"/>
    <n v="283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52 error: Error en envio de documeto '&lt;/p&gt;"/>
    <x v="0"/>
    <m/>
    <m/>
    <m/>
    <m/>
    <m/>
    <m/>
    <x v="0"/>
    <x v="0"/>
    <m/>
    <m/>
    <x v="18"/>
  </r>
  <r>
    <x v="266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62 error: Error en envio de documeto '&lt;/p&gt;"/>
    <x v="0"/>
    <m/>
    <m/>
    <m/>
    <m/>
    <m/>
    <m/>
    <x v="0"/>
    <x v="0"/>
    <m/>
    <m/>
    <x v="18"/>
  </r>
  <r>
    <x v="267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76 error: Error en envio de documeto '&lt;/p&gt;"/>
    <x v="0"/>
    <m/>
    <m/>
    <m/>
    <m/>
    <m/>
    <m/>
    <x v="0"/>
    <x v="0"/>
    <m/>
    <m/>
    <x v="18"/>
  </r>
  <r>
    <x v="268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84 error: Error en envio de documeto '&lt;/p&gt;"/>
    <x v="0"/>
    <m/>
    <m/>
    <m/>
    <m/>
    <m/>
    <m/>
    <x v="0"/>
    <x v="0"/>
    <m/>
    <m/>
    <x v="18"/>
  </r>
  <r>
    <x v="269"/>
    <n v="0"/>
    <m/>
    <s v="(01) Factura"/>
    <x v="23"/>
    <x v="17"/>
    <d v="2025-01-23T00:00:00"/>
    <d v="2025-01-23T00:00:00"/>
    <m/>
    <m/>
    <s v="SAMUEL CHUQUISTA"/>
    <s v="Ventas"/>
    <m/>
    <s v="COLABORATIVA S.A.C."/>
    <n v="2200"/>
    <n v="396"/>
    <n v="2596"/>
    <n v="2596"/>
    <n v="25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03 error: Error en envio de documeto '&lt;/p&gt;"/>
    <x v="0"/>
    <m/>
    <m/>
    <m/>
    <m/>
    <m/>
    <m/>
    <x v="0"/>
    <x v="0"/>
    <m/>
    <m/>
    <x v="18"/>
  </r>
  <r>
    <x v="270"/>
    <n v="0"/>
    <m/>
    <s v="(01) Factura"/>
    <x v="23"/>
    <x v="17"/>
    <d v="2025-01-23T00:00:00"/>
    <d v="2025-01-23T00:00:00"/>
    <m/>
    <m/>
    <s v="SAMUEL CHUQUISTA"/>
    <s v="Ventas"/>
    <m/>
    <s v="COLABORATIVA S.A.C."/>
    <n v="5158.5600000000004"/>
    <n v="928.54"/>
    <n v="6087.1"/>
    <n v="6087.1"/>
    <n v="6087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36 error: Error en envio de documeto '&lt;/p&gt;"/>
    <x v="0"/>
    <m/>
    <m/>
    <m/>
    <m/>
    <m/>
    <m/>
    <x v="0"/>
    <x v="0"/>
    <m/>
    <m/>
    <x v="18"/>
  </r>
  <r>
    <x v="271"/>
    <n v="0"/>
    <m/>
    <s v="(01) Factura"/>
    <x v="23"/>
    <x v="17"/>
    <d v="2025-01-23T00:00:00"/>
    <d v="2025-01-23T00:00:00"/>
    <m/>
    <m/>
    <s v="SAMUEL CHUQUISTA"/>
    <s v="Ventas"/>
    <m/>
    <s v="COLABORATIVA S.A.C."/>
    <n v="3246.44"/>
    <n v="584.36"/>
    <n v="3830.8"/>
    <n v="3830.8"/>
    <n v="3830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62 error: Error en envio de documeto '&lt;/p&gt;"/>
    <x v="0"/>
    <m/>
    <m/>
    <m/>
    <m/>
    <m/>
    <m/>
    <x v="0"/>
    <x v="0"/>
    <m/>
    <m/>
    <x v="18"/>
  </r>
  <r>
    <x v="272"/>
    <n v="0"/>
    <m/>
    <s v="(01) Factura"/>
    <x v="32"/>
    <x v="17"/>
    <d v="2025-01-23T00:00:00"/>
    <d v="2025-01-23T00:00:00"/>
    <m/>
    <m/>
    <s v="SAMUEL CHUQUISTA"/>
    <s v="Ventas"/>
    <m/>
    <s v="COLABORATIVA S.A.C."/>
    <n v="25.34"/>
    <n v="4.5599999999999996"/>
    <n v="29.9"/>
    <n v="29.9"/>
    <n v="2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89 error: Error en envio de documeto '&lt;/p&gt;"/>
    <x v="0"/>
    <m/>
    <m/>
    <m/>
    <m/>
    <m/>
    <m/>
    <x v="0"/>
    <x v="0"/>
    <m/>
    <m/>
    <x v="18"/>
  </r>
  <r>
    <x v="273"/>
    <n v="0"/>
    <m/>
    <s v="(01) Factura"/>
    <x v="32"/>
    <x v="17"/>
    <d v="2025-01-23T00:00:00"/>
    <d v="2025-01-23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427 error: Error en envio de documeto '&lt;/p&gt;"/>
    <x v="0"/>
    <m/>
    <m/>
    <m/>
    <m/>
    <m/>
    <m/>
    <x v="0"/>
    <x v="0"/>
    <m/>
    <m/>
    <x v="18"/>
  </r>
  <r>
    <x v="274"/>
    <n v="0"/>
    <m/>
    <s v="(01) Factura"/>
    <x v="24"/>
    <x v="17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464 error: Error en envio de documeto '&lt;/p&gt;"/>
    <x v="0"/>
    <m/>
    <m/>
    <m/>
    <m/>
    <m/>
    <m/>
    <x v="0"/>
    <x v="0"/>
    <m/>
    <m/>
    <x v="18"/>
  </r>
  <r>
    <x v="275"/>
    <n v="0"/>
    <m/>
    <s v="(01) Factura"/>
    <x v="24"/>
    <x v="17"/>
    <d v="2025-01-23T00:00:00"/>
    <d v="2025-01-23T00:00:00"/>
    <m/>
    <m/>
    <s v="SAMUEL CHUQUISTA"/>
    <s v="Ventas"/>
    <m/>
    <s v="COLABORATIVA S.A.C."/>
    <n v="1000"/>
    <n v="180"/>
    <n v="1180"/>
    <n v="1180"/>
    <n v="118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44 error: Error en envio de documeto '&lt;/p&gt;"/>
    <x v="0"/>
    <m/>
    <m/>
    <m/>
    <m/>
    <m/>
    <m/>
    <x v="0"/>
    <x v="0"/>
    <m/>
    <m/>
    <x v="18"/>
  </r>
  <r>
    <x v="276"/>
    <n v="0"/>
    <m/>
    <s v="(01) Factura"/>
    <x v="24"/>
    <x v="17"/>
    <d v="2025-01-23T00:00:00"/>
    <d v="2025-01-23T00:00:00"/>
    <m/>
    <m/>
    <s v="SAMUEL CHUQUISTA"/>
    <s v="Ventas"/>
    <m/>
    <s v="COLABORATIVA S.A.C."/>
    <n v="3384.15"/>
    <n v="609.15"/>
    <n v="3993.3"/>
    <n v="3993.3"/>
    <n v="3993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62 error: Error en envio de documeto '&lt;/p&gt;"/>
    <x v="0"/>
    <m/>
    <m/>
    <m/>
    <m/>
    <m/>
    <m/>
    <x v="0"/>
    <x v="0"/>
    <m/>
    <m/>
    <x v="18"/>
  </r>
  <r>
    <x v="277"/>
    <n v="0"/>
    <m/>
    <s v="(01) Factura"/>
    <x v="24"/>
    <x v="17"/>
    <d v="2025-01-23T00:00:00"/>
    <d v="2025-01-23T00:00:00"/>
    <m/>
    <m/>
    <s v="SAMUEL CHUQUISTA"/>
    <s v="Ventas"/>
    <m/>
    <s v="COLABORATIVA S.A.C."/>
    <n v="1669.75"/>
    <n v="300.55"/>
    <n v="1970.3"/>
    <n v="1970.3"/>
    <n v="197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75 error: Error en envio de documeto '&lt;/p&gt;"/>
    <x v="0"/>
    <m/>
    <m/>
    <m/>
    <m/>
    <m/>
    <m/>
    <x v="0"/>
    <x v="0"/>
    <m/>
    <m/>
    <x v="18"/>
  </r>
  <r>
    <x v="278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97 error: Error en envio de documeto '&lt;/p&gt;"/>
    <x v="0"/>
    <m/>
    <m/>
    <m/>
    <m/>
    <m/>
    <m/>
    <x v="0"/>
    <x v="0"/>
    <m/>
    <m/>
    <x v="18"/>
  </r>
  <r>
    <x v="279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17 error: Error en envio de documeto '&lt;/p&gt;"/>
    <x v="0"/>
    <m/>
    <m/>
    <m/>
    <m/>
    <m/>
    <m/>
    <x v="0"/>
    <x v="0"/>
    <m/>
    <m/>
    <x v="18"/>
  </r>
  <r>
    <x v="280"/>
    <n v="0"/>
    <m/>
    <s v="(01) Factura"/>
    <x v="23"/>
    <x v="17"/>
    <d v="2025-01-23T00:00:00"/>
    <d v="2025-01-23T00:00:00"/>
    <m/>
    <m/>
    <s v="SAMUEL CHUQUISTA"/>
    <s v="Ventas"/>
    <m/>
    <s v="COLABORATIVA S.A.C."/>
    <n v="2372.2399999999998"/>
    <n v="427"/>
    <n v="2799.24"/>
    <n v="2799.24"/>
    <n v="2799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40 error: Error en envio de documeto '&lt;/p&gt;"/>
    <x v="0"/>
    <m/>
    <m/>
    <m/>
    <m/>
    <m/>
    <m/>
    <x v="0"/>
    <x v="0"/>
    <m/>
    <m/>
    <x v="18"/>
  </r>
  <r>
    <x v="281"/>
    <n v="0"/>
    <m/>
    <s v="(01) Factura"/>
    <x v="23"/>
    <x v="17"/>
    <d v="2025-01-23T00:00:00"/>
    <d v="2025-01-23T00:00:00"/>
    <m/>
    <m/>
    <s v="SAMUEL CHUQUISTA"/>
    <s v="Ventas"/>
    <m/>
    <s v="COLABORATIVA S.A.C."/>
    <n v="1467.44"/>
    <n v="264.14"/>
    <n v="1731.58"/>
    <n v="1731.58"/>
    <n v="1731.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91 error: Error en envio de documeto '&lt;/p&gt;"/>
    <x v="0"/>
    <m/>
    <m/>
    <m/>
    <m/>
    <m/>
    <m/>
    <x v="0"/>
    <x v="0"/>
    <m/>
    <m/>
    <x v="18"/>
  </r>
  <r>
    <x v="282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719 error: Error en envio de documeto '&lt;/p&gt;"/>
    <x v="0"/>
    <m/>
    <m/>
    <m/>
    <m/>
    <m/>
    <m/>
    <x v="0"/>
    <x v="0"/>
    <m/>
    <m/>
    <x v="18"/>
  </r>
  <r>
    <x v="283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753 error: Error en envio de documeto '&lt;/p&gt;"/>
    <x v="0"/>
    <m/>
    <m/>
    <m/>
    <m/>
    <m/>
    <m/>
    <x v="0"/>
    <x v="0"/>
    <m/>
    <m/>
    <x v="18"/>
  </r>
  <r>
    <x v="284"/>
    <n v="0"/>
    <m/>
    <s v="(01) Factura"/>
    <x v="23"/>
    <x v="17"/>
    <d v="2025-01-23T00:00:00"/>
    <d v="2025-01-23T00:00:00"/>
    <m/>
    <m/>
    <s v="SAMUEL CHUQUISTA"/>
    <s v="Ventas"/>
    <m/>
    <s v="COLABORATIVA S.A.C."/>
    <n v="2382.31"/>
    <n v="428.81"/>
    <n v="2811.12"/>
    <n v="2811.12"/>
    <n v="2811.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03 error: Error en envio de documeto '&lt;/p&gt;"/>
    <x v="0"/>
    <m/>
    <m/>
    <m/>
    <m/>
    <m/>
    <m/>
    <x v="0"/>
    <x v="0"/>
    <m/>
    <m/>
    <x v="18"/>
  </r>
  <r>
    <x v="285"/>
    <n v="0"/>
    <m/>
    <s v="(01) Factura"/>
    <x v="23"/>
    <x v="17"/>
    <d v="2025-01-23T00:00:00"/>
    <d v="2025-01-23T00:00:00"/>
    <m/>
    <m/>
    <s v="SAMUEL CHUQUISTA"/>
    <s v="Ventas"/>
    <m/>
    <s v="COLABORATIVA S.A.C."/>
    <n v="1468.68"/>
    <n v="264.36"/>
    <n v="1733.04"/>
    <n v="1733.04"/>
    <n v="1733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34 error: Error en envio de documeto '&lt;/p&gt;"/>
    <x v="0"/>
    <m/>
    <m/>
    <m/>
    <m/>
    <m/>
    <m/>
    <x v="0"/>
    <x v="0"/>
    <m/>
    <m/>
    <x v="18"/>
  </r>
  <r>
    <x v="286"/>
    <n v="0"/>
    <m/>
    <s v="(01) Factura"/>
    <x v="31"/>
    <x v="17"/>
    <d v="2025-01-23T00:00:00"/>
    <d v="2025-01-23T00:00:00"/>
    <m/>
    <m/>
    <s v="SAMUEL CHUQUISTA"/>
    <s v="Ventas"/>
    <m/>
    <s v="COLABORATIVA S.A.C."/>
    <n v="22"/>
    <n v="3.96"/>
    <n v="25.96"/>
    <n v="25.96"/>
    <n v="25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77 error: Error en envio de documeto '&lt;/p&gt;"/>
    <x v="0"/>
    <m/>
    <m/>
    <m/>
    <m/>
    <m/>
    <m/>
    <x v="0"/>
    <x v="0"/>
    <m/>
    <m/>
    <x v="18"/>
  </r>
  <r>
    <x v="287"/>
    <n v="0"/>
    <m/>
    <s v="(01) Factura"/>
    <x v="31"/>
    <x v="17"/>
    <d v="2025-01-23T00:00:00"/>
    <d v="2025-01-23T00:00:00"/>
    <m/>
    <m/>
    <s v="SAMUEL CHUQUISTA"/>
    <s v="Ventas"/>
    <m/>
    <s v="COLABORATIVA S.A.C."/>
    <n v="20.5"/>
    <n v="3.69"/>
    <n v="24.19"/>
    <n v="24.19"/>
    <n v="24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93 error: Error en envio de documeto '&lt;/p&gt;"/>
    <x v="0"/>
    <m/>
    <m/>
    <m/>
    <m/>
    <m/>
    <m/>
    <x v="0"/>
    <x v="0"/>
    <m/>
    <m/>
    <x v="18"/>
  </r>
  <r>
    <x v="288"/>
    <n v="0"/>
    <m/>
    <s v="(01) Factura"/>
    <x v="60"/>
    <x v="17"/>
    <d v="2025-01-23T00:00:00"/>
    <d v="2025-01-23T00:00:00"/>
    <m/>
    <m/>
    <s v="SAMUEL CHUQUISTA"/>
    <s v="Ventas"/>
    <m/>
    <s v="COLABORATIVA S.A.C."/>
    <n v="52.29"/>
    <n v="9.41"/>
    <n v="61.7"/>
    <n v="61.7"/>
    <n v="6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08 error: Error en envio de documeto '&lt;/p&gt;"/>
    <x v="0"/>
    <m/>
    <m/>
    <m/>
    <m/>
    <m/>
    <m/>
    <x v="0"/>
    <x v="0"/>
    <m/>
    <m/>
    <x v="18"/>
  </r>
  <r>
    <x v="289"/>
    <n v="0"/>
    <m/>
    <s v="(01) Factura"/>
    <x v="60"/>
    <x v="17"/>
    <d v="2025-01-23T00:00:00"/>
    <d v="2025-01-23T00:00:00"/>
    <m/>
    <m/>
    <s v="SAMUEL CHUQUISTA"/>
    <s v="Ventas"/>
    <m/>
    <s v="COLABORATIVA S.A.C."/>
    <n v="32.200000000000003"/>
    <n v="5.8"/>
    <n v="38"/>
    <n v="38"/>
    <n v="3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28 error: Error en envio de documeto '&lt;/p&gt;"/>
    <x v="0"/>
    <m/>
    <m/>
    <m/>
    <m/>
    <m/>
    <m/>
    <x v="0"/>
    <x v="0"/>
    <m/>
    <m/>
    <x v="18"/>
  </r>
  <r>
    <x v="290"/>
    <n v="0"/>
    <m/>
    <s v="(03) Boleta"/>
    <x v="35"/>
    <x v="17"/>
    <d v="2025-01-23T00:00:00"/>
    <d v="2025-01-23T00:00:00"/>
    <m/>
    <m/>
    <s v="SAMUEL CHUQUISTA"/>
    <s v="Ventas"/>
    <m/>
    <s v="COLABORATIVA S.A.C."/>
    <n v="1181.29"/>
    <n v="212.63"/>
    <n v="1393.92"/>
    <n v="1393.92"/>
    <n v="1393.9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45 error: Error en envio de documeto '&lt;/p&gt;"/>
    <x v="0"/>
    <m/>
    <m/>
    <m/>
    <m/>
    <m/>
    <m/>
    <x v="0"/>
    <x v="0"/>
    <m/>
    <m/>
    <x v="18"/>
  </r>
  <r>
    <x v="291"/>
    <n v="0"/>
    <m/>
    <s v="(03) Boleta"/>
    <x v="35"/>
    <x v="17"/>
    <d v="2025-01-23T00:00:00"/>
    <d v="2025-01-23T00:00:00"/>
    <m/>
    <m/>
    <s v="SAMUEL CHUQUISTA"/>
    <s v="Ventas"/>
    <m/>
    <s v="COLABORATIVA S.A.C."/>
    <n v="1028.46"/>
    <n v="185.12"/>
    <n v="1213.58"/>
    <n v="1213.58"/>
    <n v="1213.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63 error: Error en envio de documeto '&lt;/p&gt;"/>
    <x v="0"/>
    <m/>
    <m/>
    <m/>
    <m/>
    <m/>
    <m/>
    <x v="0"/>
    <x v="0"/>
    <m/>
    <m/>
    <x v="18"/>
  </r>
  <r>
    <x v="292"/>
    <n v="0"/>
    <m/>
    <s v="(03) Boleta"/>
    <x v="36"/>
    <x v="17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69 error: Error en envio de documeto '&lt;/p&gt;"/>
    <x v="0"/>
    <m/>
    <m/>
    <m/>
    <m/>
    <m/>
    <m/>
    <x v="0"/>
    <x v="0"/>
    <m/>
    <m/>
    <x v="18"/>
  </r>
  <r>
    <x v="293"/>
    <n v="0"/>
    <m/>
    <s v="(03) Boleta"/>
    <x v="36"/>
    <x v="17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92 error: Error en envio de documeto '&lt;/p&gt;"/>
    <x v="0"/>
    <m/>
    <m/>
    <m/>
    <m/>
    <m/>
    <m/>
    <x v="0"/>
    <x v="0"/>
    <m/>
    <m/>
    <x v="18"/>
  </r>
  <r>
    <x v="294"/>
    <n v="0"/>
    <m/>
    <s v="(03) Boleta"/>
    <x v="37"/>
    <x v="17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03 error: Error en envio de documeto '&lt;/p&gt;"/>
    <x v="0"/>
    <m/>
    <m/>
    <m/>
    <m/>
    <m/>
    <m/>
    <x v="0"/>
    <x v="0"/>
    <m/>
    <m/>
    <x v="18"/>
  </r>
  <r>
    <x v="295"/>
    <n v="0"/>
    <m/>
    <s v="(03) Boleta"/>
    <x v="37"/>
    <x v="17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23 error: Error en envio de documeto '&lt;/p&gt;"/>
    <x v="0"/>
    <m/>
    <m/>
    <m/>
    <m/>
    <m/>
    <m/>
    <x v="0"/>
    <x v="0"/>
    <m/>
    <m/>
    <x v="18"/>
  </r>
  <r>
    <x v="296"/>
    <n v="0"/>
    <m/>
    <s v="(03) Boleta"/>
    <x v="40"/>
    <x v="17"/>
    <d v="2025-01-23T00:00:00"/>
    <d v="2025-01-23T00:00:00"/>
    <m/>
    <m/>
    <s v="SAMUEL CHUQUISTA"/>
    <s v="Ventas"/>
    <m/>
    <s v="COLABORATIVA S.A.C."/>
    <n v="24.11"/>
    <n v="4.34"/>
    <n v="28.45"/>
    <n v="28.45"/>
    <n v="28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27 error: Error en envio de documeto '&lt;/p&gt;"/>
    <x v="0"/>
    <m/>
    <m/>
    <m/>
    <m/>
    <m/>
    <m/>
    <x v="0"/>
    <x v="0"/>
    <m/>
    <m/>
    <x v="18"/>
  </r>
  <r>
    <x v="297"/>
    <n v="0"/>
    <m/>
    <s v="(03) Boleta"/>
    <x v="40"/>
    <x v="17"/>
    <d v="2025-01-23T00:00:00"/>
    <d v="2025-01-23T00:00:00"/>
    <m/>
    <m/>
    <s v="SAMUEL CHUQUISTA"/>
    <s v="Ventas"/>
    <m/>
    <s v="COLABORATIVA S.A.C."/>
    <n v="20.99"/>
    <n v="3.78"/>
    <n v="24.77"/>
    <n v="24.77"/>
    <n v="24.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48 error: Error en envio de documeto '&lt;/p&gt;"/>
    <x v="0"/>
    <m/>
    <m/>
    <m/>
    <m/>
    <m/>
    <m/>
    <x v="0"/>
    <x v="0"/>
    <m/>
    <m/>
    <x v="18"/>
  </r>
  <r>
    <x v="298"/>
    <n v="0"/>
    <m/>
    <s v="(03) Boleta"/>
    <x v="35"/>
    <x v="17"/>
    <d v="2025-01-23T00:00:00"/>
    <d v="2025-01-23T00:00:00"/>
    <m/>
    <m/>
    <s v="SAMUEL CHUQUISTA"/>
    <s v="Ventas"/>
    <m/>
    <s v="COLABORATIVA S.A.C."/>
    <n v="1029.3599999999999"/>
    <n v="185.28"/>
    <n v="1214.6400000000001"/>
    <n v="1214.6400000000001"/>
    <n v="1214.64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59 error: Error en envio de documeto '&lt;/p&gt;"/>
    <x v="0"/>
    <m/>
    <m/>
    <m/>
    <m/>
    <m/>
    <m/>
    <x v="0"/>
    <x v="0"/>
    <m/>
    <m/>
    <x v="18"/>
  </r>
  <r>
    <x v="299"/>
    <n v="0"/>
    <m/>
    <s v="(03) Boleta"/>
    <x v="35"/>
    <x v="17"/>
    <d v="2025-01-23T00:00:00"/>
    <d v="2025-01-23T00:00:00"/>
    <m/>
    <m/>
    <s v="SAMUEL CHUQUISTA"/>
    <s v="Ventas"/>
    <m/>
    <s v="COLABORATIVA S.A.C."/>
    <n v="886.52"/>
    <n v="159.57"/>
    <n v="1046.0899999999999"/>
    <n v="1046.0899999999999"/>
    <n v="1046.08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80 error: Error en envio de documeto '&lt;/p&gt;"/>
    <x v="0"/>
    <m/>
    <m/>
    <m/>
    <m/>
    <m/>
    <m/>
    <x v="0"/>
    <x v="0"/>
    <m/>
    <m/>
    <x v="18"/>
  </r>
  <r>
    <x v="300"/>
    <n v="0"/>
    <m/>
    <s v="(03) Boleta"/>
    <x v="36"/>
    <x v="17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86 error: Error en envio de documeto '&lt;/p&gt;"/>
    <x v="0"/>
    <m/>
    <m/>
    <m/>
    <m/>
    <m/>
    <m/>
    <x v="0"/>
    <x v="0"/>
    <m/>
    <m/>
    <x v="18"/>
  </r>
  <r>
    <x v="301"/>
    <n v="0"/>
    <m/>
    <s v="(03) Boleta"/>
    <x v="36"/>
    <x v="17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02 error: Error en envio de documeto '&lt;/p&gt;"/>
    <x v="0"/>
    <m/>
    <m/>
    <m/>
    <m/>
    <m/>
    <m/>
    <x v="0"/>
    <x v="0"/>
    <m/>
    <m/>
    <x v="18"/>
  </r>
  <r>
    <x v="302"/>
    <n v="0"/>
    <m/>
    <s v="(03) Boleta"/>
    <x v="37"/>
    <x v="17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30 error: Error en envio de documeto '&lt;/p&gt;"/>
    <x v="0"/>
    <m/>
    <m/>
    <m/>
    <m/>
    <m/>
    <m/>
    <x v="0"/>
    <x v="0"/>
    <m/>
    <m/>
    <x v="18"/>
  </r>
  <r>
    <x v="303"/>
    <n v="0"/>
    <m/>
    <s v="(03) Boleta"/>
    <x v="37"/>
    <x v="17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43 error: Error en envio de documeto '&lt;/p&gt;"/>
    <x v="0"/>
    <m/>
    <m/>
    <m/>
    <m/>
    <m/>
    <m/>
    <x v="0"/>
    <x v="0"/>
    <m/>
    <m/>
    <x v="18"/>
  </r>
  <r>
    <x v="304"/>
    <n v="0"/>
    <m/>
    <s v="(03) Boleta"/>
    <x v="40"/>
    <x v="17"/>
    <d v="2025-01-23T00:00:00"/>
    <d v="2025-01-23T00:00:00"/>
    <m/>
    <m/>
    <s v="SAMUEL CHUQUISTA"/>
    <s v="Ventas"/>
    <m/>
    <s v="COLABORATIVA S.A.C."/>
    <n v="21.01"/>
    <n v="3.78"/>
    <n v="24.79"/>
    <n v="24.79"/>
    <n v="24.7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54 error: Error en envio de documeto '&lt;/p&gt;"/>
    <x v="0"/>
    <m/>
    <m/>
    <m/>
    <m/>
    <m/>
    <m/>
    <x v="0"/>
    <x v="0"/>
    <m/>
    <m/>
    <x v="18"/>
  </r>
  <r>
    <x v="305"/>
    <n v="0"/>
    <m/>
    <s v="(03) Boleta"/>
    <x v="40"/>
    <x v="17"/>
    <d v="2025-01-23T00:00:00"/>
    <d v="2025-01-23T00:00:00"/>
    <m/>
    <m/>
    <s v="SAMUEL CHUQUISTA"/>
    <s v="Ventas"/>
    <m/>
    <s v="COLABORATIVA S.A.C."/>
    <n v="18.09"/>
    <n v="3.26"/>
    <n v="21.35"/>
    <n v="21.35"/>
    <n v="21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66 error: Error en envio de documeto '&lt;/p&gt;"/>
    <x v="0"/>
    <m/>
    <m/>
    <m/>
    <m/>
    <m/>
    <m/>
    <x v="0"/>
    <x v="0"/>
    <m/>
    <m/>
    <x v="18"/>
  </r>
  <r>
    <x v="306"/>
    <n v="0"/>
    <m/>
    <s v="(03) Boleta"/>
    <x v="35"/>
    <x v="17"/>
    <d v="2025-01-23T00:00:00"/>
    <d v="2025-01-23T00:00:00"/>
    <m/>
    <m/>
    <s v="SAMUEL CHUQUISTA"/>
    <s v="Ventas"/>
    <m/>
    <s v="COLABORATIVA S.A.C."/>
    <n v="293.38"/>
    <n v="52.81"/>
    <n v="346.19"/>
    <n v="346.19"/>
    <n v="346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75 error: Error en envio de documeto '&lt;/p&gt;"/>
    <x v="0"/>
    <m/>
    <m/>
    <m/>
    <m/>
    <m/>
    <m/>
    <x v="0"/>
    <x v="0"/>
    <m/>
    <m/>
    <x v="18"/>
  </r>
  <r>
    <x v="307"/>
    <n v="0"/>
    <m/>
    <s v="(03) Boleta"/>
    <x v="35"/>
    <x v="17"/>
    <d v="2025-01-23T00:00:00"/>
    <d v="2025-01-23T00:00:00"/>
    <m/>
    <m/>
    <s v="SAMUEL CHUQUISTA"/>
    <s v="Ventas"/>
    <m/>
    <s v="COLABORATIVA S.A.C."/>
    <n v="248.53"/>
    <n v="44.73"/>
    <n v="293.26"/>
    <n v="293.26"/>
    <n v="293.2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81 error: Error en envio de documeto '&lt;/p&gt;"/>
    <x v="0"/>
    <m/>
    <m/>
    <m/>
    <m/>
    <m/>
    <m/>
    <x v="0"/>
    <x v="0"/>
    <m/>
    <m/>
    <x v="18"/>
  </r>
  <r>
    <x v="308"/>
    <n v="0"/>
    <m/>
    <s v="(03) Boleta"/>
    <x v="36"/>
    <x v="17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88 error: Error en envio de documeto '&lt;/p&gt;"/>
    <x v="0"/>
    <m/>
    <m/>
    <m/>
    <m/>
    <m/>
    <m/>
    <x v="0"/>
    <x v="0"/>
    <m/>
    <m/>
    <x v="18"/>
  </r>
  <r>
    <x v="309"/>
    <n v="0"/>
    <m/>
    <s v="(03) Boleta"/>
    <x v="36"/>
    <x v="17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96 error: Error en envio de documeto '&lt;/p&gt;"/>
    <x v="0"/>
    <m/>
    <m/>
    <m/>
    <m/>
    <m/>
    <m/>
    <x v="0"/>
    <x v="0"/>
    <m/>
    <m/>
    <x v="18"/>
  </r>
  <r>
    <x v="310"/>
    <n v="0"/>
    <m/>
    <s v="(03) Boleta"/>
    <x v="37"/>
    <x v="17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08 error: Error en envio de documeto '&lt;/p&gt;"/>
    <x v="0"/>
    <m/>
    <m/>
    <m/>
    <m/>
    <m/>
    <m/>
    <x v="0"/>
    <x v="0"/>
    <m/>
    <m/>
    <x v="18"/>
  </r>
  <r>
    <x v="311"/>
    <n v="0"/>
    <m/>
    <s v="(03) Boleta"/>
    <x v="37"/>
    <x v="17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14 error: Error en envio de documeto '&lt;/p&gt;"/>
    <x v="0"/>
    <m/>
    <m/>
    <m/>
    <m/>
    <m/>
    <m/>
    <x v="0"/>
    <x v="0"/>
    <m/>
    <m/>
    <x v="18"/>
  </r>
  <r>
    <x v="312"/>
    <n v="0"/>
    <m/>
    <s v="(03) Boleta"/>
    <x v="40"/>
    <x v="17"/>
    <d v="2025-01-23T00:00:00"/>
    <d v="2025-01-23T00:00:00"/>
    <m/>
    <m/>
    <s v="SAMUEL CHUQUISTA"/>
    <s v="Ventas"/>
    <m/>
    <s v="COLABORATIVA S.A.C."/>
    <n v="5.99"/>
    <n v="1.08"/>
    <n v="7.07"/>
    <n v="7.07"/>
    <n v="7.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24 error: Error en envio de documeto '&lt;/p&gt;"/>
    <x v="0"/>
    <m/>
    <m/>
    <m/>
    <m/>
    <m/>
    <m/>
    <x v="0"/>
    <x v="0"/>
    <m/>
    <m/>
    <x v="18"/>
  </r>
  <r>
    <x v="313"/>
    <n v="0"/>
    <m/>
    <s v="(03) Boleta"/>
    <x v="40"/>
    <x v="17"/>
    <d v="2025-01-23T00:00:00"/>
    <d v="2025-01-23T00:00:00"/>
    <m/>
    <m/>
    <s v="SAMUEL CHUQUISTA"/>
    <s v="Ventas"/>
    <m/>
    <s v="COLABORATIVA S.A.C."/>
    <n v="5.07"/>
    <n v="0.91"/>
    <n v="5.98"/>
    <n v="5.98"/>
    <n v="5.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37 error: Error en envio de documeto '&lt;/p&gt;"/>
    <x v="0"/>
    <m/>
    <m/>
    <m/>
    <m/>
    <m/>
    <m/>
    <x v="0"/>
    <x v="0"/>
    <m/>
    <m/>
    <x v="18"/>
  </r>
  <r>
    <x v="314"/>
    <n v="0"/>
    <m/>
    <s v="(03) Boleta"/>
    <x v="61"/>
    <x v="17"/>
    <d v="2025-01-23T00:00:00"/>
    <d v="2025-01-23T00:00:00"/>
    <m/>
    <m/>
    <s v="SAMUEL CHUQUISTA"/>
    <s v="Ventas"/>
    <m/>
    <s v="COLABORATIVA S.A.C."/>
    <n v="46.78"/>
    <n v="8.42"/>
    <n v="55.2"/>
    <n v="55.2"/>
    <n v="55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64 error: Error en envio de documeto '&lt;/p&gt;"/>
    <x v="0"/>
    <m/>
    <m/>
    <m/>
    <m/>
    <m/>
    <m/>
    <x v="0"/>
    <x v="0"/>
    <m/>
    <m/>
    <x v="18"/>
  </r>
  <r>
    <x v="315"/>
    <n v="0"/>
    <m/>
    <s v="(03) Boleta"/>
    <x v="61"/>
    <x v="17"/>
    <d v="2025-01-23T00:00:00"/>
    <d v="2025-01-23T00:00:00"/>
    <m/>
    <m/>
    <s v="SAMUEL CHUQUISTA"/>
    <s v="Ventas"/>
    <m/>
    <s v="COLABORATIVA S.A.C."/>
    <n v="32.880000000000003"/>
    <n v="5.92"/>
    <n v="38.799999999999997"/>
    <n v="38.799999999999997"/>
    <n v="38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73 error: Error en envio de documeto '&lt;/p&gt;"/>
    <x v="0"/>
    <m/>
    <m/>
    <m/>
    <m/>
    <m/>
    <m/>
    <x v="0"/>
    <x v="0"/>
    <m/>
    <m/>
    <x v="18"/>
  </r>
  <r>
    <x v="316"/>
    <n v="0"/>
    <m/>
    <s v="(03) Boleta"/>
    <x v="9"/>
    <x v="17"/>
    <d v="2025-01-23T00:00:00"/>
    <d v="2025-01-23T00:00:00"/>
    <m/>
    <m/>
    <s v="SAMUEL CHUQUISTA"/>
    <s v="Ventas"/>
    <m/>
    <s v="COLABORATIVA S.A.C."/>
    <n v="65"/>
    <n v="11.7"/>
    <n v="76.7"/>
    <n v="76.7"/>
    <n v="7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83 error: Error en envio de documeto '&lt;/p&gt;"/>
    <x v="0"/>
    <m/>
    <m/>
    <m/>
    <m/>
    <m/>
    <m/>
    <x v="0"/>
    <x v="0"/>
    <m/>
    <m/>
    <x v="18"/>
  </r>
  <r>
    <x v="317"/>
    <n v="0"/>
    <m/>
    <s v="(03) Boleta"/>
    <x v="9"/>
    <x v="17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89 error: Error en envio de documeto '&lt;/p&gt;"/>
    <x v="0"/>
    <m/>
    <m/>
    <m/>
    <m/>
    <m/>
    <m/>
    <x v="0"/>
    <x v="0"/>
    <m/>
    <m/>
    <x v="18"/>
  </r>
  <r>
    <x v="318"/>
    <n v="0"/>
    <m/>
    <s v="(03) Boleta"/>
    <x v="9"/>
    <x v="17"/>
    <d v="2025-01-23T00:00:00"/>
    <d v="2025-01-23T00:00:00"/>
    <m/>
    <m/>
    <s v="SAMUEL CHUQUISTA"/>
    <s v="Ventas"/>
    <m/>
    <s v="COLABORATIVA S.A.C."/>
    <n v="660"/>
    <n v="118.8"/>
    <n v="778.8"/>
    <n v="778.8"/>
    <n v="778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96 error: Error en envio de documeto '&lt;/p&gt;"/>
    <x v="0"/>
    <m/>
    <m/>
    <m/>
    <m/>
    <m/>
    <m/>
    <x v="0"/>
    <x v="0"/>
    <m/>
    <m/>
    <x v="18"/>
  </r>
  <r>
    <x v="319"/>
    <n v="0"/>
    <m/>
    <s v="(03) Boleta"/>
    <x v="9"/>
    <x v="17"/>
    <d v="2025-01-23T00:00:00"/>
    <d v="2025-01-23T00:00:00"/>
    <m/>
    <m/>
    <s v="SAMUEL CHUQUISTA"/>
    <s v="Ventas"/>
    <m/>
    <s v="COLABORATIVA S.A.C."/>
    <n v="281.61"/>
    <n v="50.69"/>
    <n v="332.3"/>
    <n v="332.3"/>
    <n v="332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13 error: Error en envio de documeto '&lt;/p&gt;"/>
    <x v="0"/>
    <m/>
    <m/>
    <m/>
    <m/>
    <m/>
    <m/>
    <x v="0"/>
    <x v="0"/>
    <m/>
    <m/>
    <x v="18"/>
  </r>
  <r>
    <x v="320"/>
    <n v="0"/>
    <m/>
    <s v="(03) Boleta"/>
    <x v="9"/>
    <x v="17"/>
    <d v="2025-01-23T00:00:00"/>
    <d v="2025-01-23T00:00:00"/>
    <m/>
    <m/>
    <s v="SAMUEL CHUQUISTA"/>
    <s v="Ventas"/>
    <m/>
    <s v="COLABORATIVA S.A.C."/>
    <n v="238.98"/>
    <n v="43.02"/>
    <n v="282"/>
    <n v="282"/>
    <n v="28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19 error: Error en envio de documeto '&lt;/p&gt;"/>
    <x v="0"/>
    <m/>
    <m/>
    <m/>
    <m/>
    <m/>
    <m/>
    <x v="0"/>
    <x v="0"/>
    <m/>
    <m/>
    <x v="18"/>
  </r>
  <r>
    <x v="321"/>
    <n v="0"/>
    <m/>
    <s v="(03) Boleta"/>
    <x v="62"/>
    <x v="17"/>
    <d v="2025-01-23T00:00:00"/>
    <d v="2025-01-23T00:00:00"/>
    <m/>
    <m/>
    <s v="SAMUEL CHUQUISTA"/>
    <s v="Ventas"/>
    <m/>
    <s v="COLABORATIVA S.A.C."/>
    <n v="19.41"/>
    <n v="3.49"/>
    <n v="22.9"/>
    <n v="22.9"/>
    <n v="22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34 error: Error en envio de documeto '&lt;/p&gt;"/>
    <x v="0"/>
    <m/>
    <m/>
    <m/>
    <m/>
    <m/>
    <m/>
    <x v="0"/>
    <x v="0"/>
    <m/>
    <m/>
    <x v="18"/>
  </r>
  <r>
    <x v="322"/>
    <n v="0"/>
    <m/>
    <s v="(03) Boleta"/>
    <x v="62"/>
    <x v="17"/>
    <d v="2025-01-23T00:00:00"/>
    <d v="2025-01-23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41 error: Error en envio de documeto '&lt;/p&gt;"/>
    <x v="0"/>
    <m/>
    <m/>
    <m/>
    <m/>
    <m/>
    <m/>
    <x v="0"/>
    <x v="0"/>
    <m/>
    <m/>
    <x v="18"/>
  </r>
  <r>
    <x v="323"/>
    <n v="0"/>
    <m/>
    <s v="(01) Factura"/>
    <x v="63"/>
    <x v="18"/>
    <d v="2025-01-16T00:00:00"/>
    <d v="2025-01-16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55 error: Error en envio de documeto '&lt;/p&gt;"/>
    <x v="0"/>
    <m/>
    <m/>
    <m/>
    <m/>
    <m/>
    <m/>
    <x v="0"/>
    <x v="0"/>
    <m/>
    <m/>
    <x v="19"/>
  </r>
  <r>
    <x v="324"/>
    <n v="0"/>
    <m/>
    <s v="(01) Factura"/>
    <x v="14"/>
    <x v="18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85 error: Error en envio de documeto '&lt;/p&gt;"/>
    <x v="0"/>
    <m/>
    <m/>
    <m/>
    <m/>
    <m/>
    <m/>
    <x v="0"/>
    <x v="0"/>
    <m/>
    <m/>
    <x v="19"/>
  </r>
  <r>
    <x v="325"/>
    <n v="0"/>
    <m/>
    <s v="(01) Factura"/>
    <x v="14"/>
    <x v="18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08 error: Error en envio de documeto '&lt;/p&gt;"/>
    <x v="0"/>
    <m/>
    <m/>
    <m/>
    <m/>
    <m/>
    <m/>
    <x v="0"/>
    <x v="0"/>
    <m/>
    <m/>
    <x v="19"/>
  </r>
  <r>
    <x v="326"/>
    <n v="0"/>
    <m/>
    <s v="(01) Factura"/>
    <x v="14"/>
    <x v="18"/>
    <d v="2025-01-16T00:00:00"/>
    <d v="2025-01-16T00:00:00"/>
    <m/>
    <m/>
    <s v="SAMUEL CHUQUISTA"/>
    <s v="Ventas"/>
    <m/>
    <s v="COLABORATIVA S.A.C."/>
    <n v="209.66"/>
    <n v="37.74"/>
    <n v="247.4"/>
    <n v="247.4"/>
    <n v="247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31 error: Error en envio de documeto '&lt;/p&gt;"/>
    <x v="0"/>
    <m/>
    <m/>
    <m/>
    <m/>
    <m/>
    <m/>
    <x v="0"/>
    <x v="0"/>
    <m/>
    <m/>
    <x v="19"/>
  </r>
  <r>
    <x v="327"/>
    <n v="0"/>
    <m/>
    <s v="(01) Factura"/>
    <x v="24"/>
    <x v="19"/>
    <d v="2025-01-15T00:00:00"/>
    <d v="2025-01-15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61 error: Error en envio de documeto '&lt;/p&gt;"/>
    <x v="0"/>
    <m/>
    <m/>
    <m/>
    <m/>
    <m/>
    <m/>
    <x v="0"/>
    <x v="0"/>
    <m/>
    <m/>
    <x v="20"/>
  </r>
  <r>
    <x v="328"/>
    <n v="0"/>
    <m/>
    <s v="(01) Factura"/>
    <x v="24"/>
    <x v="19"/>
    <d v="2025-01-15T00:00:00"/>
    <d v="2025-01-15T00:00:00"/>
    <m/>
    <m/>
    <s v="SAMUEL CHUQUISTA"/>
    <s v="Ventas"/>
    <m/>
    <s v="COLABORATIVA S.A.C."/>
    <n v="933.64"/>
    <n v="168.06"/>
    <n v="1101.7"/>
    <n v="1101.7"/>
    <n v="110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82 error: Error en envio de documeto '&lt;/p&gt;"/>
    <x v="0"/>
    <m/>
    <m/>
    <m/>
    <m/>
    <m/>
    <m/>
    <x v="0"/>
    <x v="0"/>
    <m/>
    <m/>
    <x v="20"/>
  </r>
  <r>
    <x v="329"/>
    <n v="0"/>
    <m/>
    <s v="(01) Factura"/>
    <x v="24"/>
    <x v="19"/>
    <d v="2025-01-15T00:00:00"/>
    <d v="2025-01-15T00:00:00"/>
    <m/>
    <m/>
    <s v="SAMUEL CHUQUISTA"/>
    <s v="Ventas"/>
    <m/>
    <s v="COLABORATIVA S.A.C."/>
    <n v="364.66"/>
    <n v="65.64"/>
    <n v="430.3"/>
    <n v="430.3"/>
    <n v="43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93 error: Error en envio de documeto '&lt;/p&gt;"/>
    <x v="0"/>
    <m/>
    <m/>
    <m/>
    <m/>
    <m/>
    <m/>
    <x v="0"/>
    <x v="0"/>
    <m/>
    <m/>
    <x v="20"/>
  </r>
  <r>
    <x v="330"/>
    <n v="0"/>
    <m/>
    <s v="(01) Factura"/>
    <x v="28"/>
    <x v="19"/>
    <d v="2025-01-15T00:00:00"/>
    <d v="2025-01-15T00:00:00"/>
    <m/>
    <m/>
    <s v="SAMUEL CHUQUISTA"/>
    <s v="Ventas"/>
    <m/>
    <s v="COLABORATIVA S.A.C."/>
    <n v="7.5"/>
    <n v="1.35"/>
    <n v="8.85"/>
    <n v="8.85"/>
    <n v="8.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97 error: Error en envio de documeto '&lt;/p&gt;"/>
    <x v="0"/>
    <m/>
    <m/>
    <m/>
    <m/>
    <m/>
    <m/>
    <x v="0"/>
    <x v="0"/>
    <m/>
    <m/>
    <x v="20"/>
  </r>
  <r>
    <x v="331"/>
    <n v="0"/>
    <m/>
    <s v="(01) Factura"/>
    <x v="28"/>
    <x v="19"/>
    <d v="2025-01-15T00:00:00"/>
    <d v="2025-01-15T00:00:00"/>
    <m/>
    <m/>
    <s v="SAMUEL CHUQUISTA"/>
    <s v="Ventas"/>
    <m/>
    <s v="COLABORATIVA S.A.C."/>
    <n v="95"/>
    <n v="17.100000000000001"/>
    <n v="112.1"/>
    <n v="112.1"/>
    <n v="112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04 error: Error en envio de documeto '&lt;/p&gt;"/>
    <x v="0"/>
    <m/>
    <m/>
    <m/>
    <m/>
    <m/>
    <m/>
    <x v="0"/>
    <x v="0"/>
    <m/>
    <m/>
    <x v="20"/>
  </r>
  <r>
    <x v="332"/>
    <n v="0"/>
    <m/>
    <s v="(01) Factura"/>
    <x v="28"/>
    <x v="19"/>
    <d v="2025-01-15T00:00:00"/>
    <d v="2025-01-15T00:00:00"/>
    <m/>
    <m/>
    <s v="SAMUEL CHUQUISTA"/>
    <s v="Ventas"/>
    <m/>
    <s v="COLABORATIVA S.A.C."/>
    <n v="56.69"/>
    <n v="10.210000000000001"/>
    <n v="66.900000000000006"/>
    <n v="66.900000000000006"/>
    <n v="66.9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20 error: Error en envio de documeto '&lt;/p&gt;"/>
    <x v="0"/>
    <m/>
    <m/>
    <m/>
    <m/>
    <m/>
    <m/>
    <x v="0"/>
    <x v="0"/>
    <m/>
    <m/>
    <x v="20"/>
  </r>
  <r>
    <x v="333"/>
    <n v="0"/>
    <m/>
    <s v="(03) Boleta"/>
    <x v="64"/>
    <x v="19"/>
    <d v="2025-01-15T00:00:00"/>
    <d v="2025-01-15T00:00:00"/>
    <m/>
    <m/>
    <s v="SAMUEL CHUQUISTA"/>
    <s v="Ventas"/>
    <m/>
    <s v="COLABORATIVA S.A.C."/>
    <n v="109.83"/>
    <n v="19.77"/>
    <n v="129.6"/>
    <n v="129.6"/>
    <n v="12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41 error: Error en envio de documeto '&lt;/p&gt;"/>
    <x v="0"/>
    <m/>
    <m/>
    <m/>
    <m/>
    <m/>
    <m/>
    <x v="0"/>
    <x v="0"/>
    <m/>
    <m/>
    <x v="20"/>
  </r>
  <r>
    <x v="334"/>
    <n v="0"/>
    <m/>
    <s v="(03) Boleta"/>
    <x v="64"/>
    <x v="19"/>
    <d v="2025-01-15T00:00:00"/>
    <d v="2025-01-15T00:00:00"/>
    <m/>
    <m/>
    <s v="SAMUEL CHUQUISTA"/>
    <s v="Ventas"/>
    <m/>
    <s v="COLABORATIVA S.A.C."/>
    <n v="61.02"/>
    <n v="10.98"/>
    <n v="72"/>
    <n v="72"/>
    <n v="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54 error: Error en envio de documeto '&lt;/p&gt;"/>
    <x v="0"/>
    <m/>
    <m/>
    <m/>
    <m/>
    <m/>
    <m/>
    <x v="0"/>
    <x v="0"/>
    <m/>
    <m/>
    <x v="20"/>
  </r>
  <r>
    <x v="335"/>
    <n v="0"/>
    <m/>
    <s v="(03) Boleta"/>
    <x v="42"/>
    <x v="19"/>
    <d v="2025-01-15T00:00:00"/>
    <d v="2025-01-15T00:00:00"/>
    <m/>
    <m/>
    <s v="SAMUEL CHUQUISTA"/>
    <s v="Ventas"/>
    <m/>
    <s v="COLABORATIVA S.A.C."/>
    <n v="518.80999999999995"/>
    <n v="93.39"/>
    <n v="612.20000000000005"/>
    <n v="612.20000000000005"/>
    <n v="612.2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71 error: Error en envio de documeto '&lt;/p&gt;"/>
    <x v="0"/>
    <m/>
    <m/>
    <m/>
    <m/>
    <m/>
    <m/>
    <x v="0"/>
    <x v="0"/>
    <m/>
    <m/>
    <x v="20"/>
  </r>
  <r>
    <x v="336"/>
    <n v="0"/>
    <m/>
    <s v="(03) Boleta"/>
    <x v="42"/>
    <x v="19"/>
    <d v="2025-01-15T00:00:00"/>
    <d v="2025-01-15T00:00:00"/>
    <m/>
    <m/>
    <s v="SAMUEL CHUQUISTA"/>
    <s v="Ventas"/>
    <m/>
    <s v="COLABORATIVA S.A.C."/>
    <n v="511.53"/>
    <n v="92.07"/>
    <n v="603.6"/>
    <n v="603.6"/>
    <n v="60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79 error: Error en envio de documeto '&lt;/p&gt;"/>
    <x v="0"/>
    <m/>
    <m/>
    <m/>
    <m/>
    <m/>
    <m/>
    <x v="0"/>
    <x v="0"/>
    <m/>
    <m/>
    <x v="20"/>
  </r>
  <r>
    <x v="337"/>
    <n v="0"/>
    <m/>
    <s v="(01) Factura"/>
    <x v="14"/>
    <x v="20"/>
    <d v="2025-01-09T00:00:00"/>
    <d v="2025-01-09T00:00:00"/>
    <m/>
    <m/>
    <s v="SAMUEL CHUQUISTA"/>
    <s v="Ventas"/>
    <m/>
    <s v="COLABORATIVA S.A.C."/>
    <n v="976.5"/>
    <n v="175.77"/>
    <n v="1152.27"/>
    <n v="1152.27"/>
    <n v="1152.2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96 error: Error en envio de documeto '&lt;/p&gt;"/>
    <x v="0"/>
    <m/>
    <m/>
    <m/>
    <m/>
    <m/>
    <m/>
    <x v="0"/>
    <x v="0"/>
    <m/>
    <m/>
    <x v="21"/>
  </r>
  <r>
    <x v="338"/>
    <n v="0"/>
    <m/>
    <s v="(01) Factura"/>
    <x v="14"/>
    <x v="20"/>
    <d v="2025-01-09T00:00:00"/>
    <d v="2025-01-09T00:00:00"/>
    <m/>
    <m/>
    <s v="SAMUEL CHUQUISTA"/>
    <s v="Ventas"/>
    <m/>
    <s v="COLABORATIVA S.A.C."/>
    <n v="970"/>
    <n v="174.6"/>
    <n v="1144.5999999999999"/>
    <n v="1144.5999999999999"/>
    <n v="1144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04 error: Error en envio de documeto '&lt;/p&gt;"/>
    <x v="0"/>
    <m/>
    <m/>
    <m/>
    <m/>
    <m/>
    <m/>
    <x v="0"/>
    <x v="0"/>
    <m/>
    <m/>
    <x v="21"/>
  </r>
  <r>
    <x v="339"/>
    <n v="0"/>
    <m/>
    <s v="(01) Factura"/>
    <x v="5"/>
    <x v="21"/>
    <d v="2025-01-08T00:00:00"/>
    <d v="2025-01-08T00:00:00"/>
    <m/>
    <m/>
    <s v="SAMUEL CHUQUISTA"/>
    <s v="Ventas"/>
    <m/>
    <s v="COLABORATIVA S.A.C."/>
    <n v="44.97"/>
    <n v="8.1"/>
    <n v="53.07"/>
    <n v="53.07"/>
    <n v="53.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22 error: Error en envio de documeto '&lt;/p&gt;"/>
    <x v="0"/>
    <m/>
    <m/>
    <m/>
    <m/>
    <m/>
    <m/>
    <x v="0"/>
    <x v="0"/>
    <m/>
    <m/>
    <x v="22"/>
  </r>
  <r>
    <x v="340"/>
    <n v="0"/>
    <m/>
    <s v="(01) Factura"/>
    <x v="5"/>
    <x v="21"/>
    <d v="2025-01-08T00:00:00"/>
    <d v="2025-01-08T00:00:00"/>
    <m/>
    <m/>
    <s v="SAMUEL CHUQUISTA"/>
    <s v="Ventas"/>
    <m/>
    <s v="COLABORATIVA S.A.C."/>
    <n v="210"/>
    <n v="37.799999999999997"/>
    <n v="247.8"/>
    <n v="247.8"/>
    <n v="247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29 error: Error en envio de documeto '&lt;/p&gt;"/>
    <x v="0"/>
    <m/>
    <m/>
    <m/>
    <m/>
    <m/>
    <m/>
    <x v="0"/>
    <x v="0"/>
    <m/>
    <m/>
    <x v="22"/>
  </r>
  <r>
    <x v="341"/>
    <n v="0"/>
    <m/>
    <s v="(01) Factura"/>
    <x v="5"/>
    <x v="21"/>
    <d v="2025-01-08T00:00:00"/>
    <d v="2025-01-08T00:00:00"/>
    <m/>
    <m/>
    <s v="SAMUEL CHUQUISTA"/>
    <s v="Ventas"/>
    <m/>
    <s v="COLABORATIVA S.A.C."/>
    <n v="2551.0300000000002"/>
    <n v="459.18"/>
    <n v="3010.21"/>
    <n v="3010.21"/>
    <n v="3010.2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36 error: Error en envio de documeto '&lt;/p&gt;"/>
    <x v="0"/>
    <m/>
    <m/>
    <m/>
    <m/>
    <m/>
    <m/>
    <x v="0"/>
    <x v="0"/>
    <m/>
    <m/>
    <x v="22"/>
  </r>
  <r>
    <x v="342"/>
    <n v="0"/>
    <m/>
    <s v="(01) Factura"/>
    <x v="5"/>
    <x v="21"/>
    <d v="2025-01-08T00:00:00"/>
    <d v="2025-01-08T00:00:00"/>
    <m/>
    <m/>
    <s v="SAMUEL CHUQUISTA"/>
    <s v="Ventas"/>
    <m/>
    <s v="COLABORATIVA S.A.C."/>
    <n v="1594.55"/>
    <n v="287.02"/>
    <n v="1881.57"/>
    <n v="1881.57"/>
    <n v="1881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43 error: Error en envio de documeto '&lt;/p&gt;"/>
    <x v="0"/>
    <m/>
    <m/>
    <m/>
    <m/>
    <m/>
    <m/>
    <x v="0"/>
    <x v="0"/>
    <m/>
    <m/>
    <x v="22"/>
  </r>
  <r>
    <x v="343"/>
    <n v="0"/>
    <m/>
    <s v="(01) Factura"/>
    <x v="14"/>
    <x v="21"/>
    <d v="2025-01-08T00:00:00"/>
    <d v="2025-01-08T00:00:00"/>
    <m/>
    <m/>
    <s v="SAMUEL CHUQUISTA"/>
    <s v="Ventas"/>
    <m/>
    <s v="COLABORATIVA S.A.C."/>
    <n v="83.53"/>
    <n v="15.03"/>
    <n v="98.56"/>
    <n v="98.56"/>
    <n v="98.5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54 error: Error en envio de documeto '&lt;/p&gt;"/>
    <x v="0"/>
    <m/>
    <m/>
    <m/>
    <m/>
    <m/>
    <m/>
    <x v="0"/>
    <x v="0"/>
    <m/>
    <m/>
    <x v="22"/>
  </r>
  <r>
    <x v="344"/>
    <n v="0"/>
    <m/>
    <s v="(01) Factura"/>
    <x v="14"/>
    <x v="21"/>
    <d v="2025-01-08T00:00:00"/>
    <d v="2025-01-08T00:00:00"/>
    <m/>
    <m/>
    <s v="SAMUEL CHUQUISTA"/>
    <s v="Ventas"/>
    <m/>
    <s v="COLABORATIVA S.A.C."/>
    <n v="4737.62"/>
    <n v="852.77"/>
    <n v="5590.39"/>
    <n v="5590.39"/>
    <n v="5590.3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63 error: Error en envio de documeto '&lt;/p&gt;"/>
    <x v="0"/>
    <m/>
    <m/>
    <m/>
    <m/>
    <m/>
    <m/>
    <x v="0"/>
    <x v="0"/>
    <m/>
    <m/>
    <x v="22"/>
  </r>
  <r>
    <x v="345"/>
    <n v="0"/>
    <m/>
    <s v="(01) Factura"/>
    <x v="14"/>
    <x v="21"/>
    <d v="2025-01-08T00:00:00"/>
    <d v="2025-01-08T00:00:00"/>
    <m/>
    <m/>
    <s v="SAMUEL CHUQUISTA"/>
    <s v="Ventas"/>
    <m/>
    <s v="COLABORATIVA S.A.C."/>
    <n v="2961.31"/>
    <n v="533.03"/>
    <n v="3494.34"/>
    <n v="3494.34"/>
    <n v="3494.3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72 error: Error en envio de documeto '&lt;/p&gt;"/>
    <x v="0"/>
    <m/>
    <m/>
    <m/>
    <m/>
    <m/>
    <m/>
    <x v="0"/>
    <x v="0"/>
    <m/>
    <m/>
    <x v="22"/>
  </r>
  <r>
    <x v="346"/>
    <n v="0"/>
    <m/>
    <s v="(01) Factura"/>
    <x v="14"/>
    <x v="21"/>
    <d v="2025-01-08T00:00:00"/>
    <d v="2025-01-08T00:00:00"/>
    <m/>
    <m/>
    <s v="SAMUEL CHUQUISTA"/>
    <s v="Ventas"/>
    <m/>
    <s v="COLABORATIVA S.A.C."/>
    <n v="390"/>
    <n v="70.2"/>
    <n v="460.2"/>
    <n v="460.2"/>
    <n v="460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88 error: Error en envio de documeto '&lt;/p&gt;"/>
    <x v="0"/>
    <m/>
    <m/>
    <m/>
    <m/>
    <m/>
    <m/>
    <x v="0"/>
    <x v="0"/>
    <m/>
    <m/>
    <x v="22"/>
  </r>
  <r>
    <x v="347"/>
    <n v="0"/>
    <m/>
    <s v="(01) Factura"/>
    <x v="65"/>
    <x v="21"/>
    <d v="2025-01-08T00:00:00"/>
    <d v="2025-01-08T00:00:00"/>
    <m/>
    <m/>
    <s v="SAMUEL CHUQUISTA"/>
    <s v="Ventas"/>
    <m/>
    <s v="COLABORATIVA S.A.C."/>
    <n v="788.9"/>
    <n v="142"/>
    <n v="930.9"/>
    <n v="930.9"/>
    <n v="930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04 error: Error en envio de documeto '&lt;/p&gt;"/>
    <x v="0"/>
    <m/>
    <m/>
    <m/>
    <m/>
    <m/>
    <m/>
    <x v="0"/>
    <x v="0"/>
    <m/>
    <m/>
    <x v="22"/>
  </r>
  <r>
    <x v="348"/>
    <n v="0"/>
    <m/>
    <s v="(01) Factura"/>
    <x v="65"/>
    <x v="21"/>
    <d v="2025-01-08T00:00:00"/>
    <d v="2025-01-08T00:00:00"/>
    <m/>
    <m/>
    <s v="SAMUEL CHUQUISTA"/>
    <s v="Ventas"/>
    <m/>
    <s v="COLABORATIVA S.A.C."/>
    <n v="461.61"/>
    <n v="83.09"/>
    <n v="544.70000000000005"/>
    <n v="544.70000000000005"/>
    <n v="544.7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12 error: Error en envio de documeto '&lt;/p&gt;"/>
    <x v="0"/>
    <m/>
    <m/>
    <m/>
    <m/>
    <m/>
    <m/>
    <x v="0"/>
    <x v="0"/>
    <m/>
    <m/>
    <x v="22"/>
  </r>
  <r>
    <x v="349"/>
    <n v="0"/>
    <m/>
    <s v="(01) Factura"/>
    <x v="28"/>
    <x v="21"/>
    <d v="2025-01-08T00:00:00"/>
    <d v="2025-01-08T00:00:00"/>
    <m/>
    <m/>
    <s v="SAMUEL CHUQUISTA"/>
    <s v="Ventas"/>
    <m/>
    <s v="COLABORATIVA S.A.C."/>
    <n v="92.54"/>
    <n v="16.66"/>
    <n v="109.2"/>
    <n v="109.2"/>
    <n v="10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23 error: Error en envio de documeto '&lt;/p&gt;"/>
    <x v="0"/>
    <m/>
    <m/>
    <m/>
    <m/>
    <m/>
    <m/>
    <x v="0"/>
    <x v="0"/>
    <m/>
    <m/>
    <x v="22"/>
  </r>
  <r>
    <x v="350"/>
    <n v="0"/>
    <m/>
    <s v="(01) Factura"/>
    <x v="28"/>
    <x v="21"/>
    <d v="2025-01-08T00:00:00"/>
    <d v="2025-01-08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28 error: Error en envio de documeto '&lt;/p&gt;"/>
    <x v="0"/>
    <m/>
    <m/>
    <m/>
    <m/>
    <m/>
    <m/>
    <x v="0"/>
    <x v="0"/>
    <m/>
    <m/>
    <x v="22"/>
  </r>
  <r>
    <x v="351"/>
    <n v="0"/>
    <m/>
    <s v="(01) Factura"/>
    <x v="24"/>
    <x v="21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33 error: Error en envio de documeto '&lt;/p&gt;"/>
    <x v="0"/>
    <m/>
    <m/>
    <m/>
    <m/>
    <m/>
    <m/>
    <x v="0"/>
    <x v="0"/>
    <m/>
    <m/>
    <x v="22"/>
  </r>
  <r>
    <x v="352"/>
    <n v="0"/>
    <m/>
    <s v="(01) Factura"/>
    <x v="24"/>
    <x v="21"/>
    <d v="2025-01-08T00:00:00"/>
    <d v="2025-01-08T00:00:00"/>
    <m/>
    <m/>
    <s v="SAMUEL CHUQUISTA"/>
    <s v="Ventas"/>
    <m/>
    <s v="COLABORATIVA S.A.C."/>
    <n v="920"/>
    <n v="165.6"/>
    <n v="1085.5999999999999"/>
    <n v="1085.5999999999999"/>
    <n v="1085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43 error: Error en envio de documeto '&lt;/p&gt;"/>
    <x v="0"/>
    <m/>
    <m/>
    <m/>
    <m/>
    <m/>
    <m/>
    <x v="0"/>
    <x v="0"/>
    <m/>
    <m/>
    <x v="22"/>
  </r>
  <r>
    <x v="353"/>
    <n v="0"/>
    <m/>
    <s v="(01) Factura"/>
    <x v="24"/>
    <x v="21"/>
    <d v="2025-01-08T00:00:00"/>
    <d v="2025-01-08T00:00:00"/>
    <m/>
    <m/>
    <s v="SAMUEL CHUQUISTA"/>
    <s v="Ventas"/>
    <m/>
    <s v="COLABORATIVA S.A.C."/>
    <n v="1200.42"/>
    <n v="216.08"/>
    <n v="1416.5"/>
    <n v="1416.5"/>
    <n v="1416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55 error: Error en envio de documeto '&lt;/p&gt;"/>
    <x v="0"/>
    <m/>
    <m/>
    <m/>
    <m/>
    <m/>
    <m/>
    <x v="0"/>
    <x v="0"/>
    <m/>
    <m/>
    <x v="22"/>
  </r>
  <r>
    <x v="354"/>
    <n v="0"/>
    <m/>
    <s v="(01) Factura"/>
    <x v="24"/>
    <x v="21"/>
    <d v="2025-01-08T00:00:00"/>
    <d v="2025-01-08T00:00:00"/>
    <m/>
    <m/>
    <s v="SAMUEL CHUQUISTA"/>
    <s v="Ventas"/>
    <m/>
    <s v="COLABORATIVA S.A.C."/>
    <n v="586.36"/>
    <n v="105.54"/>
    <n v="691.9"/>
    <n v="691.9"/>
    <n v="69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60 error: Error en envio de documeto '&lt;/p&gt;"/>
    <x v="0"/>
    <m/>
    <m/>
    <m/>
    <m/>
    <m/>
    <m/>
    <x v="0"/>
    <x v="0"/>
    <m/>
    <m/>
    <x v="22"/>
  </r>
  <r>
    <x v="355"/>
    <n v="0"/>
    <m/>
    <s v="(01) Factura"/>
    <x v="32"/>
    <x v="21"/>
    <d v="2025-01-08T00:00:00"/>
    <d v="2025-01-08T00:00:00"/>
    <m/>
    <m/>
    <s v="SAMUEL CHUQUISTA"/>
    <s v="Ventas"/>
    <m/>
    <s v="COLABORATIVA S.A.C."/>
    <n v="52.54"/>
    <n v="9.4600000000000009"/>
    <n v="62"/>
    <n v="62"/>
    <n v="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65 error: Error en envio de documeto '&lt;/p&gt;"/>
    <x v="0"/>
    <m/>
    <m/>
    <m/>
    <m/>
    <m/>
    <m/>
    <x v="0"/>
    <x v="0"/>
    <m/>
    <m/>
    <x v="22"/>
  </r>
  <r>
    <x v="356"/>
    <n v="0"/>
    <m/>
    <s v="(01) Factura"/>
    <x v="32"/>
    <x v="21"/>
    <d v="2025-01-08T00:00:00"/>
    <d v="2025-01-08T00:00:00"/>
    <m/>
    <m/>
    <s v="SAMUEL CHUQUISTA"/>
    <s v="Ventas"/>
    <m/>
    <s v="COLABORATIVA S.A.C."/>
    <n v="36.61"/>
    <n v="6.59"/>
    <n v="43.2"/>
    <n v="43.2"/>
    <n v="43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85 error: Error en envio de documeto '&lt;/p&gt;"/>
    <x v="0"/>
    <m/>
    <m/>
    <m/>
    <m/>
    <m/>
    <m/>
    <x v="0"/>
    <x v="0"/>
    <m/>
    <m/>
    <x v="22"/>
  </r>
  <r>
    <x v="357"/>
    <n v="0"/>
    <m/>
    <s v="(01) Factura"/>
    <x v="23"/>
    <x v="21"/>
    <d v="2025-01-08T00:00:00"/>
    <d v="2025-01-08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01 error: Error en envio de documeto '&lt;/p&gt;"/>
    <x v="0"/>
    <m/>
    <m/>
    <m/>
    <m/>
    <m/>
    <m/>
    <x v="0"/>
    <x v="0"/>
    <m/>
    <m/>
    <x v="22"/>
  </r>
  <r>
    <x v="358"/>
    <n v="0"/>
    <m/>
    <s v="(01) Factura"/>
    <x v="23"/>
    <x v="21"/>
    <d v="2025-01-08T00:00:00"/>
    <d v="2025-01-08T00:00:00"/>
    <m/>
    <m/>
    <s v="SAMUEL CHUQUISTA"/>
    <s v="Ventas"/>
    <m/>
    <s v="COLABORATIVA S.A.C."/>
    <n v="1800"/>
    <n v="324"/>
    <n v="2124"/>
    <n v="2124"/>
    <n v="21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10 error: Error en envio de documeto '&lt;/p&gt;"/>
    <x v="0"/>
    <m/>
    <m/>
    <m/>
    <m/>
    <m/>
    <m/>
    <x v="0"/>
    <x v="0"/>
    <m/>
    <m/>
    <x v="22"/>
  </r>
  <r>
    <x v="359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17 error: Error en envio de documeto '&lt;/p&gt;"/>
    <x v="0"/>
    <m/>
    <m/>
    <m/>
    <m/>
    <m/>
    <m/>
    <x v="0"/>
    <x v="0"/>
    <m/>
    <m/>
    <x v="22"/>
  </r>
  <r>
    <x v="360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22 error: Error en envio de documeto '&lt;/p&gt;"/>
    <x v="0"/>
    <m/>
    <m/>
    <m/>
    <m/>
    <m/>
    <m/>
    <x v="0"/>
    <x v="0"/>
    <m/>
    <m/>
    <x v="22"/>
  </r>
  <r>
    <x v="361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31 error: Error en envio de documeto '&lt;/p&gt;"/>
    <x v="0"/>
    <m/>
    <m/>
    <m/>
    <m/>
    <m/>
    <m/>
    <x v="0"/>
    <x v="0"/>
    <m/>
    <m/>
    <x v="22"/>
  </r>
  <r>
    <x v="362"/>
    <n v="0"/>
    <m/>
    <s v="(01) Factura"/>
    <x v="23"/>
    <x v="21"/>
    <d v="2025-01-08T00:00:00"/>
    <d v="2025-01-08T00:00:00"/>
    <m/>
    <m/>
    <s v="SAMUEL CHUQUISTA"/>
    <s v="Ventas"/>
    <m/>
    <s v="COLABORATIVA S.A.C."/>
    <n v="2000"/>
    <n v="360"/>
    <n v="2360"/>
    <n v="2360"/>
    <n v="236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42 error: Error en envio de documeto '&lt;/p&gt;"/>
    <x v="0"/>
    <m/>
    <m/>
    <m/>
    <m/>
    <m/>
    <m/>
    <x v="0"/>
    <x v="0"/>
    <m/>
    <m/>
    <x v="22"/>
  </r>
  <r>
    <x v="363"/>
    <n v="0"/>
    <m/>
    <s v="(01) Factura"/>
    <x v="23"/>
    <x v="21"/>
    <d v="2025-01-08T00:00:00"/>
    <d v="2025-01-08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50 error: Error en envio de documeto '&lt;/p&gt;"/>
    <x v="0"/>
    <m/>
    <m/>
    <m/>
    <m/>
    <m/>
    <m/>
    <x v="0"/>
    <x v="0"/>
    <m/>
    <m/>
    <x v="22"/>
  </r>
  <r>
    <x v="364"/>
    <n v="0"/>
    <m/>
    <s v="(01) Factura"/>
    <x v="23"/>
    <x v="21"/>
    <d v="2025-01-08T00:00:00"/>
    <d v="2025-01-08T00:00:00"/>
    <m/>
    <m/>
    <s v="SAMUEL CHUQUISTA"/>
    <s v="Ventas"/>
    <m/>
    <s v="COLABORATIVA S.A.C."/>
    <n v="5200"/>
    <n v="936"/>
    <n v="6136"/>
    <n v="6136"/>
    <n v="61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61 error: Error en envio de documeto '&lt;/p&gt;"/>
    <x v="0"/>
    <m/>
    <m/>
    <m/>
    <m/>
    <m/>
    <m/>
    <x v="0"/>
    <x v="0"/>
    <m/>
    <m/>
    <x v="22"/>
  </r>
  <r>
    <x v="365"/>
    <n v="0"/>
    <m/>
    <s v="(01) Factura"/>
    <x v="23"/>
    <x v="21"/>
    <d v="2025-01-08T00:00:00"/>
    <d v="2025-01-08T00:00:00"/>
    <m/>
    <m/>
    <s v="SAMUEL CHUQUISTA"/>
    <s v="Ventas"/>
    <m/>
    <s v="COLABORATIVA S.A.C."/>
    <n v="3942.12"/>
    <n v="709.58"/>
    <n v="4651.7"/>
    <n v="4651.7"/>
    <n v="465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77 error: Error en envio de documeto '&lt;/p&gt;"/>
    <x v="0"/>
    <m/>
    <m/>
    <m/>
    <m/>
    <m/>
    <m/>
    <x v="0"/>
    <x v="0"/>
    <m/>
    <m/>
    <x v="22"/>
  </r>
  <r>
    <x v="366"/>
    <n v="0"/>
    <m/>
    <s v="(01) Factura"/>
    <x v="23"/>
    <x v="21"/>
    <d v="2025-01-08T00:00:00"/>
    <d v="2025-01-08T00:00:00"/>
    <m/>
    <m/>
    <s v="SAMUEL CHUQUISTA"/>
    <s v="Ventas"/>
    <m/>
    <s v="COLABORATIVA S.A.C."/>
    <n v="2244.0700000000002"/>
    <n v="403.93"/>
    <n v="2648"/>
    <n v="2648"/>
    <n v="26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96 error: Error en envio de documeto '&lt;/p&gt;"/>
    <x v="0"/>
    <m/>
    <m/>
    <m/>
    <m/>
    <m/>
    <m/>
    <x v="0"/>
    <x v="0"/>
    <m/>
    <m/>
    <x v="22"/>
  </r>
  <r>
    <x v="367"/>
    <n v="0"/>
    <m/>
    <s v="(01) Factura"/>
    <x v="20"/>
    <x v="21"/>
    <d v="2025-01-08T00:00:00"/>
    <d v="2025-01-08T00:00:00"/>
    <m/>
    <m/>
    <s v="SAMUEL CHUQUISTA"/>
    <s v="Ventas"/>
    <m/>
    <s v="COLABORATIVA S.A.C."/>
    <n v="202.5"/>
    <n v="36.450000000000003"/>
    <n v="238.95"/>
    <n v="238.95"/>
    <n v="238.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25 error: Error en envio de documeto '&lt;/p&gt;"/>
    <x v="0"/>
    <m/>
    <m/>
    <m/>
    <m/>
    <m/>
    <m/>
    <x v="0"/>
    <x v="0"/>
    <m/>
    <m/>
    <x v="22"/>
  </r>
  <r>
    <x v="368"/>
    <n v="0"/>
    <m/>
    <s v="(01) Factura"/>
    <x v="20"/>
    <x v="21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57 error: Error en envio de documeto '&lt;/p&gt;"/>
    <x v="0"/>
    <m/>
    <m/>
    <m/>
    <m/>
    <m/>
    <m/>
    <x v="0"/>
    <x v="0"/>
    <m/>
    <m/>
    <x v="22"/>
  </r>
  <r>
    <x v="369"/>
    <n v="0"/>
    <m/>
    <s v="(01) Factura"/>
    <x v="20"/>
    <x v="21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84 error: Error en envio de documeto '&lt;/p&gt;"/>
    <x v="0"/>
    <m/>
    <m/>
    <m/>
    <m/>
    <m/>
    <m/>
    <x v="0"/>
    <x v="0"/>
    <m/>
    <m/>
    <x v="22"/>
  </r>
  <r>
    <x v="370"/>
    <n v="0"/>
    <m/>
    <s v="(01) Factura"/>
    <x v="20"/>
    <x v="21"/>
    <d v="2025-01-08T00:00:00"/>
    <d v="2025-01-08T00:00:00"/>
    <m/>
    <m/>
    <s v="SAMUEL CHUQUISTA"/>
    <s v="Ventas"/>
    <m/>
    <s v="COLABORATIVA S.A.C."/>
    <n v="2862.29"/>
    <n v="515.21"/>
    <n v="3377.5"/>
    <n v="3377.5"/>
    <n v="337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15 error: Error en envio de documeto '&lt;/p&gt;"/>
    <x v="0"/>
    <m/>
    <m/>
    <m/>
    <m/>
    <m/>
    <m/>
    <x v="0"/>
    <x v="0"/>
    <m/>
    <m/>
    <x v="22"/>
  </r>
  <r>
    <x v="371"/>
    <n v="0"/>
    <m/>
    <s v="(01) Factura"/>
    <x v="20"/>
    <x v="21"/>
    <d v="2025-01-08T00:00:00"/>
    <d v="2025-01-08T00:00:00"/>
    <m/>
    <m/>
    <s v="SAMUEL CHUQUISTA"/>
    <s v="Ventas"/>
    <m/>
    <s v="COLABORATIVA S.A.C."/>
    <n v="4262.2"/>
    <n v="767.2"/>
    <n v="5029.3999999999996"/>
    <n v="5029.3999999999996"/>
    <n v="5029.3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52 error: Error en envio de documeto '&lt;/p&gt;"/>
    <x v="0"/>
    <m/>
    <m/>
    <m/>
    <m/>
    <m/>
    <m/>
    <x v="0"/>
    <x v="0"/>
    <m/>
    <m/>
    <x v="22"/>
  </r>
  <r>
    <x v="372"/>
    <n v="0"/>
    <m/>
    <s v="(01) Factura"/>
    <x v="66"/>
    <x v="21"/>
    <d v="2025-01-08T00:00:00"/>
    <d v="2025-01-08T00:00:00"/>
    <m/>
    <m/>
    <s v="SAMUEL CHUQUISTA"/>
    <s v="Ventas"/>
    <m/>
    <s v="COLABORATIVA S.A.C."/>
    <n v="17.100000000000001"/>
    <n v="3.08"/>
    <n v="20.18"/>
    <n v="20.18"/>
    <n v="20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71 error: Error en envio de documeto '&lt;/p&gt;"/>
    <x v="0"/>
    <m/>
    <m/>
    <m/>
    <m/>
    <m/>
    <m/>
    <x v="0"/>
    <x v="0"/>
    <m/>
    <m/>
    <x v="22"/>
  </r>
  <r>
    <x v="373"/>
    <n v="0"/>
    <m/>
    <s v="(01) Factura"/>
    <x v="66"/>
    <x v="21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78 error: Error en envio de documeto '&lt;/p&gt;"/>
    <x v="0"/>
    <m/>
    <m/>
    <m/>
    <m/>
    <m/>
    <m/>
    <x v="0"/>
    <x v="0"/>
    <m/>
    <m/>
    <x v="22"/>
  </r>
  <r>
    <x v="374"/>
    <n v="0"/>
    <m/>
    <s v="(01) Factura"/>
    <x v="66"/>
    <x v="21"/>
    <d v="2025-01-08T00:00:00"/>
    <d v="2025-01-08T00:00:00"/>
    <m/>
    <m/>
    <s v="SAMUEL CHUQUISTA"/>
    <s v="Ventas"/>
    <m/>
    <s v="COLABORATIVA S.A.C."/>
    <n v="9.9"/>
    <n v="1.78"/>
    <n v="11.68"/>
    <n v="11.68"/>
    <n v="11.6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02 error: Error en envio de documeto '&lt;/p&gt;"/>
    <x v="0"/>
    <m/>
    <m/>
    <m/>
    <m/>
    <m/>
    <m/>
    <x v="0"/>
    <x v="0"/>
    <m/>
    <m/>
    <x v="22"/>
  </r>
  <r>
    <x v="375"/>
    <n v="0"/>
    <m/>
    <s v="(01) Factura"/>
    <x v="66"/>
    <x v="21"/>
    <d v="2025-01-08T00:00:00"/>
    <d v="2025-01-08T00:00:00"/>
    <m/>
    <m/>
    <s v="SAMUEL CHUQUISTA"/>
    <s v="Ventas"/>
    <m/>
    <s v="COLABORATIVA S.A.C."/>
    <n v="6"/>
    <n v="1.08"/>
    <n v="7.08"/>
    <n v="7.08"/>
    <n v="7.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18 error: Error en envio de documeto '&lt;/p&gt;"/>
    <x v="0"/>
    <m/>
    <m/>
    <m/>
    <m/>
    <m/>
    <m/>
    <x v="0"/>
    <x v="0"/>
    <m/>
    <m/>
    <x v="22"/>
  </r>
  <r>
    <x v="376"/>
    <n v="0"/>
    <m/>
    <s v="(03) Boleta"/>
    <x v="67"/>
    <x v="21"/>
    <d v="2025-01-08T00:00:00"/>
    <d v="2025-01-08T00:00:00"/>
    <m/>
    <m/>
    <s v="SAMUEL CHUQUISTA"/>
    <s v="Ventas"/>
    <m/>
    <s v="COLABORATIVA S.A.C."/>
    <n v="1599.66"/>
    <n v="287.94"/>
    <n v="1887.6"/>
    <n v="1887.6"/>
    <n v="1887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33 error: Error en envio de documeto '&lt;/p&gt;"/>
    <x v="0"/>
    <m/>
    <m/>
    <m/>
    <m/>
    <m/>
    <m/>
    <x v="0"/>
    <x v="0"/>
    <m/>
    <m/>
    <x v="22"/>
  </r>
  <r>
    <x v="377"/>
    <n v="0"/>
    <m/>
    <s v="(03) Boleta"/>
    <x v="67"/>
    <x v="21"/>
    <d v="2025-01-08T00:00:00"/>
    <d v="2025-01-08T00:00:00"/>
    <m/>
    <m/>
    <s v="SAMUEL CHUQUISTA"/>
    <s v="Ventas"/>
    <m/>
    <s v="COLABORATIVA S.A.C."/>
    <n v="947.12"/>
    <n v="170.48"/>
    <n v="1117.5999999999999"/>
    <n v="1117.5999999999999"/>
    <n v="1117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44 error: Error en envio de documeto '&lt;/p&gt;"/>
    <x v="0"/>
    <m/>
    <m/>
    <m/>
    <m/>
    <m/>
    <m/>
    <x v="0"/>
    <x v="0"/>
    <m/>
    <m/>
    <x v="22"/>
  </r>
  <r>
    <x v="378"/>
    <n v="0"/>
    <m/>
    <s v="(03) Boleta"/>
    <x v="68"/>
    <x v="21"/>
    <d v="2025-01-08T00:00:00"/>
    <d v="2025-01-08T00:00:00"/>
    <m/>
    <m/>
    <s v="SAMUEL CHUQUISTA"/>
    <s v="Ventas"/>
    <m/>
    <s v="COLABORATIVA S.A.C."/>
    <n v="15"/>
    <n v="2.7"/>
    <n v="17.7"/>
    <n v="17.7"/>
    <n v="17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61 error: Error en envio de documeto '&lt;/p&gt;"/>
    <x v="0"/>
    <m/>
    <m/>
    <m/>
    <m/>
    <m/>
    <m/>
    <x v="0"/>
    <x v="0"/>
    <m/>
    <m/>
    <x v="22"/>
  </r>
  <r>
    <x v="379"/>
    <n v="0"/>
    <m/>
    <s v="(03) Boleta"/>
    <x v="68"/>
    <x v="21"/>
    <d v="2025-01-08T00:00:00"/>
    <d v="2025-01-08T00:00:00"/>
    <m/>
    <m/>
    <s v="SAMUEL CHUQUISTA"/>
    <s v="Ventas"/>
    <m/>
    <s v="COLABORATIVA S.A.C."/>
    <n v="530.16999999999996"/>
    <n v="95.43"/>
    <n v="625.6"/>
    <n v="625.6"/>
    <n v="625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70 error: Error en envio de documeto '&lt;/p&gt;"/>
    <x v="0"/>
    <m/>
    <m/>
    <m/>
    <m/>
    <m/>
    <m/>
    <x v="0"/>
    <x v="0"/>
    <m/>
    <m/>
    <x v="22"/>
  </r>
  <r>
    <x v="380"/>
    <n v="0"/>
    <m/>
    <s v="(03) Boleta"/>
    <x v="68"/>
    <x v="21"/>
    <d v="2025-01-08T00:00:00"/>
    <d v="2025-01-08T00:00:00"/>
    <m/>
    <m/>
    <s v="SAMUEL CHUQUISTA"/>
    <s v="Ventas"/>
    <m/>
    <s v="COLABORATIVA S.A.C."/>
    <n v="338.9"/>
    <n v="61"/>
    <n v="399.9"/>
    <n v="399.9"/>
    <n v="39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82 error: Error en envio de documeto '&lt;/p&gt;"/>
    <x v="0"/>
    <m/>
    <m/>
    <m/>
    <m/>
    <m/>
    <m/>
    <x v="0"/>
    <x v="0"/>
    <m/>
    <m/>
    <x v="22"/>
  </r>
  <r>
    <x v="381"/>
    <n v="0"/>
    <m/>
    <s v="(03) Boleta"/>
    <x v="69"/>
    <x v="21"/>
    <d v="2025-01-08T00:00:00"/>
    <d v="2025-01-08T00:00:00"/>
    <m/>
    <m/>
    <s v="SAMUEL CHUQUISTA"/>
    <s v="Ventas"/>
    <m/>
    <s v="COLABORATIVA S.A.C."/>
    <n v="1.44"/>
    <n v="0.26"/>
    <n v="1.7"/>
    <n v="1.7"/>
    <n v="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98 error: Error en envio de documeto '&lt;/p&gt;"/>
    <x v="0"/>
    <m/>
    <m/>
    <m/>
    <m/>
    <m/>
    <m/>
    <x v="0"/>
    <x v="0"/>
    <m/>
    <m/>
    <x v="22"/>
  </r>
  <r>
    <x v="382"/>
    <n v="0"/>
    <m/>
    <s v="(03) Boleta"/>
    <x v="69"/>
    <x v="21"/>
    <d v="2025-01-08T00:00:00"/>
    <d v="2025-01-08T00:00:00"/>
    <m/>
    <m/>
    <s v="SAMUEL CHUQUISTA"/>
    <s v="Ventas"/>
    <m/>
    <s v="COLABORATIVA S.A.C."/>
    <n v="1.02"/>
    <n v="0.18"/>
    <n v="1.2"/>
    <n v="1.2"/>
    <n v="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13 error: Error en envio de documeto '&lt;/p&gt;"/>
    <x v="0"/>
    <m/>
    <m/>
    <m/>
    <m/>
    <m/>
    <m/>
    <x v="0"/>
    <x v="0"/>
    <m/>
    <m/>
    <x v="22"/>
  </r>
  <r>
    <x v="383"/>
    <n v="0"/>
    <m/>
    <s v="(01) Factura"/>
    <x v="70"/>
    <x v="22"/>
    <d v="2025-01-06T00:00:00"/>
    <d v="2025-01-06T00:00:00"/>
    <m/>
    <m/>
    <s v="SAMUEL CHUQUISTA"/>
    <s v="Ventas"/>
    <m/>
    <s v="COLABORATIVA S.A.C."/>
    <n v="32.5"/>
    <n v="5.85"/>
    <n v="38.35"/>
    <n v="38.35"/>
    <n v="38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31 error: Error en envio de documeto '&lt;/p&gt;"/>
    <x v="0"/>
    <m/>
    <m/>
    <m/>
    <m/>
    <m/>
    <m/>
    <x v="0"/>
    <x v="0"/>
    <m/>
    <m/>
    <x v="23"/>
  </r>
  <r>
    <x v="384"/>
    <n v="0"/>
    <m/>
    <s v="(01) Factura"/>
    <x v="70"/>
    <x v="22"/>
    <d v="2025-01-06T00:00:00"/>
    <d v="2025-01-06T00:00:00"/>
    <m/>
    <m/>
    <s v="SAMUEL CHUQUISTA"/>
    <s v="Ventas"/>
    <m/>
    <s v="COLABORATIVA S.A.C."/>
    <n v="1978.14"/>
    <n v="356.06"/>
    <n v="2334.1999999999998"/>
    <n v="2334.1999999999998"/>
    <n v="2334.1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46 error: Error en envio de documeto '&lt;/p&gt;"/>
    <x v="0"/>
    <m/>
    <m/>
    <m/>
    <m/>
    <m/>
    <m/>
    <x v="0"/>
    <x v="0"/>
    <m/>
    <m/>
    <x v="23"/>
  </r>
  <r>
    <x v="385"/>
    <n v="0"/>
    <m/>
    <s v="(01) Factura"/>
    <x v="70"/>
    <x v="22"/>
    <d v="2025-01-06T00:00:00"/>
    <d v="2025-01-06T00:00:00"/>
    <m/>
    <m/>
    <s v="SAMUEL CHUQUISTA"/>
    <s v="Ventas"/>
    <m/>
    <s v="COLABORATIVA S.A.C."/>
    <n v="1085.76"/>
    <n v="195.44"/>
    <n v="1281.2"/>
    <n v="1281.2"/>
    <n v="128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60 error: Error en envio de documeto '&lt;/p&gt;"/>
    <x v="0"/>
    <m/>
    <m/>
    <m/>
    <m/>
    <m/>
    <m/>
    <x v="0"/>
    <x v="0"/>
    <m/>
    <m/>
    <x v="23"/>
  </r>
  <r>
    <x v="386"/>
    <n v="0"/>
    <m/>
    <s v="(01) Factura"/>
    <x v="12"/>
    <x v="22"/>
    <d v="2025-01-06T00:00:00"/>
    <d v="2025-01-06T00:00:00"/>
    <m/>
    <m/>
    <s v="SAMUEL CHUQUISTA"/>
    <s v="Ventas"/>
    <m/>
    <s v="COLABORATIVA S.A.C."/>
    <n v="50"/>
    <n v="9"/>
    <n v="59"/>
    <n v="59"/>
    <n v="5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76 error: Error en envio de documeto '&lt;/p&gt;"/>
    <x v="0"/>
    <m/>
    <m/>
    <m/>
    <m/>
    <m/>
    <m/>
    <x v="0"/>
    <x v="0"/>
    <m/>
    <m/>
    <x v="23"/>
  </r>
  <r>
    <x v="387"/>
    <n v="0"/>
    <m/>
    <s v="(01) Factura"/>
    <x v="12"/>
    <x v="22"/>
    <d v="2025-01-06T00:00:00"/>
    <d v="2025-01-06T00:00:00"/>
    <m/>
    <m/>
    <s v="SAMUEL CHUQUISTA"/>
    <s v="Ventas"/>
    <m/>
    <s v="COLABORATIVA S.A.C."/>
    <n v="227.88"/>
    <n v="41.02"/>
    <n v="268.89999999999998"/>
    <n v="268.89999999999998"/>
    <n v="268.89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79 error: Error en envio de documeto '&lt;/p&gt;"/>
    <x v="0"/>
    <m/>
    <m/>
    <m/>
    <m/>
    <m/>
    <m/>
    <x v="0"/>
    <x v="0"/>
    <m/>
    <m/>
    <x v="23"/>
  </r>
  <r>
    <x v="388"/>
    <n v="0"/>
    <m/>
    <s v="(01) Factura"/>
    <x v="12"/>
    <x v="22"/>
    <d v="2025-01-06T00:00:00"/>
    <d v="2025-01-06T00:00:00"/>
    <m/>
    <m/>
    <s v="SAMUEL CHUQUISTA"/>
    <s v="Ventas"/>
    <m/>
    <s v="COLABORATIVA S.A.C."/>
    <n v="126.36"/>
    <n v="22.74"/>
    <n v="149.1"/>
    <n v="149.1"/>
    <n v="149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84 error: Error en envio de documeto '&lt;/p&gt;"/>
    <x v="0"/>
    <m/>
    <m/>
    <m/>
    <m/>
    <m/>
    <m/>
    <x v="0"/>
    <x v="0"/>
    <m/>
    <m/>
    <x v="23"/>
  </r>
  <r>
    <x v="389"/>
    <n v="0"/>
    <m/>
    <s v="(01) Factura"/>
    <x v="63"/>
    <x v="22"/>
    <d v="2025-01-06T00:00:00"/>
    <d v="2025-01-06T00:00:00"/>
    <m/>
    <m/>
    <s v="SAMUEL CHUQUISTA"/>
    <s v="Ventas"/>
    <m/>
    <s v="COLABORATIVA S.A.C."/>
    <n v="283.79000000000002"/>
    <n v="51.08"/>
    <n v="334.87"/>
    <n v="334.87"/>
    <n v="334.8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91 error: Error en envio de documeto '&lt;/p&gt;"/>
    <x v="0"/>
    <m/>
    <m/>
    <m/>
    <m/>
    <m/>
    <m/>
    <x v="0"/>
    <x v="0"/>
    <m/>
    <m/>
    <x v="23"/>
  </r>
  <r>
    <x v="390"/>
    <n v="0"/>
    <m/>
    <s v="(01) Factura"/>
    <x v="63"/>
    <x v="22"/>
    <d v="2025-01-06T00:00:00"/>
    <d v="2025-01-06T00:00:00"/>
    <m/>
    <m/>
    <s v="SAMUEL CHUQUISTA"/>
    <s v="Ventas"/>
    <m/>
    <s v="COLABORATIVA S.A.C."/>
    <n v="208.23"/>
    <n v="37.479999999999997"/>
    <n v="245.71"/>
    <n v="245.71"/>
    <n v="245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97 error: Error en envio de documeto '&lt;/p&gt;"/>
    <x v="0"/>
    <m/>
    <m/>
    <m/>
    <m/>
    <m/>
    <m/>
    <x v="0"/>
    <x v="0"/>
    <m/>
    <m/>
    <x v="23"/>
  </r>
  <r>
    <x v="391"/>
    <n v="0"/>
    <m/>
    <s v="(01) Factura"/>
    <x v="71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06 error: Error en envio de documeto '&lt;/p&gt;"/>
    <x v="0"/>
    <m/>
    <m/>
    <m/>
    <m/>
    <m/>
    <m/>
    <x v="0"/>
    <x v="0"/>
    <m/>
    <m/>
    <x v="23"/>
  </r>
  <r>
    <x v="392"/>
    <n v="0"/>
    <m/>
    <s v="(01) Factura"/>
    <x v="71"/>
    <x v="22"/>
    <d v="2025-01-06T00:00:00"/>
    <d v="2025-01-06T00:00:00"/>
    <m/>
    <m/>
    <s v="SAMUEL CHUQUISTA"/>
    <s v="Ventas"/>
    <m/>
    <s v="COLABORATIVA S.A.C."/>
    <n v="218.69"/>
    <n v="39.369999999999997"/>
    <n v="258.06"/>
    <n v="258.06"/>
    <n v="258.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18 error: Error en envio de documeto '&lt;/p&gt;"/>
    <x v="0"/>
    <m/>
    <m/>
    <m/>
    <m/>
    <m/>
    <m/>
    <x v="0"/>
    <x v="0"/>
    <m/>
    <m/>
    <x v="23"/>
  </r>
  <r>
    <x v="393"/>
    <n v="0"/>
    <m/>
    <s v="(01) Factura"/>
    <x v="72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32 error: Error en envio de documeto '&lt;/p&gt;"/>
    <x v="0"/>
    <m/>
    <m/>
    <m/>
    <m/>
    <m/>
    <m/>
    <x v="0"/>
    <x v="0"/>
    <m/>
    <m/>
    <x v="23"/>
  </r>
  <r>
    <x v="394"/>
    <n v="0"/>
    <m/>
    <s v="(01) Factura"/>
    <x v="72"/>
    <x v="22"/>
    <d v="2025-01-06T00:00:00"/>
    <d v="2025-01-06T00:00:00"/>
    <m/>
    <m/>
    <s v="SAMUEL CHUQUISTA"/>
    <s v="Ventas"/>
    <m/>
    <s v="COLABORATIVA S.A.C."/>
    <n v="311.91000000000003"/>
    <n v="56.14"/>
    <n v="368.05"/>
    <n v="368.05"/>
    <n v="368.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42 error: Error en envio de documeto '&lt;/p&gt;"/>
    <x v="0"/>
    <m/>
    <m/>
    <m/>
    <m/>
    <m/>
    <m/>
    <x v="0"/>
    <x v="0"/>
    <m/>
    <m/>
    <x v="23"/>
  </r>
  <r>
    <x v="395"/>
    <n v="0"/>
    <m/>
    <s v="(01) Factura"/>
    <x v="73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58 error: Error en envio de documeto '&lt;/p&gt;"/>
    <x v="0"/>
    <m/>
    <m/>
    <m/>
    <m/>
    <m/>
    <m/>
    <x v="0"/>
    <x v="0"/>
    <m/>
    <m/>
    <x v="23"/>
  </r>
  <r>
    <x v="396"/>
    <n v="0"/>
    <m/>
    <s v="(01) Factura"/>
    <x v="73"/>
    <x v="22"/>
    <d v="2025-01-06T00:00:00"/>
    <d v="2025-01-06T00:00:00"/>
    <m/>
    <m/>
    <s v="SAMUEL CHUQUISTA"/>
    <s v="Ventas"/>
    <m/>
    <s v="COLABORATIVA S.A.C."/>
    <n v="678.25"/>
    <n v="122.08"/>
    <n v="800.33"/>
    <n v="800.33"/>
    <n v="800.3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65 error: Error en envio de documeto '&lt;/p&gt;"/>
    <x v="0"/>
    <m/>
    <m/>
    <m/>
    <m/>
    <m/>
    <m/>
    <x v="0"/>
    <x v="0"/>
    <m/>
    <m/>
    <x v="23"/>
  </r>
  <r>
    <x v="397"/>
    <n v="0"/>
    <m/>
    <s v="(01) Factura"/>
    <x v="74"/>
    <x v="22"/>
    <d v="2025-01-06T00:00:00"/>
    <d v="2025-01-06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4 error: Error en envio de documeto '&lt;/p&gt;"/>
    <x v="0"/>
    <m/>
    <m/>
    <m/>
    <m/>
    <m/>
    <m/>
    <x v="0"/>
    <x v="0"/>
    <m/>
    <m/>
    <x v="23"/>
  </r>
  <r>
    <x v="398"/>
    <n v="0"/>
    <m/>
    <s v="(01) Factura"/>
    <x v="74"/>
    <x v="22"/>
    <d v="2025-01-06T00:00:00"/>
    <d v="2025-01-06T00:00:00"/>
    <m/>
    <m/>
    <s v="SAMUEL CHUQUISTA"/>
    <s v="Ventas"/>
    <m/>
    <s v="COLABORATIVA S.A.C."/>
    <n v="2836.25"/>
    <n v="510.52"/>
    <n v="3346.77"/>
    <n v="3346.77"/>
    <n v="3346.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6 error: Error en envio de documeto '&lt;/p&gt;"/>
    <x v="0"/>
    <m/>
    <m/>
    <m/>
    <m/>
    <m/>
    <m/>
    <x v="0"/>
    <x v="0"/>
    <m/>
    <m/>
    <x v="23"/>
  </r>
  <r>
    <x v="399"/>
    <n v="0"/>
    <m/>
    <s v="(01) Factura"/>
    <x v="74"/>
    <x v="22"/>
    <d v="2025-01-06T00:00:00"/>
    <d v="2025-01-06T00:00:00"/>
    <m/>
    <m/>
    <s v="SAMUEL CHUQUISTA"/>
    <s v="Ventas"/>
    <m/>
    <s v="COLABORATIVA S.A.C."/>
    <n v="2033.08"/>
    <n v="365.96"/>
    <n v="2399.04"/>
    <n v="2399.04"/>
    <n v="2399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9 error: Error en envio de documeto '&lt;/p&gt;"/>
    <x v="0"/>
    <m/>
    <m/>
    <m/>
    <m/>
    <m/>
    <m/>
    <x v="0"/>
    <x v="0"/>
    <m/>
    <m/>
    <x v="23"/>
  </r>
  <r>
    <x v="400"/>
    <n v="0"/>
    <m/>
    <s v="(01) Factura"/>
    <x v="34"/>
    <x v="22"/>
    <d v="2025-01-06T00:00:00"/>
    <d v="2025-01-06T00:00:00"/>
    <m/>
    <m/>
    <s v="SAMUEL CHUQUISTA"/>
    <s v="Ventas"/>
    <m/>
    <s v="COLABORATIVA S.A.C."/>
    <n v="222.31"/>
    <n v="40.01"/>
    <n v="262.32"/>
    <n v="262.32"/>
    <n v="262.3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01 error: Error en envio de documeto '&lt;/p&gt;"/>
    <x v="0"/>
    <m/>
    <m/>
    <m/>
    <m/>
    <m/>
    <m/>
    <x v="0"/>
    <x v="0"/>
    <m/>
    <m/>
    <x v="23"/>
  </r>
  <r>
    <x v="401"/>
    <n v="0"/>
    <m/>
    <s v="(01) Factura"/>
    <x v="34"/>
    <x v="22"/>
    <d v="2025-01-06T00:00:00"/>
    <d v="2025-01-06T00:00:00"/>
    <m/>
    <m/>
    <s v="SAMUEL CHUQUISTA"/>
    <s v="Ventas"/>
    <m/>
    <s v="COLABORATIVA S.A.C."/>
    <n v="133.41999999999999"/>
    <n v="24.02"/>
    <n v="157.44"/>
    <n v="157.44"/>
    <n v="157.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36 error: Error en envio de documeto '&lt;/p&gt;"/>
    <x v="0"/>
    <m/>
    <m/>
    <m/>
    <m/>
    <m/>
    <m/>
    <x v="0"/>
    <x v="0"/>
    <m/>
    <m/>
    <x v="23"/>
  </r>
  <r>
    <x v="402"/>
    <n v="0"/>
    <m/>
    <s v="(01) Factura"/>
    <x v="75"/>
    <x v="22"/>
    <d v="2025-01-06T00:00:00"/>
    <d v="2025-01-06T00:00:00"/>
    <m/>
    <m/>
    <s v="SAMUEL CHUQUISTA"/>
    <s v="Ventas"/>
    <m/>
    <s v="COLABORATIVA S.A.C."/>
    <n v="21.61"/>
    <n v="3.89"/>
    <n v="25.5"/>
    <n v="25.5"/>
    <n v="25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47 error: Error en envio de documeto '&lt;/p&gt;"/>
    <x v="0"/>
    <m/>
    <m/>
    <m/>
    <m/>
    <m/>
    <m/>
    <x v="0"/>
    <x v="0"/>
    <m/>
    <m/>
    <x v="23"/>
  </r>
  <r>
    <x v="403"/>
    <n v="0"/>
    <m/>
    <s v="(01) Factura"/>
    <x v="75"/>
    <x v="22"/>
    <d v="2025-01-06T00:00:00"/>
    <d v="2025-01-06T00:00:00"/>
    <m/>
    <m/>
    <s v="SAMUEL CHUQUISTA"/>
    <s v="Ventas"/>
    <m/>
    <s v="COLABORATIVA S.A.C."/>
    <n v="15.25"/>
    <n v="2.75"/>
    <n v="18"/>
    <n v="18"/>
    <n v="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53 error: Error en envio de documeto '&lt;/p&gt;"/>
    <x v="0"/>
    <m/>
    <m/>
    <m/>
    <m/>
    <m/>
    <m/>
    <x v="0"/>
    <x v="0"/>
    <m/>
    <m/>
    <x v="23"/>
  </r>
  <r>
    <x v="404"/>
    <n v="0"/>
    <m/>
    <s v="(01) Factura"/>
    <x v="76"/>
    <x v="22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64 error: Error en envio de documeto '&lt;/p&gt;"/>
    <x v="0"/>
    <m/>
    <m/>
    <m/>
    <m/>
    <m/>
    <m/>
    <x v="0"/>
    <x v="0"/>
    <m/>
    <m/>
    <x v="23"/>
  </r>
  <r>
    <x v="405"/>
    <n v="0"/>
    <m/>
    <s v="(01) Factura"/>
    <x v="76"/>
    <x v="22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81 error: Error en envio de documeto '&lt;/p&gt;"/>
    <x v="0"/>
    <m/>
    <m/>
    <m/>
    <m/>
    <m/>
    <m/>
    <x v="0"/>
    <x v="0"/>
    <m/>
    <m/>
    <x v="23"/>
  </r>
  <r>
    <x v="406"/>
    <n v="0"/>
    <m/>
    <s v="(01) Factura"/>
    <x v="24"/>
    <x v="22"/>
    <d v="2025-01-06T00:00:00"/>
    <d v="2025-01-06T00:00:00"/>
    <m/>
    <m/>
    <s v="SAMUEL CHUQUISTA"/>
    <s v="Ventas"/>
    <m/>
    <s v="COLABORATIVA S.A.C."/>
    <n v="8.5"/>
    <n v="1.53"/>
    <n v="10.029999999999999"/>
    <n v="10.029999999999999"/>
    <n v="10.02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91 error: Error en envio de documeto '&lt;/p&gt;"/>
    <x v="0"/>
    <m/>
    <m/>
    <m/>
    <m/>
    <m/>
    <m/>
    <x v="0"/>
    <x v="0"/>
    <m/>
    <m/>
    <x v="23"/>
  </r>
  <r>
    <x v="407"/>
    <n v="0"/>
    <m/>
    <s v="(01) Factura"/>
    <x v="24"/>
    <x v="22"/>
    <d v="2025-01-06T00:00:00"/>
    <d v="2025-01-06T00:00:00"/>
    <m/>
    <m/>
    <s v="SAMUEL CHUQUISTA"/>
    <s v="Ventas"/>
    <m/>
    <s v="COLABORATIVA S.A.C."/>
    <n v="1000"/>
    <n v="180"/>
    <n v="1180"/>
    <n v="1180"/>
    <n v="118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94 error: Error en envio de documeto '&lt;/p&gt;"/>
    <x v="0"/>
    <m/>
    <m/>
    <m/>
    <m/>
    <m/>
    <m/>
    <x v="0"/>
    <x v="0"/>
    <m/>
    <m/>
    <x v="23"/>
  </r>
  <r>
    <x v="408"/>
    <n v="0"/>
    <m/>
    <s v="(01) Factura"/>
    <x v="24"/>
    <x v="22"/>
    <d v="2025-01-06T00:00:00"/>
    <d v="2025-01-06T00:00:00"/>
    <m/>
    <m/>
    <s v="SAMUEL CHUQUISTA"/>
    <s v="Ventas"/>
    <m/>
    <s v="COLABORATIVA S.A.C."/>
    <n v="750"/>
    <n v="135"/>
    <n v="885"/>
    <n v="885"/>
    <n v="8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02 error: Error en envio de documeto '&lt;/p&gt;"/>
    <x v="0"/>
    <m/>
    <m/>
    <m/>
    <m/>
    <m/>
    <m/>
    <x v="0"/>
    <x v="0"/>
    <m/>
    <m/>
    <x v="23"/>
  </r>
  <r>
    <x v="409"/>
    <n v="0"/>
    <m/>
    <s v="(01) Factura"/>
    <x v="24"/>
    <x v="22"/>
    <d v="2025-01-06T00:00:00"/>
    <d v="2025-01-06T00:00:00"/>
    <m/>
    <m/>
    <s v="SAMUEL CHUQUISTA"/>
    <s v="Ventas"/>
    <m/>
    <s v="COLABORATIVA S.A.C."/>
    <n v="1500"/>
    <n v="270"/>
    <n v="1770"/>
    <n v="1770"/>
    <n v="177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13 error: Error en envio de documeto '&lt;/p&gt;"/>
    <x v="0"/>
    <m/>
    <m/>
    <m/>
    <m/>
    <m/>
    <m/>
    <x v="0"/>
    <x v="0"/>
    <m/>
    <m/>
    <x v="23"/>
  </r>
  <r>
    <x v="410"/>
    <n v="0"/>
    <m/>
    <s v="(01) Factura"/>
    <x v="24"/>
    <x v="22"/>
    <d v="2025-01-06T00:00:00"/>
    <d v="2025-01-06T00:00:00"/>
    <m/>
    <m/>
    <s v="SAMUEL CHUQUISTA"/>
    <s v="Ventas"/>
    <m/>
    <s v="COLABORATIVA S.A.C."/>
    <n v="2915"/>
    <n v="524.70000000000005"/>
    <n v="3439.7"/>
    <n v="3439.7"/>
    <n v="343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24 error: Error en envio de documeto '&lt;/p&gt;"/>
    <x v="0"/>
    <m/>
    <m/>
    <m/>
    <m/>
    <m/>
    <m/>
    <x v="0"/>
    <x v="0"/>
    <m/>
    <m/>
    <x v="23"/>
  </r>
  <r>
    <x v="411"/>
    <n v="0"/>
    <m/>
    <s v="(01) Factura"/>
    <x v="24"/>
    <x v="22"/>
    <d v="2025-01-06T00:00:00"/>
    <d v="2025-01-06T00:00:00"/>
    <m/>
    <m/>
    <s v="SAMUEL CHUQUISTA"/>
    <s v="Ventas"/>
    <m/>
    <s v="COLABORATIVA S.A.C."/>
    <n v="1759.92"/>
    <n v="316.77999999999997"/>
    <n v="2076.6999999999998"/>
    <n v="2076.6999999999998"/>
    <n v="2076.6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37 error: Error en envio de documeto '&lt;/p&gt;"/>
    <x v="0"/>
    <m/>
    <m/>
    <m/>
    <m/>
    <m/>
    <m/>
    <x v="0"/>
    <x v="0"/>
    <m/>
    <m/>
    <x v="23"/>
  </r>
  <r>
    <x v="412"/>
    <n v="0"/>
    <m/>
    <s v="(01) Factura"/>
    <x v="28"/>
    <x v="22"/>
    <d v="2025-01-06T00:00:00"/>
    <d v="2025-01-06T00:00:00"/>
    <m/>
    <m/>
    <s v="SAMUEL CHUQUISTA"/>
    <s v="Ventas"/>
    <m/>
    <s v="COLABORATIVA S.A.C."/>
    <n v="170.76"/>
    <n v="30.74"/>
    <n v="201.5"/>
    <n v="201.5"/>
    <n v="201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52 error: Error en envio de documeto '&lt;/p&gt;"/>
    <x v="0"/>
    <m/>
    <m/>
    <m/>
    <m/>
    <m/>
    <m/>
    <x v="0"/>
    <x v="0"/>
    <m/>
    <m/>
    <x v="23"/>
  </r>
  <r>
    <x v="413"/>
    <n v="0"/>
    <m/>
    <s v="(01) Factura"/>
    <x v="28"/>
    <x v="22"/>
    <d v="2025-01-06T00:00:00"/>
    <d v="2025-01-06T00:00:00"/>
    <m/>
    <m/>
    <s v="SAMUEL CHUQUISTA"/>
    <s v="Ventas"/>
    <m/>
    <s v="COLABORATIVA S.A.C."/>
    <n v="102.29"/>
    <n v="18.41"/>
    <n v="120.7"/>
    <n v="120.7"/>
    <n v="120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55 error: Error en envio de documeto '&lt;/p&gt;"/>
    <x v="0"/>
    <m/>
    <m/>
    <m/>
    <m/>
    <m/>
    <m/>
    <x v="0"/>
    <x v="0"/>
    <m/>
    <m/>
    <x v="23"/>
  </r>
  <r>
    <x v="414"/>
    <n v="0"/>
    <m/>
    <s v="(01) Factura"/>
    <x v="77"/>
    <x v="22"/>
    <d v="2025-01-06T00:00:00"/>
    <d v="2025-01-06T00:00:00"/>
    <m/>
    <m/>
    <s v="SAMUEL CHUQUISTA"/>
    <s v="Ventas"/>
    <m/>
    <s v="COLABORATIVA S.A.C."/>
    <n v="75.680000000000007"/>
    <n v="13.62"/>
    <n v="89.3"/>
    <n v="89.3"/>
    <n v="89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73 error: Error en envio de documeto '&lt;/p&gt;"/>
    <x v="0"/>
    <m/>
    <m/>
    <m/>
    <m/>
    <m/>
    <m/>
    <x v="0"/>
    <x v="0"/>
    <m/>
    <m/>
    <x v="23"/>
  </r>
  <r>
    <x v="415"/>
    <n v="0"/>
    <m/>
    <s v="(01) Factura"/>
    <x v="77"/>
    <x v="22"/>
    <d v="2025-01-06T00:00:00"/>
    <d v="2025-01-06T00:00:00"/>
    <m/>
    <m/>
    <s v="SAMUEL CHUQUISTA"/>
    <s v="Ventas"/>
    <m/>
    <s v="COLABORATIVA S.A.C."/>
    <n v="43.22"/>
    <n v="7.78"/>
    <n v="51"/>
    <n v="51"/>
    <n v="5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80 error: Error en envio de documeto '&lt;/p&gt;"/>
    <x v="0"/>
    <m/>
    <m/>
    <m/>
    <m/>
    <m/>
    <m/>
    <x v="0"/>
    <x v="0"/>
    <m/>
    <m/>
    <x v="23"/>
  </r>
  <r>
    <x v="416"/>
    <n v="0"/>
    <m/>
    <s v="(01) Factura"/>
    <x v="32"/>
    <x v="22"/>
    <d v="2025-01-06T00:00:00"/>
    <d v="2025-01-06T00:00:00"/>
    <m/>
    <m/>
    <s v="SAMUEL CHUQUISTA"/>
    <s v="Ventas"/>
    <m/>
    <s v="COLABORATIVA S.A.C."/>
    <n v="58.39"/>
    <n v="10.51"/>
    <n v="68.900000000000006"/>
    <n v="68.900000000000006"/>
    <n v="68.9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86 error: Error en envio de documeto '&lt;/p&gt;"/>
    <x v="0"/>
    <m/>
    <m/>
    <m/>
    <m/>
    <m/>
    <m/>
    <x v="0"/>
    <x v="0"/>
    <m/>
    <m/>
    <x v="23"/>
  </r>
  <r>
    <x v="417"/>
    <n v="0"/>
    <m/>
    <s v="(01) Factura"/>
    <x v="32"/>
    <x v="22"/>
    <d v="2025-01-06T00:00:00"/>
    <d v="2025-01-06T00:00:00"/>
    <m/>
    <m/>
    <s v="SAMUEL CHUQUISTA"/>
    <s v="Ventas"/>
    <m/>
    <s v="COLABORATIVA S.A.C."/>
    <n v="38.81"/>
    <n v="6.99"/>
    <n v="45.8"/>
    <n v="45.8"/>
    <n v="45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93 error: Error en envio de documeto '&lt;/p&gt;"/>
    <x v="0"/>
    <m/>
    <m/>
    <m/>
    <m/>
    <m/>
    <m/>
    <x v="0"/>
    <x v="0"/>
    <m/>
    <m/>
    <x v="23"/>
  </r>
  <r>
    <x v="418"/>
    <n v="0"/>
    <m/>
    <s v="(01) Factura"/>
    <x v="78"/>
    <x v="22"/>
    <d v="2025-01-06T00:00:00"/>
    <d v="2025-01-06T00:00:00"/>
    <m/>
    <m/>
    <s v="SAMUEL CHUQUISTA"/>
    <s v="Ventas"/>
    <m/>
    <s v="COLABORATIVA S.A.C."/>
    <n v="11.53"/>
    <n v="2.0699999999999998"/>
    <n v="13.6"/>
    <n v="13.6"/>
    <n v="1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01 error: Error en envio de documeto '&lt;/p&gt;"/>
    <x v="0"/>
    <m/>
    <m/>
    <m/>
    <m/>
    <m/>
    <m/>
    <x v="0"/>
    <x v="0"/>
    <m/>
    <m/>
    <x v="23"/>
  </r>
  <r>
    <x v="419"/>
    <n v="0"/>
    <m/>
    <s v="(01) Factura"/>
    <x v="78"/>
    <x v="22"/>
    <d v="2025-01-06T00:00:00"/>
    <d v="2025-01-06T00:00:00"/>
    <m/>
    <m/>
    <s v="SAMUEL CHUQUISTA"/>
    <s v="Ventas"/>
    <m/>
    <s v="COLABORATIVA S.A.C."/>
    <n v="8.14"/>
    <n v="1.46"/>
    <n v="9.6"/>
    <n v="9.6"/>
    <n v="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32 error: Error en envio de documeto '&lt;/p&gt;"/>
    <x v="0"/>
    <m/>
    <m/>
    <m/>
    <m/>
    <m/>
    <m/>
    <x v="0"/>
    <x v="0"/>
    <m/>
    <m/>
    <x v="23"/>
  </r>
  <r>
    <x v="420"/>
    <n v="0"/>
    <m/>
    <s v="(03) Boleta"/>
    <x v="79"/>
    <x v="22"/>
    <d v="2025-01-06T00:00:00"/>
    <d v="2025-01-06T00:00:00"/>
    <m/>
    <m/>
    <s v="SAMUEL CHUQUISTA"/>
    <s v="Ventas"/>
    <m/>
    <s v="COLABORATIVA S.A.C."/>
    <n v="113.39"/>
    <n v="20.41"/>
    <n v="133.80000000000001"/>
    <n v="133.80000000000001"/>
    <n v="133.80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73 error: Error en envio de documeto '&lt;/p&gt;"/>
    <x v="0"/>
    <m/>
    <m/>
    <m/>
    <m/>
    <m/>
    <m/>
    <x v="0"/>
    <x v="0"/>
    <m/>
    <m/>
    <x v="23"/>
  </r>
  <r>
    <x v="421"/>
    <n v="0"/>
    <m/>
    <s v="(03) Boleta"/>
    <x v="79"/>
    <x v="22"/>
    <d v="2025-01-06T00:00:00"/>
    <d v="2025-01-06T00:00:00"/>
    <m/>
    <m/>
    <s v="SAMUEL CHUQUISTA"/>
    <s v="Ventas"/>
    <m/>
    <s v="COLABORATIVA S.A.C."/>
    <n v="59.15"/>
    <n v="10.65"/>
    <n v="69.8"/>
    <n v="69.8"/>
    <n v="69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88 error: Error en envio de documeto '&lt;/p&gt;"/>
    <x v="0"/>
    <m/>
    <m/>
    <m/>
    <m/>
    <m/>
    <m/>
    <x v="0"/>
    <x v="0"/>
    <m/>
    <m/>
    <x v="23"/>
  </r>
  <r>
    <x v="422"/>
    <n v="0"/>
    <m/>
    <s v="(03) Boleta"/>
    <x v="80"/>
    <x v="22"/>
    <d v="2025-01-06T00:00:00"/>
    <d v="2025-01-06T00:00:00"/>
    <m/>
    <m/>
    <s v="SAMUEL CHUQUISTA"/>
    <s v="Ventas"/>
    <m/>
    <s v="COLABORATIVA S.A.C."/>
    <n v="59.66"/>
    <n v="10.74"/>
    <n v="70.400000000000006"/>
    <n v="70.400000000000006"/>
    <n v="70.4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09 error: Error en envio de documeto '&lt;/p&gt;"/>
    <x v="0"/>
    <m/>
    <m/>
    <m/>
    <m/>
    <m/>
    <m/>
    <x v="0"/>
    <x v="0"/>
    <m/>
    <m/>
    <x v="23"/>
  </r>
  <r>
    <x v="423"/>
    <n v="0"/>
    <m/>
    <s v="(03) Boleta"/>
    <x v="80"/>
    <x v="22"/>
    <d v="2025-01-06T00:00:00"/>
    <d v="2025-01-06T00:00:00"/>
    <m/>
    <m/>
    <s v="SAMUEL CHUQUISTA"/>
    <s v="Ventas"/>
    <m/>
    <s v="COLABORATIVA S.A.C."/>
    <n v="43"/>
    <n v="7.74"/>
    <n v="50.74"/>
    <n v="50.74"/>
    <n v="50.7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31 error: Error en envio de documeto '&lt;/p&gt;"/>
    <x v="0"/>
    <m/>
    <m/>
    <m/>
    <m/>
    <m/>
    <m/>
    <x v="0"/>
    <x v="0"/>
    <m/>
    <m/>
    <x v="23"/>
  </r>
  <r>
    <x v="424"/>
    <n v="0"/>
    <m/>
    <s v="(03) Boleta"/>
    <x v="81"/>
    <x v="22"/>
    <d v="2025-01-06T00:00:00"/>
    <d v="2025-01-06T00:00:00"/>
    <m/>
    <m/>
    <s v="SAMUEL CHUQUISTA"/>
    <s v="Ventas"/>
    <m/>
    <s v="COLABORATIVA S.A.C."/>
    <n v="66.45"/>
    <n v="11.96"/>
    <n v="78.41"/>
    <n v="78.41"/>
    <n v="78.4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53 error: Error en envio de documeto '&lt;/p&gt;"/>
    <x v="0"/>
    <m/>
    <m/>
    <m/>
    <m/>
    <m/>
    <m/>
    <x v="0"/>
    <x v="0"/>
    <m/>
    <m/>
    <x v="23"/>
  </r>
  <r>
    <x v="425"/>
    <n v="0"/>
    <m/>
    <s v="(03) Boleta"/>
    <x v="81"/>
    <x v="22"/>
    <d v="2025-01-06T00:00:00"/>
    <d v="2025-01-06T00:00:00"/>
    <m/>
    <m/>
    <s v="SAMUEL CHUQUISTA"/>
    <s v="Ventas"/>
    <m/>
    <s v="COLABORATIVA S.A.C."/>
    <n v="41.47"/>
    <n v="7.47"/>
    <n v="48.94"/>
    <n v="48.94"/>
    <n v="48.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67 error: Error en envio de documeto '&lt;/p&gt;"/>
    <x v="0"/>
    <m/>
    <m/>
    <m/>
    <m/>
    <m/>
    <m/>
    <x v="0"/>
    <x v="0"/>
    <m/>
    <m/>
    <x v="23"/>
  </r>
  <r>
    <x v="426"/>
    <n v="0"/>
    <m/>
    <s v="(03) Boleta"/>
    <x v="82"/>
    <x v="22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81 error: Error en envio de documeto '&lt;/p&gt;"/>
    <x v="0"/>
    <m/>
    <m/>
    <m/>
    <m/>
    <m/>
    <m/>
    <x v="0"/>
    <x v="0"/>
    <m/>
    <m/>
    <x v="23"/>
  </r>
  <r>
    <x v="427"/>
    <n v="0"/>
    <m/>
    <s v="(03) Boleta"/>
    <x v="82"/>
    <x v="22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97 error: Error en envio de documeto '&lt;/p&gt;"/>
    <x v="0"/>
    <m/>
    <m/>
    <m/>
    <m/>
    <m/>
    <m/>
    <x v="0"/>
    <x v="0"/>
    <m/>
    <m/>
    <x v="23"/>
  </r>
  <r>
    <x v="428"/>
    <n v="0"/>
    <m/>
    <s v="(03) Boleta"/>
    <x v="83"/>
    <x v="22"/>
    <d v="2025-01-06T00:00:00"/>
    <d v="2025-01-06T00:00:00"/>
    <m/>
    <m/>
    <s v="SAMUEL CHUQUISTA"/>
    <s v="Ventas"/>
    <m/>
    <s v="COLABORATIVA S.A.C."/>
    <n v="757.54"/>
    <n v="136.36000000000001"/>
    <n v="893.9"/>
    <n v="893.9"/>
    <n v="893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09 error: Error en envio de documeto '&lt;/p&gt;"/>
    <x v="0"/>
    <m/>
    <m/>
    <m/>
    <m/>
    <m/>
    <m/>
    <x v="0"/>
    <x v="0"/>
    <m/>
    <m/>
    <x v="23"/>
  </r>
  <r>
    <x v="429"/>
    <n v="0"/>
    <m/>
    <s v="(03) Boleta"/>
    <x v="83"/>
    <x v="22"/>
    <d v="2025-01-06T00:00:00"/>
    <d v="2025-01-06T00:00:00"/>
    <m/>
    <m/>
    <s v="SAMUEL CHUQUISTA"/>
    <s v="Ventas"/>
    <m/>
    <s v="COLABORATIVA S.A.C."/>
    <n v="460.17"/>
    <n v="82.83"/>
    <n v="543"/>
    <n v="543"/>
    <n v="54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28 error: Error en envio de documeto '&lt;/p&gt;"/>
    <x v="0"/>
    <m/>
    <m/>
    <m/>
    <m/>
    <m/>
    <m/>
    <x v="0"/>
    <x v="0"/>
    <m/>
    <m/>
    <x v="23"/>
  </r>
  <r>
    <x v="430"/>
    <n v="0"/>
    <m/>
    <s v="(03) Boleta"/>
    <x v="45"/>
    <x v="22"/>
    <d v="2025-01-06T00:00:00"/>
    <d v="2025-01-06T00:00:00"/>
    <m/>
    <m/>
    <s v="SAMUEL CHUQUISTA"/>
    <s v="Ventas"/>
    <m/>
    <s v="COLABORATIVA S.A.C."/>
    <n v="889.65"/>
    <n v="160.13999999999999"/>
    <n v="1049.79"/>
    <n v="1049.79"/>
    <n v="1049.7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45 error: Error en envio de documeto '&lt;/p&gt;"/>
    <x v="0"/>
    <m/>
    <m/>
    <m/>
    <m/>
    <m/>
    <m/>
    <x v="0"/>
    <x v="0"/>
    <m/>
    <m/>
    <x v="23"/>
  </r>
  <r>
    <x v="431"/>
    <n v="0"/>
    <m/>
    <s v="(03) Boleta"/>
    <x v="45"/>
    <x v="22"/>
    <d v="2025-01-06T00:00:00"/>
    <d v="2025-01-06T00:00:00"/>
    <m/>
    <m/>
    <s v="SAMUEL CHUQUISTA"/>
    <s v="Ventas"/>
    <m/>
    <s v="COLABORATIVA S.A.C."/>
    <n v="545.08000000000004"/>
    <n v="98.12"/>
    <n v="643.20000000000005"/>
    <n v="643.20000000000005"/>
    <n v="643.2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57 error: Error en envio de documeto '&lt;/p&gt;"/>
    <x v="0"/>
    <m/>
    <m/>
    <m/>
    <m/>
    <m/>
    <m/>
    <x v="0"/>
    <x v="0"/>
    <m/>
    <m/>
    <x v="23"/>
  </r>
  <r>
    <x v="432"/>
    <n v="0"/>
    <m/>
    <s v="(03) Boleta"/>
    <x v="84"/>
    <x v="22"/>
    <d v="2025-01-06T00:00:00"/>
    <d v="2025-01-06T00:00:00"/>
    <m/>
    <m/>
    <s v="SAMUEL CHUQUISTA"/>
    <s v="Ventas"/>
    <m/>
    <s v="COLABORATIVA S.A.C."/>
    <n v="39.729999999999997"/>
    <n v="7.15"/>
    <n v="46.88"/>
    <n v="46.88"/>
    <n v="46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82 error: Error en envio de documeto '&lt;/p&gt;"/>
    <x v="0"/>
    <m/>
    <m/>
    <m/>
    <m/>
    <m/>
    <m/>
    <x v="0"/>
    <x v="0"/>
    <m/>
    <m/>
    <x v="23"/>
  </r>
  <r>
    <x v="433"/>
    <n v="0"/>
    <m/>
    <s v="(03) Boleta"/>
    <x v="84"/>
    <x v="22"/>
    <d v="2025-01-06T00:00:00"/>
    <d v="2025-01-06T00:00:00"/>
    <m/>
    <m/>
    <s v="SAMUEL CHUQUISTA"/>
    <s v="Ventas"/>
    <m/>
    <s v="COLABORATIVA S.A.C."/>
    <n v="24.58"/>
    <n v="4.42"/>
    <n v="29"/>
    <n v="29"/>
    <n v="2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07 error: Error en envio de documeto '&lt;/p&gt;"/>
    <x v="0"/>
    <m/>
    <m/>
    <m/>
    <m/>
    <m/>
    <m/>
    <x v="0"/>
    <x v="0"/>
    <m/>
    <m/>
    <x v="23"/>
  </r>
  <r>
    <x v="434"/>
    <n v="0"/>
    <m/>
    <s v="(01) Factura"/>
    <x v="85"/>
    <x v="23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35 error: Error en envio de documeto '&lt;/p&gt;"/>
    <x v="0"/>
    <m/>
    <m/>
    <m/>
    <m/>
    <m/>
    <m/>
    <x v="0"/>
    <x v="0"/>
    <m/>
    <m/>
    <x v="24"/>
  </r>
  <r>
    <x v="435"/>
    <n v="0"/>
    <m/>
    <s v="(01) Factura"/>
    <x v="85"/>
    <x v="23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73 error: Error en envio de documeto '&lt;/p&gt;"/>
    <x v="0"/>
    <m/>
    <m/>
    <m/>
    <m/>
    <m/>
    <m/>
    <x v="0"/>
    <x v="0"/>
    <m/>
    <m/>
    <x v="24"/>
  </r>
  <r>
    <x v="436"/>
    <n v="0"/>
    <m/>
    <s v="(01) Factura"/>
    <x v="85"/>
    <x v="23"/>
    <d v="2025-01-03T00:00:00"/>
    <d v="2025-01-03T00:00:00"/>
    <m/>
    <m/>
    <s v="SAMUEL CHUQUISTA"/>
    <s v="Ventas"/>
    <m/>
    <s v="COLABORATIVA S.A.C."/>
    <n v="2919.83"/>
    <n v="525.57000000000005"/>
    <n v="3445.4"/>
    <n v="3445.4"/>
    <n v="344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92 error: Error en envio de documeto '&lt;/p&gt;"/>
    <x v="0"/>
    <m/>
    <m/>
    <m/>
    <m/>
    <m/>
    <m/>
    <x v="0"/>
    <x v="0"/>
    <m/>
    <m/>
    <x v="24"/>
  </r>
  <r>
    <x v="437"/>
    <n v="0"/>
    <m/>
    <s v="(01) Factura"/>
    <x v="85"/>
    <x v="23"/>
    <d v="2025-01-03T00:00:00"/>
    <d v="2025-01-03T00:00:00"/>
    <m/>
    <m/>
    <s v="SAMUEL CHUQUISTA"/>
    <s v="Ventas"/>
    <m/>
    <s v="COLABORATIVA S.A.C."/>
    <n v="1439.87"/>
    <n v="259.18"/>
    <n v="1699.05"/>
    <n v="1699.05"/>
    <n v="1699.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97 error: Error en envio de documeto '&lt;/p&gt;"/>
    <x v="0"/>
    <m/>
    <m/>
    <m/>
    <m/>
    <m/>
    <m/>
    <x v="0"/>
    <x v="0"/>
    <m/>
    <m/>
    <x v="24"/>
  </r>
  <r>
    <x v="438"/>
    <n v="0"/>
    <m/>
    <s v="(01) Factura"/>
    <x v="20"/>
    <x v="23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07 error: Error en envio de documeto '&lt;/p&gt;"/>
    <x v="0"/>
    <m/>
    <m/>
    <m/>
    <m/>
    <m/>
    <m/>
    <x v="0"/>
    <x v="0"/>
    <m/>
    <m/>
    <x v="24"/>
  </r>
  <r>
    <x v="439"/>
    <n v="0"/>
    <m/>
    <s v="(01) Factura"/>
    <x v="20"/>
    <x v="23"/>
    <d v="2025-01-03T00:00:00"/>
    <d v="2025-01-03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24 error: Error en envio de documeto '&lt;/p&gt;"/>
    <x v="0"/>
    <m/>
    <m/>
    <m/>
    <m/>
    <m/>
    <m/>
    <x v="0"/>
    <x v="0"/>
    <m/>
    <m/>
    <x v="24"/>
  </r>
  <r>
    <x v="440"/>
    <n v="0"/>
    <m/>
    <s v="(01) Factura"/>
    <x v="20"/>
    <x v="23"/>
    <d v="2025-01-03T00:00:00"/>
    <d v="2025-01-03T00:00:00"/>
    <m/>
    <m/>
    <s v="SAMUEL CHUQUISTA"/>
    <s v="Ventas"/>
    <m/>
    <s v="COLABORATIVA S.A.C."/>
    <n v="1590.93"/>
    <n v="286.37"/>
    <n v="1877.3"/>
    <n v="1877.3"/>
    <n v="1877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47 error: Error en envio de documeto '&lt;/p&gt;"/>
    <x v="0"/>
    <m/>
    <m/>
    <m/>
    <m/>
    <m/>
    <m/>
    <x v="0"/>
    <x v="0"/>
    <m/>
    <m/>
    <x v="24"/>
  </r>
  <r>
    <x v="441"/>
    <n v="0"/>
    <m/>
    <s v="(01) Factura"/>
    <x v="20"/>
    <x v="23"/>
    <d v="2025-01-03T00:00:00"/>
    <d v="2025-01-03T00:00:00"/>
    <m/>
    <m/>
    <s v="SAMUEL CHUQUISTA"/>
    <s v="Ventas"/>
    <m/>
    <s v="COLABORATIVA S.A.C."/>
    <n v="2158.64"/>
    <n v="388.56"/>
    <n v="2547.1999999999998"/>
    <n v="2547.1999999999998"/>
    <n v="2547.1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58 error: Error en envio de documeto '&lt;/p&gt;"/>
    <x v="0"/>
    <m/>
    <m/>
    <m/>
    <m/>
    <m/>
    <m/>
    <x v="0"/>
    <x v="0"/>
    <m/>
    <m/>
    <x v="24"/>
  </r>
  <r>
    <x v="442"/>
    <n v="0"/>
    <m/>
    <s v="(01) Factura"/>
    <x v="20"/>
    <x v="23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68 error: Error en envio de documeto '&lt;/p&gt;"/>
    <x v="0"/>
    <m/>
    <m/>
    <m/>
    <m/>
    <m/>
    <m/>
    <x v="0"/>
    <x v="0"/>
    <m/>
    <m/>
    <x v="24"/>
  </r>
  <r>
    <x v="443"/>
    <n v="0"/>
    <m/>
    <s v="(01) Factura"/>
    <x v="20"/>
    <x v="23"/>
    <d v="2025-01-03T00:00:00"/>
    <d v="2025-01-03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73 error: Error en envio de documeto '&lt;/p&gt;"/>
    <x v="0"/>
    <m/>
    <m/>
    <m/>
    <m/>
    <m/>
    <m/>
    <x v="0"/>
    <x v="0"/>
    <m/>
    <m/>
    <x v="24"/>
  </r>
  <r>
    <x v="444"/>
    <n v="0"/>
    <m/>
    <s v="(01) Factura"/>
    <x v="20"/>
    <x v="23"/>
    <d v="2025-01-03T00:00:00"/>
    <d v="2025-01-03T00:00:00"/>
    <m/>
    <m/>
    <s v="SAMUEL CHUQUISTA"/>
    <s v="Ventas"/>
    <m/>
    <s v="COLABORATIVA S.A.C."/>
    <n v="3700"/>
    <n v="666"/>
    <n v="4366"/>
    <n v="4366"/>
    <n v="436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80 error: Error en envio de documeto '&lt;/p&gt;"/>
    <x v="0"/>
    <m/>
    <m/>
    <m/>
    <m/>
    <m/>
    <m/>
    <x v="0"/>
    <x v="0"/>
    <m/>
    <m/>
    <x v="24"/>
  </r>
  <r>
    <x v="445"/>
    <n v="0"/>
    <m/>
    <s v="(01) Factura"/>
    <x v="20"/>
    <x v="23"/>
    <d v="2025-01-03T00:00:00"/>
    <d v="2025-01-03T00:00:00"/>
    <m/>
    <m/>
    <s v="SAMUEL CHUQUISTA"/>
    <s v="Ventas"/>
    <m/>
    <s v="COLABORATIVA S.A.C."/>
    <n v="3425.85"/>
    <n v="616.65"/>
    <n v="4042.5"/>
    <n v="4042.5"/>
    <n v="4042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92 error: Error en envio de documeto '&lt;/p&gt;"/>
    <x v="0"/>
    <m/>
    <m/>
    <m/>
    <m/>
    <m/>
    <m/>
    <x v="0"/>
    <x v="0"/>
    <m/>
    <m/>
    <x v="24"/>
  </r>
  <r>
    <x v="446"/>
    <n v="0"/>
    <m/>
    <s v="(01) Factura"/>
    <x v="20"/>
    <x v="23"/>
    <d v="2025-01-03T00:00:00"/>
    <d v="2025-01-03T00:00:00"/>
    <m/>
    <m/>
    <s v="SAMUEL CHUQUISTA"/>
    <s v="Ventas"/>
    <m/>
    <s v="COLABORATIVA S.A.C."/>
    <n v="4569.66"/>
    <n v="822.54"/>
    <n v="5392.2"/>
    <n v="5392.2"/>
    <n v="5392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13 error: Error en envio de documeto '&lt;/p&gt;"/>
    <x v="0"/>
    <m/>
    <m/>
    <m/>
    <m/>
    <m/>
    <m/>
    <x v="0"/>
    <x v="0"/>
    <m/>
    <m/>
    <x v="24"/>
  </r>
  <r>
    <x v="447"/>
    <n v="0"/>
    <m/>
    <s v="(03) Boleta"/>
    <x v="86"/>
    <x v="23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29 error: Error en envio de documeto '&lt;/p&gt;"/>
    <x v="0"/>
    <m/>
    <m/>
    <m/>
    <m/>
    <m/>
    <m/>
    <x v="0"/>
    <x v="0"/>
    <m/>
    <m/>
    <x v="24"/>
  </r>
  <r>
    <x v="448"/>
    <n v="0"/>
    <m/>
    <s v="(03) Boleta"/>
    <x v="86"/>
    <x v="23"/>
    <d v="2025-01-03T00:00:00"/>
    <d v="2025-01-03T00:00:00"/>
    <m/>
    <m/>
    <s v="SAMUEL CHUQUISTA"/>
    <s v="Ventas"/>
    <m/>
    <s v="COLABORATIVA S.A.C."/>
    <n v="598.73"/>
    <n v="107.77"/>
    <n v="706.5"/>
    <n v="706.5"/>
    <n v="706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46 error: Error en envio de documeto '&lt;/p&gt;"/>
    <x v="0"/>
    <m/>
    <m/>
    <m/>
    <m/>
    <m/>
    <m/>
    <x v="0"/>
    <x v="0"/>
    <m/>
    <m/>
    <x v="24"/>
  </r>
  <r>
    <x v="449"/>
    <n v="0"/>
    <m/>
    <s v="(03) Boleta"/>
    <x v="86"/>
    <x v="23"/>
    <d v="2025-01-03T00:00:00"/>
    <d v="2025-01-03T00:00:00"/>
    <m/>
    <m/>
    <s v="SAMUEL CHUQUISTA"/>
    <s v="Ventas"/>
    <m/>
    <s v="COLABORATIVA S.A.C."/>
    <n v="343.47"/>
    <n v="61.83"/>
    <n v="405.3"/>
    <n v="405.3"/>
    <n v="405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61 error: Error en envio de documeto '&lt;/p&gt;"/>
    <x v="0"/>
    <m/>
    <m/>
    <m/>
    <m/>
    <m/>
    <m/>
    <x v="0"/>
    <x v="0"/>
    <m/>
    <m/>
    <x v="24"/>
  </r>
  <r>
    <x v="450"/>
    <n v="0"/>
    <m/>
    <s v="(03) Boleta"/>
    <x v="87"/>
    <x v="23"/>
    <d v="2025-01-03T00:00:00"/>
    <d v="2025-01-03T00:00:00"/>
    <m/>
    <m/>
    <s v="SAMUEL CHUQUISTA"/>
    <s v="Ventas"/>
    <m/>
    <s v="COLABORATIVA S.A.C."/>
    <n v="323.68"/>
    <n v="58.26"/>
    <n v="381.94"/>
    <n v="381.94"/>
    <n v="381.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83 error: Error en envio de documeto '&lt;/p&gt;"/>
    <x v="0"/>
    <m/>
    <m/>
    <m/>
    <m/>
    <m/>
    <m/>
    <x v="0"/>
    <x v="0"/>
    <m/>
    <m/>
    <x v="24"/>
  </r>
  <r>
    <x v="451"/>
    <n v="0"/>
    <m/>
    <s v="(03) Boleta"/>
    <x v="87"/>
    <x v="23"/>
    <d v="2025-01-03T00:00:00"/>
    <d v="2025-01-03T00:00:00"/>
    <m/>
    <m/>
    <s v="SAMUEL CHUQUISTA"/>
    <s v="Ventas"/>
    <m/>
    <s v="COLABORATIVA S.A.C."/>
    <n v="177.59"/>
    <n v="31.97"/>
    <n v="209.56"/>
    <n v="209.56"/>
    <n v="209.5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93 error: Error en envio de documeto '&lt;/p&gt;"/>
    <x v="0"/>
    <m/>
    <m/>
    <m/>
    <m/>
    <m/>
    <m/>
    <x v="0"/>
    <x v="0"/>
    <m/>
    <m/>
    <x v="24"/>
  </r>
  <r>
    <x v="452"/>
    <n v="0"/>
    <m/>
    <s v="(03) Boleta"/>
    <x v="83"/>
    <x v="23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05 error: Error en envio de documeto '&lt;/p&gt;"/>
    <x v="0"/>
    <m/>
    <m/>
    <m/>
    <m/>
    <m/>
    <m/>
    <x v="0"/>
    <x v="0"/>
    <m/>
    <m/>
    <x v="24"/>
  </r>
  <r>
    <x v="453"/>
    <n v="0"/>
    <m/>
    <s v="(03) Boleta"/>
    <x v="83"/>
    <x v="23"/>
    <d v="2025-01-03T00:00:00"/>
    <d v="2025-01-03T00:00:00"/>
    <m/>
    <m/>
    <s v="SAMUEL CHUQUISTA"/>
    <s v="Ventas"/>
    <m/>
    <s v="COLABORATIVA S.A.C."/>
    <n v="3774.66"/>
    <n v="679.44"/>
    <n v="4454.1000000000004"/>
    <n v="4454.1000000000004"/>
    <n v="4454.10000000000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22 error: Error en envio de documeto '&lt;/p&gt;"/>
    <x v="0"/>
    <m/>
    <m/>
    <m/>
    <m/>
    <m/>
    <m/>
    <x v="0"/>
    <x v="0"/>
    <m/>
    <m/>
    <x v="24"/>
  </r>
  <r>
    <x v="454"/>
    <n v="0"/>
    <m/>
    <s v="(03) Boleta"/>
    <x v="83"/>
    <x v="23"/>
    <d v="2025-01-03T00:00:00"/>
    <d v="2025-01-03T00:00:00"/>
    <m/>
    <m/>
    <s v="SAMUEL CHUQUISTA"/>
    <s v="Ventas"/>
    <m/>
    <s v="COLABORATIVA S.A.C."/>
    <n v="3056.78"/>
    <n v="550.22"/>
    <n v="3607"/>
    <n v="3607"/>
    <n v="36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36 error: Error en envio de documeto '&lt;/p&gt;"/>
    <x v="0"/>
    <m/>
    <m/>
    <m/>
    <m/>
    <m/>
    <m/>
    <x v="0"/>
    <x v="0"/>
    <m/>
    <m/>
    <x v="24"/>
  </r>
  <r>
    <x v="455"/>
    <n v="0"/>
    <m/>
    <s v="(03) Boleta"/>
    <x v="88"/>
    <x v="23"/>
    <d v="2025-01-03T00:00:00"/>
    <d v="2025-01-03T00:00:00"/>
    <m/>
    <m/>
    <s v="SAMUEL CHUQUISTA"/>
    <s v="Ventas"/>
    <m/>
    <s v="COLABORATIVA S.A.C."/>
    <n v="129.15"/>
    <n v="23.25"/>
    <n v="152.4"/>
    <n v="152.4"/>
    <n v="152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64 error: Error en envio de documeto '&lt;/p&gt;"/>
    <x v="0"/>
    <m/>
    <m/>
    <m/>
    <m/>
    <m/>
    <m/>
    <x v="0"/>
    <x v="0"/>
    <m/>
    <m/>
    <x v="24"/>
  </r>
  <r>
    <x v="456"/>
    <n v="0"/>
    <m/>
    <s v="(03) Boleta"/>
    <x v="88"/>
    <x v="23"/>
    <d v="2025-01-03T00:00:00"/>
    <d v="2025-01-03T00:00:00"/>
    <m/>
    <m/>
    <s v="SAMUEL CHUQUISTA"/>
    <s v="Ventas"/>
    <m/>
    <s v="COLABORATIVA S.A.C."/>
    <n v="84.07"/>
    <n v="15.13"/>
    <n v="99.2"/>
    <n v="99.2"/>
    <n v="9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77 error: Error en envio de documeto '&lt;/p&gt;"/>
    <x v="0"/>
    <m/>
    <m/>
    <m/>
    <m/>
    <m/>
    <m/>
    <x v="0"/>
    <x v="0"/>
    <m/>
    <m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x v="0"/>
    <s v="COLABORATIVA S.A.C."/>
    <x v="0"/>
    <d v="2025-10-16T18:53:04"/>
    <x v="0"/>
    <m/>
    <n v="1"/>
    <n v="75241793"/>
    <s v="[{'id_producto': '1', 'codigo_producto': '02', 'nom_producto': 'COMISIÃ“N PAGOS DIGITALES SEGÃšN CONTRATO', 'categoria_producto': 'service', 'cantidad': '1.0', 'valor_unitario': 12.2, 'precio_unitario': 14.4, 'descuento': 0.0, 'subtotal': 12.2, 'porcentaje_de_igv': '18.03', 'igv': 2.2, 'total': 14.4, 'moneda': '1', 'tipo_de_cambio': '', 'id_estado': 'reversed', 'nombre_estado': 'Revertido', 'evento': {'id_evento': '3100', 'nom_evento': 'Trilogia Pxndx Festival III en Lince', 'Fecha_hora_ini_event': '2025-10-04', 'Fecha_hora_fin_event': '2025-10-04', 'id_organizador': '', 'nom_organizador': 'STHIVEN RANDOLF GARCIA MEDIN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2.2"/>
    <n v="14.4"/>
    <n v="0"/>
    <n v="12.2"/>
    <n v="18.03"/>
    <n v="2.2000000000000002"/>
    <n v="14.4"/>
    <n v="1"/>
    <m/>
    <x v="0"/>
    <x v="0"/>
    <x v="0"/>
    <s v="SAMUEL CHUQUISTA"/>
    <x v="0"/>
    <s v="7012100 MercaderÃ­as-Venta Local-Terceros"/>
    <x v="0"/>
    <x v="0"/>
    <s v="Trilogia Pxndx Festival III en Lince"/>
    <d v="2025-04-10T00:00:00"/>
    <d v="2025-04-10T00:00:00"/>
    <x v="0"/>
    <s v="STHIVEN RANDOLF GARCIA MEDINA"/>
    <m/>
    <x v="0"/>
  </r>
  <r>
    <x v="0"/>
    <x v="1"/>
    <s v="COLABORATIVA S.A.C."/>
    <x v="0"/>
    <d v="2025-10-16T18:50:23"/>
    <x v="0"/>
    <m/>
    <n v="1"/>
    <n v="75241793"/>
    <s v="[{'id_producto': '1', 'codigo_producto': '01', 'nom_producto': 'COMISIÃ“N VAOPE SEGÃšN CONTRATO', 'categoria_producto': 'service', 'cantidad': '1.0', 'valor_unitario': 41.14, 'precio_unitario': 48.55, 'descuento': 0.0, 'subtotal': 41.14, 'porcentaje_de_igv': '18.01', 'igv': 7.41, 'total': 48.55, 'moneda': '1', 'tipo_de_cambio': '', 'id_estado': 'not_paid', 'nombre_estado': 'Sin pagar', 'evento': {'id_evento': '3100', 'nom_evento': 'Trilogia Pxndx Festival III en Lince', 'Fecha_hora_ini_event': '2025-10-04', 'Fecha_hora_fin_event': '2025-10-04', 'id_organizador': '', 'nom_organizador': 'STHIVEN RANDOLF GARCIA MEDIN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41.14"/>
    <n v="48.55"/>
    <n v="0"/>
    <n v="41.14"/>
    <n v="18.010000000000002"/>
    <n v="7.41"/>
    <n v="48.55"/>
    <n v="1"/>
    <m/>
    <x v="1"/>
    <x v="1"/>
    <x v="0"/>
    <s v="SAMUEL CHUQUISTA"/>
    <x v="0"/>
    <s v="7012100 MercaderÃ­as-Venta Local-Terceros"/>
    <x v="0"/>
    <x v="0"/>
    <s v="Trilogia Pxndx Festival III en Lince"/>
    <d v="2025-04-10T00:00:00"/>
    <d v="2025-04-10T00:00:00"/>
    <x v="0"/>
    <s v="STHIVEN RANDOLF GARCIA MEDINA"/>
    <m/>
    <x v="1"/>
  </r>
  <r>
    <x v="1"/>
    <x v="2"/>
    <s v="COLABORATIVA S.A.C."/>
    <x v="0"/>
    <d v="2025-10-16T18:47:50"/>
    <x v="1"/>
    <s v="Cliente"/>
    <n v="6"/>
    <n v="20608361074"/>
    <s v="[{'id_producto': '1', 'codigo_producto': '05', 'nom_producto': 'DELIVERY -', 'categoria_producto': 'service', 'cantidad': '1.0', 'valor_unitario': 14.5, 'precio_unitario': 17.11, 'descuento': 0.0, 'subtotal': 14.5, 'porcentaje_de_igv': '18.00', 'igv': 2.61, 'total': 17.1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2"/>
    <x v="2"/>
    <s v="service"/>
    <n v="1"/>
    <n v="14.5"/>
    <n v="17.11"/>
    <n v="0"/>
    <n v="14.5"/>
    <n v="18"/>
    <n v="2.61"/>
    <n v="17.11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2"/>
  </r>
  <r>
    <x v="1"/>
    <x v="3"/>
    <s v="COLABORATIVA S.A.C."/>
    <x v="0"/>
    <d v="2025-10-16T18:47:12"/>
    <x v="1"/>
    <s v="Cliente"/>
    <n v="6"/>
    <n v="20608361074"/>
    <s v="[{'id_producto': '1', 'codigo_producto': '06', 'nom_producto': 'COMISION CORTESIA -', 'categoria_producto': 'service', 'cantidad': '1.0', 'valor_unitario': 84.5, 'precio_unitario': 99.71, 'descuento': 0.0, 'subtotal': 84.5, 'porcentaje_de_igv': '18.00', 'igv': 15.21, 'total': 99.7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84.5"/>
    <n v="99.71"/>
    <n v="0"/>
    <n v="84.5"/>
    <n v="18"/>
    <n v="15.21"/>
    <n v="99.71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3"/>
  </r>
  <r>
    <x v="1"/>
    <x v="4"/>
    <s v="COLABORATIVA S.A.C."/>
    <x v="0"/>
    <d v="2025-10-16T18:46:38"/>
    <x v="1"/>
    <s v="Cliente"/>
    <n v="6"/>
    <n v="20608361074"/>
    <s v="[{'id_producto': '1', 'codigo_producto': '03', 'nom_producto': 'PERSONAL - Servicio de  validador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4"/>
    <x v="4"/>
    <s v="service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4"/>
  </r>
  <r>
    <x v="1"/>
    <x v="5"/>
    <s v="COLABORATIVA S.A.C."/>
    <x v="0"/>
    <d v="2025-10-16T18:45:41"/>
    <x v="1"/>
    <s v="Cliente"/>
    <n v="6"/>
    <n v="20608361074"/>
    <s v="[{'id_producto': '1', 'codigo_producto': '07', 'nom_producto': 'ENTRADAS IMPRESAS - Orden de venta NÂº 1040 - El ClÃ¡sico de la Cumbia NorteÃ±a en Huancayo con Agua Marina y Walther Lozada &amp; Orquesta / 1000 FULL COLOR GENERAL / 2000 BRAZALETES VIP\xa0(S/1,888.00)', 'categoria_producto': 'consu', 'cantidad': '1.0', 'valor_unitario': 1600.0, 'precio_unitario': 1888.0, 'descuento': 0.0, 'subtotal': 1600.0, 'porcentaje_de_igv': '18.00', 'igv': 288.0, 'total': 1888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5"/>
    <s v="consu"/>
    <n v="1"/>
    <n v="1600"/>
    <n v="1888"/>
    <n v="0"/>
    <n v="1600"/>
    <n v="18"/>
    <n v="288"/>
    <n v="1888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5"/>
  </r>
  <r>
    <x v="1"/>
    <x v="6"/>
    <s v="COLABORATIVA S.A.C."/>
    <x v="0"/>
    <d v="2025-10-16T18:44:35"/>
    <x v="1"/>
    <s v="Cliente"/>
    <n v="6"/>
    <n v="20608361074"/>
    <s v="[{'id_producto': '1', 'codigo_producto': '07', 'nom_producto': 'ENTRADAS IMPRESAS - Orden de venta NÂº 1032 - El ClÃ¡sico de la Cumbia NorteÃ±a en Huancayo con Agua Marina y Walther Lozada &amp; Orquesta / 1000 FULL COLOR ZONA GENERAL / 1000 BRAZALETES ZONA VIP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6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6"/>
  </r>
  <r>
    <x v="1"/>
    <x v="7"/>
    <s v="COLABORATIVA S.A.C."/>
    <x v="0"/>
    <d v="2025-10-16T18:44:10"/>
    <x v="1"/>
    <s v="Cliente"/>
    <n v="6"/>
    <n v="20608361074"/>
    <s v="[{'id_producto': '1', 'codigo_producto': '02', 'nom_producto': 'COMISIÃ“N PAGOS DIGITALES SEGÃšN CONTRATO', 'categoria_producto': 'service', 'cantidad': '1.0', 'valor_unitario': 6305.08, 'precio_unitario': 7439.99, 'descuento': 0.0, 'subtotal': 6305.08, 'porcentaje_de_igv': '18.00', 'igv': 1134.91, 'total': 7439.99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6305.08"/>
    <n v="7439.99"/>
    <n v="0"/>
    <n v="6305.08"/>
    <n v="18"/>
    <n v="1134.9100000000001"/>
    <n v="7439.99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7"/>
  </r>
  <r>
    <x v="1"/>
    <x v="8"/>
    <s v="COLABORATIVA S.A.C."/>
    <x v="0"/>
    <d v="2025-10-16T18:43:47"/>
    <x v="1"/>
    <s v="Cliente"/>
    <n v="6"/>
    <n v="20608361074"/>
    <s v="[{'id_producto': '1', 'codigo_producto': '01', 'nom_producto': 'COMISIÃ“N VAOPE SEGÃšN CONTRATO', 'categoria_producto': 'service', 'cantidad': '1.0', 'valor_unitario': 2880.59, 'precio_unitario': 3399.1, 'descuento': 0.0, 'subtotal': 2880.59, 'porcentaje_de_igv': '18.00', 'igv': 518.51, 'total': 3399.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880.59"/>
    <n v="3399.1"/>
    <n v="0"/>
    <n v="2880.59"/>
    <n v="18"/>
    <n v="518.51"/>
    <n v="3399.1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0"/>
    <s v="JP Producciones Generales EIRL"/>
    <m/>
    <x v="8"/>
  </r>
  <r>
    <x v="0"/>
    <x v="9"/>
    <s v="COLABORATIVA S.A.C."/>
    <x v="0"/>
    <d v="2025-10-16T18:26:58"/>
    <x v="2"/>
    <s v="Cliente"/>
    <n v="1"/>
    <n v="48595560"/>
    <s v="[{'id_producto': '1', 'codigo_producto': '04', 'nom_producto': 'PAUTA PUBLICITARIA - CORTESIA', 'categoria_producto': 'service', 'cantidad': '1.0', 'valor_unitario': 2701.0, 'precio_unitario': 3187.18, 'descuento': 0.0, 'subtotal': 2701.0, 'porcentaje_de_igv': '18.00', 'igv': 486.18, 'total': 3187.18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6"/>
    <x v="7"/>
    <s v="service"/>
    <n v="1"/>
    <n v="2701"/>
    <n v="3187.18"/>
    <n v="0"/>
    <n v="2701"/>
    <n v="18"/>
    <n v="486.18"/>
    <n v="3187.18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0"/>
    <s v="FIGUEROA ROSADO GABRIELA BRIYIT"/>
    <m/>
    <x v="9"/>
  </r>
  <r>
    <x v="0"/>
    <x v="10"/>
    <s v="COLABORATIVA S.A.C."/>
    <x v="0"/>
    <d v="2025-10-16T18:26:07"/>
    <x v="2"/>
    <s v="Cliente"/>
    <n v="1"/>
    <n v="48595560"/>
    <s v="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7"/>
    <x v="8"/>
    <s v="service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0"/>
    <s v="FIGUEROA ROSADO GABRIELA BRIYIT"/>
    <m/>
    <x v="10"/>
  </r>
  <r>
    <x v="0"/>
    <x v="11"/>
    <s v="COLABORATIVA S.A.C."/>
    <x v="0"/>
    <d v="2025-10-16T18:25:49"/>
    <x v="2"/>
    <s v="Cliente"/>
    <n v="1"/>
    <n v="48595560"/>
    <s v="[{'id_producto': '1', 'codigo_producto': '02', 'nom_producto': 'COMISIÃ“N PAGOS DIGITALES SEGÃšN CONTRATO', 'categoria_producto': 'service', 'cantidad': '1.0', 'valor_unitario': 1688.56, 'precio_unitario': 1992.5, 'descuento': 0.0, 'subtotal': 1688.56, 'porcentaje_de_igv': '18.00', 'igv': 303.94, 'total': 1992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688.56"/>
    <n v="1992.5"/>
    <n v="0"/>
    <n v="1688.56"/>
    <n v="18"/>
    <n v="303.94"/>
    <n v="1992.5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0"/>
    <s v="FIGUEROA ROSADO GABRIELA BRIYIT"/>
    <m/>
    <x v="11"/>
  </r>
  <r>
    <x v="0"/>
    <x v="12"/>
    <s v="COLABORATIVA S.A.C."/>
    <x v="0"/>
    <d v="2025-10-16T18:25:31"/>
    <x v="2"/>
    <s v="Cliente"/>
    <n v="1"/>
    <n v="48595560"/>
    <s v="[{'id_producto': '1', 'codigo_producto': '01', 'nom_producto': 'COMISIÃ“N VAOPE SEGÃšN CONTRATO', 'categoria_producto': 'service', 'cantidad': '1.0', 'valor_unitario': 1340.25, 'precio_unitario': 1581.5, 'descuento': 0.0, 'subtotal': 1340.25, 'porcentaje_de_igv': '18.00', 'igv': 241.25, 'total': 1581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'', 'nom_organizador': 'FIGUEROA ROSADO GABRIELA BRIYIT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340.25"/>
    <n v="1581.5"/>
    <n v="0"/>
    <n v="1340.25"/>
    <n v="18"/>
    <n v="241.25"/>
    <n v="1581.5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0"/>
    <s v="FIGUEROA ROSADO GABRIELA BRIYIT"/>
    <m/>
    <x v="12"/>
  </r>
  <r>
    <x v="0"/>
    <x v="13"/>
    <s v="COLABORATIVA S.A.C."/>
    <x v="0"/>
    <d v="2025-10-16T18:23:28"/>
    <x v="3"/>
    <m/>
    <n v="1"/>
    <s v="00384366"/>
    <s v="[{'id_producto': '1', 'codigo_producto': '02', 'nom_producto': 'COMISIÃ“N PAGOS DIGITALES SEGÃšN CONTRATO', 'categoria_producto': 'service', 'cantidad': '1.0', 'valor_unitario': 25.93, 'precio_unitario': 30.6, 'descuento': 0.0, 'subtotal': 25.93, 'porcentaje_de_igv': '18.01', 'igv': 4.67, 'total': 30.6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'', 'nom_organizador': 'ANGEL GABRIEL RODRÃGUEZ PINED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25.93"/>
    <n v="30.6"/>
    <n v="0"/>
    <n v="25.93"/>
    <n v="18.010000000000002"/>
    <n v="4.67"/>
    <n v="30.6"/>
    <n v="1"/>
    <m/>
    <x v="1"/>
    <x v="1"/>
    <x v="0"/>
    <s v="SAMUEL CHUQUISTA"/>
    <x v="0"/>
    <s v="7012100 MercaderÃ­as-Venta Local-Terceros"/>
    <x v="0"/>
    <x v="3"/>
    <s v="3er Aniversario Complejo Deportivo y Cultural Los Cumpas con Alegres de Bambamarca, Martin Vera y mÃ¡s en Puente Piedra"/>
    <d v="2025-04-10T00:00:00"/>
    <d v="2025-04-10T00:00:00"/>
    <x v="0"/>
    <s v="ANGEL GABRIEL RODRÃGUEZ PINEDA"/>
    <m/>
    <x v="13"/>
  </r>
  <r>
    <x v="0"/>
    <x v="14"/>
    <s v="COLABORATIVA S.A.C."/>
    <x v="0"/>
    <d v="2025-10-16T18:23:11"/>
    <x v="3"/>
    <m/>
    <n v="1"/>
    <s v="00384366"/>
    <s v="[{'id_producto': '1', 'codigo_producto': '01', 'nom_producto': 'COMISIÃ“N VAOPE SEGÃšN CONTRATO', 'categoria_producto': 'service', 'cantidad': '1.0', 'valor_unitario': 18.31, 'precio_unitario': 21.61, 'descuento': 0.0, 'subtotal': 18.31, 'porcentaje_de_igv': '18.02', 'igv': 3.3, 'total': 21.61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'', 'nom_organizador': 'ANGEL GABRIEL RODRÃGUEZ PINED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8.309999999999999"/>
    <n v="21.61"/>
    <n v="0"/>
    <n v="18.309999999999999"/>
    <n v="18.02"/>
    <n v="3.3"/>
    <n v="21.61"/>
    <n v="1"/>
    <m/>
    <x v="1"/>
    <x v="1"/>
    <x v="0"/>
    <s v="SAMUEL CHUQUISTA"/>
    <x v="0"/>
    <s v="7012100 MercaderÃ­as-Venta Local-Terceros"/>
    <x v="0"/>
    <x v="3"/>
    <s v="3er Aniversario Complejo Deportivo y Cultural Los Cumpas con Alegres de Bambamarca, Martin Vera y mÃ¡s en Puente Piedra"/>
    <d v="2025-04-10T00:00:00"/>
    <d v="2025-04-10T00:00:00"/>
    <x v="0"/>
    <s v="ANGEL GABRIEL RODRÃGUEZ PINEDA"/>
    <m/>
    <x v="14"/>
  </r>
  <r>
    <x v="1"/>
    <x v="15"/>
    <s v="COLABORATIVA S.A.C."/>
    <x v="0"/>
    <d v="2025-10-16T18:21:32"/>
    <x v="4"/>
    <m/>
    <n v="6"/>
    <n v="20509594903"/>
    <s v="[{'id_producto': '1', 'codigo_producto': '02', 'nom_producto': 'COMISIÃ“N PAGOS DIGITALES SEGÃšN CONTRATO', 'categoria_producto': 'service', 'cantidad': '1.0', 'valor_unitario': 369.41, 'precio_unitario': 435.9, 'descuento': 0.0, 'subtotal': 369.41, 'porcentaje_de_igv': '18.00', 'igv': 66.49, 'total': 435.9, 'moneda': '1', 'tipo_de_cambio': '', 'id_estado': 'not_paid', 'nombre_estado': 'Sin pagar', 'evento': {'id_evento': '3188', 'nom_evento': 'La Bella Luz y mÃ¡s en Ate Vitarte', 'Fecha_hora_ini_event': '2025-10-03', 'Fecha_hora_fin_event': '2025-10-03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369.41"/>
    <n v="435.9"/>
    <n v="0"/>
    <n v="369.41"/>
    <n v="18"/>
    <n v="66.489999999999995"/>
    <n v="435.9"/>
    <n v="1"/>
    <m/>
    <x v="1"/>
    <x v="1"/>
    <x v="0"/>
    <s v="SAMUEL CHUQUISTA"/>
    <x v="0"/>
    <s v="7012100 MercaderÃ­as-Venta Local-Terceros"/>
    <x v="0"/>
    <x v="4"/>
    <s v="La Bella Luz y mÃ¡s en Ate Vitarte"/>
    <d v="2025-03-10T00:00:00"/>
    <d v="2025-03-10T00:00:00"/>
    <x v="0"/>
    <s v="EMPRESA MUSICAL INTERNACIONAL LA BELLA LUZ E.I.R.L."/>
    <m/>
    <x v="15"/>
  </r>
  <r>
    <x v="1"/>
    <x v="16"/>
    <s v="COLABORATIVA S.A.C."/>
    <x v="0"/>
    <d v="2025-10-16T18:21:13"/>
    <x v="4"/>
    <m/>
    <n v="6"/>
    <n v="20509594903"/>
    <s v="[{'id_producto': '1', 'codigo_producto': '01', 'nom_producto': 'COMISIÃ“N VAOPE SEGÃšN CONTRATO', 'categoria_producto': 'service', 'cantidad': '1.0', 'valor_unitario': 256.61, 'precio_unitario': 302.8, 'descuento': 0.0, 'subtotal': 256.61, 'porcentaje_de_igv': '18.00', 'igv': 46.19, 'total': 302.8, 'moneda': '1', 'tipo_de_cambio': '', 'id_estado': 'not_paid', 'nombre_estado': 'Sin pagar', 'evento': {'id_evento': '3188', 'nom_evento': 'La Bella Luz y mÃ¡s en Ate Vitarte', 'Fecha_hora_ini_event': '2025-10-03', 'Fecha_hora_fin_event': '2025-10-03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56.61"/>
    <n v="302.8"/>
    <n v="0"/>
    <n v="256.61"/>
    <n v="18"/>
    <n v="46.19"/>
    <n v="302.8"/>
    <n v="1"/>
    <m/>
    <x v="1"/>
    <x v="1"/>
    <x v="0"/>
    <s v="SAMUEL CHUQUISTA"/>
    <x v="0"/>
    <s v="7012100 MercaderÃ­as-Venta Local-Terceros"/>
    <x v="0"/>
    <x v="4"/>
    <s v="La Bella Luz y mÃ¡s en Ate Vitarte"/>
    <d v="2025-03-10T00:00:00"/>
    <d v="2025-03-10T00:00:00"/>
    <x v="0"/>
    <s v="EMPRESA MUSICAL INTERNACIONAL LA BELLA LUZ E.I.R.L."/>
    <m/>
    <x v="16"/>
  </r>
  <r>
    <x v="1"/>
    <x v="17"/>
    <s v="COLABORATIVA S.A.C."/>
    <x v="0"/>
    <d v="2025-10-16T18:18:46"/>
    <x v="1"/>
    <s v="Cliente"/>
    <n v="6"/>
    <n v="20608361074"/>
    <s v="[{'id_producto': '1', 'codigo_producto': '06', 'nom_producto': 'COMISION CORTESIA - DELIVERY', 'categoria_producto': 'service', 'cantidad': '1.0', 'valor_unitario': 33.9, 'precio_unitario': 40.0, 'descuento': 0.0, 'subtotal': 33.9, 'porcentaje_de_igv': '17.99', 'igv': 6.1, 'total': 40.0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9"/>
    <s v="service"/>
    <n v="1"/>
    <n v="33.9"/>
    <n v="40"/>
    <n v="0"/>
    <n v="33.9"/>
    <n v="17.989999999999998"/>
    <n v="6.1"/>
    <n v="40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0"/>
    <s v="JP Producciones Generales EIRL"/>
    <m/>
    <x v="17"/>
  </r>
  <r>
    <x v="1"/>
    <x v="18"/>
    <s v="COLABORATIVA S.A.C."/>
    <x v="0"/>
    <d v="2025-10-16T18:15:12"/>
    <x v="1"/>
    <s v="Cliente"/>
    <n v="6"/>
    <n v="20608361074"/>
    <s v="[{'id_producto': '1', 'codigo_producto': '07', 'nom_producto': 'ENTRADAS IMPRESAS - Orden de venta NÂº 1041 - Agua Marina en Pichanaki / 2000 FULL COLOR GENERAL / 1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10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0"/>
    <s v="JP Producciones Generales EIRL"/>
    <m/>
    <x v="18"/>
  </r>
  <r>
    <x v="1"/>
    <x v="19"/>
    <s v="COLABORATIVA S.A.C."/>
    <x v="0"/>
    <d v="2025-10-16T18:14:33"/>
    <x v="1"/>
    <s v="Cliente"/>
    <n v="6"/>
    <n v="20608361074"/>
    <s v="[{'id_producto': '1', 'codigo_producto': '02', 'nom_producto': 'COMISIÃ“N PAGOS DIGITALES SEGÃšN CONTRATO', 'categoria_producto': 'service', 'cantidad': '1.0', 'valor_unitario': 3741.1, 'precio_unitario': 4414.5, 'descuento': 0.0, 'subtotal': 3741.1, 'porcentaje_de_igv': '18.00', 'igv': 673.4, 'total': 4414.5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3741.1"/>
    <n v="4414.5"/>
    <n v="0"/>
    <n v="3741.1"/>
    <n v="18"/>
    <n v="673.4"/>
    <n v="4414.5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0"/>
    <s v="JP Producciones Generales EIRL"/>
    <m/>
    <x v="19"/>
  </r>
  <r>
    <x v="1"/>
    <x v="20"/>
    <s v="COLABORATIVA S.A.C."/>
    <x v="0"/>
    <d v="2025-10-16T18:14:08"/>
    <x v="1"/>
    <s v="Cliente"/>
    <n v="6"/>
    <n v="20608361074"/>
    <s v="[{'id_producto': '1', 'codigo_producto': '01', 'nom_producto': 'COMISIÃ“N VAOPE SEGÃšN CONTRATO', 'categoria_producto': 'service', 'cantidad': '1.0', 'valor_unitario': 1571.02, 'precio_unitario': 1853.8, 'descuento': 0.0, 'subtotal': 1571.02, 'porcentaje_de_igv': '18.00', 'igv': 282.78, 'total': 1853.8, 'moneda': '1', 'tipo_de_cambio': '', 'id_estado': 'not_paid', 'nombre_estado': 'Sin pagar', 'evento': {'id_evento': '3051', 'nom_evento': 'Agua Marina en Pichanaki', 'Fecha_hora_ini_event': '2025-10-03', 'Fecha_hora_fin_event': '2025-10-03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571.02"/>
    <n v="1853.8"/>
    <n v="0"/>
    <n v="1571.02"/>
    <n v="18"/>
    <n v="282.77999999999997"/>
    <n v="1853.8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0"/>
    <s v="JP Producciones Generales EIRL"/>
    <m/>
    <x v="20"/>
  </r>
  <r>
    <x v="0"/>
    <x v="21"/>
    <s v="COLABORATIVA S.A.C."/>
    <x v="0"/>
    <d v="2025-10-16T18:11:09"/>
    <x v="5"/>
    <m/>
    <n v="1"/>
    <n v="73252959"/>
    <s v="[{'id_producto': '1', 'codigo_producto': '06', 'nom_producto': 'COMISION CORTESIA -', 'categoria_producto': 'service', 'cantidad': '1.0', 'valor_unitario': 63.0, 'precio_unitario': 74.34, 'descuento': 0.0, 'subtotal': 63.0, 'porcentaje_de_igv': '18.00', 'igv': 11.34, 'total': 74.34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63"/>
    <n v="74.34"/>
    <n v="0"/>
    <n v="63"/>
    <n v="18"/>
    <n v="11.34"/>
    <n v="74.34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0"/>
    <s v="JOSELYN VERONICA GUTIERREZ HUANCA"/>
    <m/>
    <x v="21"/>
  </r>
  <r>
    <x v="0"/>
    <x v="22"/>
    <s v="COLABORATIVA S.A.C."/>
    <x v="0"/>
    <d v="2025-10-16T18:10:51"/>
    <x v="5"/>
    <m/>
    <n v="1"/>
    <n v="73252959"/>
    <s v="[{'id_producto': '1', 'codigo_producto': '03', 'nom_producto': 'PERSONAL - Servicio de gestiÃ³n de pauta publicitaria para evento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4"/>
    <x v="11"/>
    <s v="service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0"/>
    <s v="JOSELYN VERONICA GUTIERREZ HUANCA"/>
    <m/>
    <x v="22"/>
  </r>
  <r>
    <x v="0"/>
    <x v="23"/>
    <s v="COLABORATIVA S.A.C."/>
    <x v="0"/>
    <d v="2025-10-16T18:10:33"/>
    <x v="5"/>
    <m/>
    <n v="1"/>
    <n v="73252959"/>
    <s v="[{'id_producto': '1', 'codigo_producto': '02', 'nom_producto': 'COMISIÃ“N PAGOS DIGITALES SEGÃšN CONTRATO', 'categoria_producto': 'service', 'cantidad': '1.0', 'valor_unitario': 785.59, 'precio_unitario': 927.0, 'descuento': 0.0, 'subtotal': 785.59, 'porcentaje_de_igv': '18.00', 'igv': 141.41, 'total': 927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785.59"/>
    <n v="927"/>
    <n v="0"/>
    <n v="785.59"/>
    <n v="18"/>
    <n v="141.41"/>
    <n v="927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0"/>
    <s v="JOSELYN VERONICA GUTIERREZ HUANCA"/>
    <m/>
    <x v="23"/>
  </r>
  <r>
    <x v="0"/>
    <x v="24"/>
    <s v="COLABORATIVA S.A.C."/>
    <x v="0"/>
    <d v="2025-10-16T18:10:16"/>
    <x v="5"/>
    <m/>
    <n v="1"/>
    <n v="73252959"/>
    <s v="[{'id_producto': '1', 'codigo_producto': '01', 'nom_producto': 'COMISIÃ“N VAOPE SEGÃšN CONTRATO', 'categoria_producto': 'service', 'cantidad': '1.0', 'valor_unitario': 943.14, 'precio_unitario': 1112.91, 'descuento': 0.0, 'subtotal': 943.14, 'porcentaje_de_igv': '18.00', 'igv': 169.77, 'total': 1112.91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'', 'nom_organizador': 'JOSELYN VERONICA GUTIERREZ HUANC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943.14"/>
    <n v="1112.9100000000001"/>
    <n v="0"/>
    <n v="943.14"/>
    <n v="18"/>
    <n v="169.77"/>
    <n v="1112.9100000000001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0"/>
    <s v="JOSELYN VERONICA GUTIERREZ HUANCA"/>
    <m/>
    <x v="24"/>
  </r>
  <r>
    <x v="1"/>
    <x v="25"/>
    <s v="COLABORATIVA S.A.C."/>
    <x v="0"/>
    <d v="2025-10-16T18:08:04"/>
    <x v="6"/>
    <m/>
    <n v="6"/>
    <n v="20610320261"/>
    <s v="[{'id_producto': '1', 'codigo_producto': '02', 'nom_producto': 'COMISIÃ“N PAGOS DIGITALES SEGÃšN CONTRATO', 'categoria_producto': 'service', 'cantidad': '1.0', 'valor_unitario': 1820.0, 'precio_unitario': 2147.6, 'descuento': 0.0, 'subtotal': 1820.0, 'porcentaje_de_igv': '18.00', 'igv': 327.6, 'total': 2147.6, 'moneda': '1', 'tipo_de_cambio': '', 'id_estado': 'not_paid', 'nombre_estado': 'Sin pagar', 'evento': {'id_evento': '2897', 'nom_evento': 'Amaranta en Cusco', 'Fecha_hora_ini_event': '2025-10-02', 'Fecha_hora_fin_event': '2025-10-02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820"/>
    <n v="2147.6"/>
    <n v="0"/>
    <n v="1820"/>
    <n v="18"/>
    <n v="327.60000000000002"/>
    <n v="2147.6"/>
    <n v="1"/>
    <m/>
    <x v="1"/>
    <x v="1"/>
    <x v="0"/>
    <s v="SAMUEL CHUQUISTA"/>
    <x v="0"/>
    <s v="7012100 MercaderÃ­as-Venta Local-Terceros"/>
    <x v="0"/>
    <x v="7"/>
    <s v="Amaranta en Cusco"/>
    <d v="2025-02-10T00:00:00"/>
    <d v="2025-02-10T00:00:00"/>
    <x v="0"/>
    <s v="AMARANTA MUSIC CORP S.A.C."/>
    <m/>
    <x v="25"/>
  </r>
  <r>
    <x v="1"/>
    <x v="26"/>
    <s v="COLABORATIVA S.A.C."/>
    <x v="0"/>
    <d v="2025-10-16T18:07:43"/>
    <x v="6"/>
    <m/>
    <n v="6"/>
    <n v="20610320261"/>
    <s v="[{'id_producto': '1', 'codigo_producto': '01', 'nom_producto': 'COMISIÃ“N VAOPE SEGÃšN CONTRATO', 'categoria_producto': 'service', 'cantidad': '1.0', 'valor_unitario': 2213.98, 'precio_unitario': 2612.5, 'descuento': 0.0, 'subtotal': 2213.98, 'porcentaje_de_igv': '18.00', 'igv': 398.52, 'total': 2612.5, 'moneda': '1', 'tipo_de_cambio': '', 'id_estado': 'not_paid', 'nombre_estado': 'Sin pagar', 'evento': {'id_evento': '2897', 'nom_evento': 'Amaranta en Cusco', 'Fecha_hora_ini_event': '2025-10-02', 'Fecha_hora_fin_event': '2025-10-02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213.98"/>
    <n v="2612.5"/>
    <n v="0"/>
    <n v="2213.98"/>
    <n v="18"/>
    <n v="398.52"/>
    <n v="2612.5"/>
    <n v="1"/>
    <m/>
    <x v="1"/>
    <x v="1"/>
    <x v="0"/>
    <s v="SAMUEL CHUQUISTA"/>
    <x v="0"/>
    <s v="7012100 MercaderÃ­as-Venta Local-Terceros"/>
    <x v="0"/>
    <x v="7"/>
    <s v="Amaranta en Cusco"/>
    <d v="2025-02-10T00:00:00"/>
    <d v="2025-02-10T00:00:00"/>
    <x v="0"/>
    <s v="AMARANTA MUSIC CORP S.A.C."/>
    <m/>
    <x v="26"/>
  </r>
  <r>
    <x v="1"/>
    <x v="27"/>
    <s v="COLABORATIVA S.A.C."/>
    <x v="0"/>
    <d v="2025-10-16T18:05:49"/>
    <x v="6"/>
    <m/>
    <n v="6"/>
    <n v="20610320261"/>
    <s v="[{'id_producto': '1', 'codigo_producto': '06', 'nom_producto': 'COMISION CORTESIA -', 'categoria_producto': 'service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2899', 'nom_evento': 'Amaranta en Juliaca', 'Fecha_hora_ini_event': '2025-10-03', 'Fecha_hora_fin_event': '2025-10-03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7.5"/>
    <n v="8.85"/>
    <n v="0"/>
    <n v="7.5"/>
    <n v="18"/>
    <n v="1.35"/>
    <n v="8.85"/>
    <n v="1"/>
    <m/>
    <x v="1"/>
    <x v="1"/>
    <x v="0"/>
    <s v="SAMUEL CHUQUISTA"/>
    <x v="0"/>
    <s v="7012100 MercaderÃ­as-Venta Local-Terceros"/>
    <x v="0"/>
    <x v="8"/>
    <s v="Amaranta en Juliaca"/>
    <d v="2025-03-10T00:00:00"/>
    <d v="2025-03-10T00:00:00"/>
    <x v="0"/>
    <s v="AMARANTA MUSIC CORP S.A.C."/>
    <m/>
    <x v="27"/>
  </r>
  <r>
    <x v="1"/>
    <x v="0"/>
    <s v="COLABORATIVA S.A.C."/>
    <x v="0"/>
    <d v="2025-10-16T18:05:30"/>
    <x v="6"/>
    <m/>
    <n v="6"/>
    <n v="20610320261"/>
    <s v="[{'id_producto': '1', 'codigo_producto': '02', 'nom_producto': 'COMISIÃ“N PAGOS DIGITALES SEGÃšN CONTRATO', 'categoria_producto': 'service', 'cantidad': '1.0', 'valor_unitario': 1174.24, 'precio_unitario': 1385.6, 'descuento': 0.0, 'subtotal': 1174.24, 'porcentaje_de_igv': '18.00', 'igv': 211.36, 'total': 1385.6, 'moneda': '1', 'tipo_de_cambio': '', 'id_estado': 'not_paid', 'nombre_estado': 'Sin pagar', 'evento': {'id_evento': '2899', 'nom_evento': 'Amaranta en Juliaca', 'Fecha_hora_ini_event': '2025-10-03', 'Fecha_hora_fin_event': '2025-10-03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174.24"/>
    <n v="1385.6"/>
    <n v="0"/>
    <n v="1174.24"/>
    <n v="18"/>
    <n v="211.36"/>
    <n v="1385.6"/>
    <n v="1"/>
    <m/>
    <x v="1"/>
    <x v="1"/>
    <x v="0"/>
    <s v="SAMUEL CHUQUISTA"/>
    <x v="0"/>
    <s v="7012100 MercaderÃ­as-Venta Local-Terceros"/>
    <x v="0"/>
    <x v="8"/>
    <s v="Amaranta en Juliaca"/>
    <d v="2025-03-10T00:00:00"/>
    <d v="2025-03-10T00:00:00"/>
    <x v="0"/>
    <s v="AMARANTA MUSIC CORP S.A.C."/>
    <m/>
    <x v="28"/>
  </r>
  <r>
    <x v="1"/>
    <x v="1"/>
    <s v="COLABORATIVA S.A.C."/>
    <x v="0"/>
    <d v="2025-10-16T18:05:09"/>
    <x v="6"/>
    <m/>
    <n v="6"/>
    <n v="20610320261"/>
    <s v="[{'id_producto': '1', 'codigo_producto': '01', 'nom_producto': 'COMISIÃ“N VAOPE SEGÃšN CONTRATO', 'categoria_producto': 'service', 'cantidad': '1.0', 'valor_unitario': 1463.05, 'precio_unitario': 1726.4, 'descuento': 0.0, 'subtotal': 1463.05, 'porcentaje_de_igv': '18.00', 'igv': 263.35, 'total': 1726.4, 'moneda': '1', 'tipo_de_cambio': '', 'id_estado': 'not_paid', 'nombre_estado': 'Sin pagar', 'evento': {'id_evento': '2899', 'nom_evento': 'Amaranta en Juliaca', 'Fecha_hora_ini_event': '2025-10-03', 'Fecha_hora_fin_event': '2025-10-03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463.05"/>
    <n v="1726.4"/>
    <n v="0"/>
    <n v="1463.05"/>
    <n v="18"/>
    <n v="263.35000000000002"/>
    <n v="1726.4"/>
    <n v="1"/>
    <m/>
    <x v="1"/>
    <x v="1"/>
    <x v="0"/>
    <s v="SAMUEL CHUQUISTA"/>
    <x v="0"/>
    <s v="7012100 MercaderÃ­as-Venta Local-Terceros"/>
    <x v="0"/>
    <x v="8"/>
    <s v="Amaranta en Juliaca"/>
    <d v="2025-03-10T00:00:00"/>
    <d v="2025-03-10T00:00:00"/>
    <x v="0"/>
    <s v="AMARANTA MUSIC CORP S.A.C."/>
    <m/>
    <x v="29"/>
  </r>
  <r>
    <x v="1"/>
    <x v="9"/>
    <s v="COLABORATIVA S.A.C."/>
    <x v="0"/>
    <d v="2025-10-16T18:02:44"/>
    <x v="6"/>
    <m/>
    <n v="6"/>
    <n v="20610320261"/>
    <s v="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898', 'nom_evento': 'Amaranta en Arequipa', 'Fecha_hora_ini_event': '2025-10-04', 'Fecha_hora_fin_event': '2025-10-04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6"/>
    <n v="7.08"/>
    <n v="0"/>
    <n v="6"/>
    <n v="18"/>
    <n v="1.08"/>
    <n v="7.08"/>
    <n v="1"/>
    <m/>
    <x v="1"/>
    <x v="1"/>
    <x v="0"/>
    <s v="SAMUEL CHUQUISTA"/>
    <x v="0"/>
    <s v="7012100 MercaderÃ­as-Venta Local-Terceros"/>
    <x v="0"/>
    <x v="9"/>
    <s v="Amaranta en Arequipa"/>
    <d v="2025-04-10T00:00:00"/>
    <d v="2025-04-10T00:00:00"/>
    <x v="0"/>
    <s v="AMARANTA MUSIC CORP S.A.C."/>
    <m/>
    <x v="30"/>
  </r>
  <r>
    <x v="1"/>
    <x v="10"/>
    <s v="COLABORATIVA S.A.C."/>
    <x v="0"/>
    <d v="2025-10-16T18:02:27"/>
    <x v="6"/>
    <m/>
    <n v="6"/>
    <n v="20610320261"/>
    <s v="[{'id_producto': '1', 'codigo_producto': '02', 'nom_producto': 'COMISIÃ“N PAGOS DIGITALES SEGÃšN CONTRATO', 'categoria_producto': 'service', 'cantidad': '1.0', 'valor_unitario': 3056.19, 'precio_unitario': 3606.3, 'descuento': 0.0, 'subtotal': 3056.19, 'porcentaje_de_igv': '18.00', 'igv': 550.11, 'total': 3606.3, 'moneda': '1', 'tipo_de_cambio': '', 'id_estado': 'not_paid', 'nombre_estado': 'Sin pagar', 'evento': {'id_evento': '2898', 'nom_evento': 'Amaranta en Arequipa', 'Fecha_hora_ini_event': '2025-10-04', 'Fecha_hora_fin_event': '2025-10-04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3056.19"/>
    <n v="3606.3"/>
    <n v="0"/>
    <n v="3056.19"/>
    <n v="18"/>
    <n v="550.11"/>
    <n v="3606.3"/>
    <n v="1"/>
    <m/>
    <x v="1"/>
    <x v="1"/>
    <x v="0"/>
    <s v="SAMUEL CHUQUISTA"/>
    <x v="0"/>
    <s v="7012100 MercaderÃ­as-Venta Local-Terceros"/>
    <x v="0"/>
    <x v="9"/>
    <s v="Amaranta en Arequipa"/>
    <d v="2025-04-10T00:00:00"/>
    <d v="2025-04-10T00:00:00"/>
    <x v="0"/>
    <s v="AMARANTA MUSIC CORP S.A.C."/>
    <m/>
    <x v="31"/>
  </r>
  <r>
    <x v="1"/>
    <x v="11"/>
    <s v="COLABORATIVA S.A.C."/>
    <x v="0"/>
    <d v="2025-10-16T18:02:07"/>
    <x v="6"/>
    <m/>
    <n v="6"/>
    <n v="20610320261"/>
    <s v="[{'id_producto': '1', 'codigo_producto': '01', 'nom_producto': 'COMISIÃ“N VAOPE SEGÃšN CONTRATO', 'categoria_producto': 'service', 'cantidad': '1.0', 'valor_unitario': 3740.42, 'precio_unitario': 4413.7, 'descuento': 0.0, 'subtotal': 3740.42, 'porcentaje_de_igv': '18.00', 'igv': 673.28, 'total': 4413.7, 'moneda': '1', 'tipo_de_cambio': '', 'id_estado': 'not_paid', 'nombre_estado': 'Sin pagar', 'evento': {'id_evento': '2898', 'nom_evento': 'Amaranta en Arequipa', 'Fecha_hora_ini_event': '2025-10-04', 'Fecha_hora_fin_event': '2025-10-04', 'id_organizador': '', 'nom_organizador': 'AMARANTA MUSIC CORP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3740.42"/>
    <n v="4413.7"/>
    <n v="0"/>
    <n v="3740.42"/>
    <n v="18"/>
    <n v="673.28"/>
    <n v="4413.7"/>
    <n v="1"/>
    <m/>
    <x v="1"/>
    <x v="1"/>
    <x v="0"/>
    <s v="SAMUEL CHUQUISTA"/>
    <x v="0"/>
    <s v="7012100 MercaderÃ­as-Venta Local-Terceros"/>
    <x v="0"/>
    <x v="9"/>
    <s v="Amaranta en Arequipa"/>
    <d v="2025-04-10T00:00:00"/>
    <d v="2025-04-10T00:00:00"/>
    <x v="0"/>
    <s v="AMARANTA MUSIC CORP S.A.C."/>
    <m/>
    <x v="32"/>
  </r>
  <r>
    <x v="0"/>
    <x v="28"/>
    <s v="COLABORATIVA S.A.C."/>
    <x v="0"/>
    <d v="2025-10-16T17:59:07"/>
    <x v="7"/>
    <m/>
    <n v="1"/>
    <n v="46168918"/>
    <s v="[{'id_producto': '1', 'codigo_producto': '05', 'nom_producto': 'DELIVERY -', 'categoria_producto': 'service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2"/>
    <x v="2"/>
    <s v="service"/>
    <n v="1"/>
    <n v="30"/>
    <n v="35.4"/>
    <n v="0"/>
    <n v="30"/>
    <n v="18"/>
    <n v="5.4"/>
    <n v="35.4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3"/>
  </r>
  <r>
    <x v="0"/>
    <x v="29"/>
    <s v="COLABORATIVA S.A.C."/>
    <x v="0"/>
    <d v="2025-10-16T17:58:49"/>
    <x v="7"/>
    <m/>
    <n v="1"/>
    <n v="46168918"/>
    <s v="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6"/>
    <n v="7.08"/>
    <n v="0"/>
    <n v="6"/>
    <n v="18"/>
    <n v="1.08"/>
    <n v="7.08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4"/>
  </r>
  <r>
    <x v="0"/>
    <x v="30"/>
    <s v="COLABORATIVA S.A.C."/>
    <x v="0"/>
    <d v="2025-10-16T17:55:13"/>
    <x v="7"/>
    <m/>
    <n v="1"/>
    <n v="46168918"/>
    <s v="[{'id_producto': '1', 'codigo_producto': '04', 'nom_producto': 'PAUTA PUBLICITARIA -', 'categoria_producto': 'service', 'cantidad': '1.0', 'valor_unitario': 2687.46, 'precio_unitario': 3171.2, 'descuento': 0.0, 'subtotal': 2687.46, 'porcentaje_de_igv': '18.00', 'igv': 483.74, 'total': 3171.2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6"/>
    <x v="12"/>
    <s v="service"/>
    <n v="1"/>
    <n v="2687.46"/>
    <n v="3171.2"/>
    <n v="0"/>
    <n v="2687.46"/>
    <n v="18"/>
    <n v="483.74"/>
    <n v="3171.2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5"/>
  </r>
  <r>
    <x v="0"/>
    <x v="31"/>
    <s v="COLABORATIVA S.A.C."/>
    <x v="0"/>
    <d v="2025-10-16T17:54:53"/>
    <x v="7"/>
    <m/>
    <n v="1"/>
    <n v="46168918"/>
    <s v="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7"/>
    <x v="8"/>
    <s v="service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6"/>
  </r>
  <r>
    <x v="0"/>
    <x v="32"/>
    <s v="COLABORATIVA S.A.C."/>
    <x v="0"/>
    <d v="2025-10-16T17:54:34"/>
    <x v="7"/>
    <m/>
    <n v="1"/>
    <n v="46168918"/>
    <s v="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7"/>
    <x v="8"/>
    <s v="service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7"/>
  </r>
  <r>
    <x v="0"/>
    <x v="33"/>
    <s v="COLABORATIVA S.A.C."/>
    <x v="0"/>
    <d v="2025-10-16T17:53:34"/>
    <x v="7"/>
    <m/>
    <n v="1"/>
    <n v="46168918"/>
    <s v="[{'id_producto': '1', 'codigo_producto': '03', 'nom_producto': 'PERSONAL - Servicio de 2 validadores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4"/>
    <x v="13"/>
    <s v="service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8"/>
  </r>
  <r>
    <x v="0"/>
    <x v="34"/>
    <s v="COLABORATIVA S.A.C."/>
    <x v="0"/>
    <d v="2025-10-16T17:50:13"/>
    <x v="7"/>
    <m/>
    <n v="1"/>
    <n v="46168918"/>
    <s v="[{'id_producto': '1', 'codigo_producto': '07', 'nom_producto': 'ENTRADAS IMPRESAS - Orden de venta NÂº 997\n Primer Festival de la MÃºsica Latino Americana en Chiclayo/ 1000 BRAZALETE PERSONALIZADO ZONA VIP / 1000 BRAZALETE PERSONALIZADO ZONA CULTURAL / 1000 BRAZALETE PERSONALIZADO ZONA BOX (S/1,924.00)', 'categoria_producto': 'consu', 'cantidad': '1.0', 'valor_unitario': 1630.51, 'precio_unitario': 1924.0, 'descuento': 0.0, 'subtotal': 1630.51, 'porcentaje_de_igv': '18.00', 'igv': 293.49, 'total': 192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14"/>
    <s v="consu"/>
    <n v="1"/>
    <n v="1630.51"/>
    <n v="1924"/>
    <n v="0"/>
    <n v="1630.51"/>
    <n v="18"/>
    <n v="293.49"/>
    <n v="1924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39"/>
  </r>
  <r>
    <x v="0"/>
    <x v="35"/>
    <s v="COLABORATIVA S.A.C."/>
    <x v="0"/>
    <d v="2025-10-16T17:49:49"/>
    <x v="7"/>
    <m/>
    <n v="1"/>
    <n v="46168918"/>
    <s v="[{'id_producto': '1', 'codigo_producto': '02', 'nom_producto': 'COMISIÃ“N PAGOS DIGITALES SEGÃšN CONTRATO', 'categoria_producto': 'service', 'cantidad': '1.0', 'valor_unitario': 988.4, 'precio_unitario': 1166.31, 'descuento': 0.0, 'subtotal': 988.4, 'porcentaje_de_igv': '18.00', 'igv': 177.91, 'total': 1166.31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988.4"/>
    <n v="1166.31"/>
    <n v="0"/>
    <n v="988.4"/>
    <n v="18"/>
    <n v="177.91"/>
    <n v="1166.31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40"/>
  </r>
  <r>
    <x v="0"/>
    <x v="36"/>
    <s v="COLABORATIVA S.A.C."/>
    <x v="0"/>
    <d v="2025-10-16T17:49:18"/>
    <x v="7"/>
    <m/>
    <n v="1"/>
    <n v="46168918"/>
    <s v="[{'id_producto': '1', 'codigo_producto': '01', 'nom_producto': 'COMISIÃ“N VAOPE SEGÃšN CONTRATO', 'categoria_producto': 'service', 'cantidad': '1.0', 'valor_unitario': 904.65, 'precio_unitario': 1067.49, 'descuento': 0.0, 'subtotal': 904.65, 'porcentaje_de_igv': '18.00', 'igv': 162.84, 'total': 1067.49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'', 'nom_organizador': 'MANUEL CARLOS AMIAS SHAPIAMA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904.65"/>
    <n v="1067.49"/>
    <n v="0"/>
    <n v="904.65"/>
    <n v="18"/>
    <n v="162.84"/>
    <n v="1067.49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0"/>
    <s v="MANUEL CARLOS AMIAS SHAPIAMA"/>
    <m/>
    <x v="41"/>
  </r>
  <r>
    <x v="1"/>
    <x v="12"/>
    <s v="COLABORATIVA S.A.C."/>
    <x v="0"/>
    <d v="2025-10-16T17:44:51"/>
    <x v="8"/>
    <m/>
    <n v="6"/>
    <n v="20559860701"/>
    <s v="[{'id_producto': '1', 'codigo_producto': '02', 'nom_producto': 'COMISIÃ“N PAGOS DIGITALES SEGÃšN CONTRATO', 'categoria_producto': 'service', 'cantidad': '1.0', 'valor_unitario': 1934.24, 'precio_unitario': 2282.4, 'descuento': 0.0, 'subtotal': 1934.24, 'porcentaje_de_igv': '18.00', 'igv': 348.16, 'total': 2282.4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'', 'nom_organizador': 'ALAN INVERSIONES &amp; REPRESENTACIONES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934.24"/>
    <n v="2282.4"/>
    <n v="0"/>
    <n v="1934.24"/>
    <n v="18"/>
    <n v="348.16"/>
    <n v="2282.4"/>
    <n v="1"/>
    <m/>
    <x v="1"/>
    <x v="1"/>
    <x v="0"/>
    <s v="SAMUEL CHUQUISTA"/>
    <x v="0"/>
    <s v="7012100 MercaderÃ­as-Venta Local-Terceros"/>
    <x v="0"/>
    <x v="11"/>
    <s v="24 Aniversario de Victor Manuel del PerÃº, Max Castro, Milder Ore y mÃ¡s en Trujillo"/>
    <d v="2025-05-10T00:00:00"/>
    <d v="2025-05-10T00:00:00"/>
    <x v="0"/>
    <s v="ALAN INVERSIONES &amp; REPRESENTACIONES S.A.C."/>
    <m/>
    <x v="42"/>
  </r>
  <r>
    <x v="1"/>
    <x v="13"/>
    <s v="COLABORATIVA S.A.C."/>
    <x v="0"/>
    <d v="2025-10-16T17:44:32"/>
    <x v="8"/>
    <m/>
    <n v="6"/>
    <n v="20559860701"/>
    <s v="[{'id_producto': '1', 'codigo_producto': '01', 'nom_producto': 'COMISIÃ“N VAOPE SEGÃšN CONTRATO', 'categoria_producto': 'service', 'cantidad': '1.0', 'valor_unitario': 2316.61, 'precio_unitario': 2733.6, 'descuento': 0.0, 'subtotal': 2316.61, 'porcentaje_de_igv': '18.00', 'igv': 416.99, 'total': 2733.6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'', 'nom_organizador': 'ALAN INVERSIONES &amp; REPRESENTACIONES S.A.C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316.61"/>
    <n v="2733.6"/>
    <n v="0"/>
    <n v="2316.61"/>
    <n v="18"/>
    <n v="416.99"/>
    <n v="2733.6"/>
    <n v="1"/>
    <m/>
    <x v="1"/>
    <x v="1"/>
    <x v="0"/>
    <s v="SAMUEL CHUQUISTA"/>
    <x v="0"/>
    <s v="7012100 MercaderÃ­as-Venta Local-Terceros"/>
    <x v="0"/>
    <x v="11"/>
    <s v="24 Aniversario de Victor Manuel del PerÃº, Max Castro, Milder Ore y mÃ¡s en Trujillo"/>
    <d v="2025-05-10T00:00:00"/>
    <d v="2025-05-10T00:00:00"/>
    <x v="0"/>
    <s v="ALAN INVERSIONES &amp; REPRESENTACIONES S.A.C."/>
    <m/>
    <x v="43"/>
  </r>
  <r>
    <x v="1"/>
    <x v="14"/>
    <s v="COLABORATIVA S.A.C."/>
    <x v="0"/>
    <d v="2025-10-16T17:42:47"/>
    <x v="4"/>
    <m/>
    <n v="6"/>
    <n v="20509594903"/>
    <s v="[{'id_producto': '1', 'codigo_producto': '02', 'nom_producto': 'COMISIÃ“N PAGOS DIGITALES SEGÃšN CONTRATO', 'categoria_producto': 'service', 'cantidad': '1.0', 'valor_unitario': 1427.8, 'precio_unitario': 1684.8, 'descuento': 0.0, 'subtotal': 1427.8, 'porcentaje_de_igv': '18.00', 'igv': 257.0, 'total': 1684.8, 'moneda': '1', 'tipo_de_cambio': '', 'id_estado': 'not_paid', 'nombre_estado': 'Sin pagar', 'evento': {'id_evento': '3172', 'nom_evento': 'La Bella Luz en Pachacamac', 'Fecha_hora_ini_event': '2025-10-06', 'Fecha_hora_fin_event': '2025-10-06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427.8"/>
    <n v="1684.8"/>
    <n v="0"/>
    <n v="1427.8"/>
    <n v="18"/>
    <n v="257"/>
    <n v="1684.8"/>
    <n v="1"/>
    <m/>
    <x v="1"/>
    <x v="1"/>
    <x v="0"/>
    <s v="SAMUEL CHUQUISTA"/>
    <x v="0"/>
    <s v="7012100 MercaderÃ­as-Venta Local-Terceros"/>
    <x v="0"/>
    <x v="12"/>
    <s v="La Bella Luz en Pachacamac"/>
    <d v="2025-06-10T00:00:00"/>
    <d v="2025-06-10T00:00:00"/>
    <x v="0"/>
    <s v="EMPRESA MUSICAL INTERNACIONAL LA BELLA LUZ E.I.R.L."/>
    <m/>
    <x v="44"/>
  </r>
  <r>
    <x v="1"/>
    <x v="21"/>
    <s v="COLABORATIVA S.A.C."/>
    <x v="0"/>
    <d v="2025-10-16T17:42:24"/>
    <x v="4"/>
    <m/>
    <n v="6"/>
    <n v="20509594903"/>
    <s v="[{'id_producto': '1', 'codigo_producto': '01', 'nom_producto': 'COMISIÃ“N VAOPE SEGÃšN CONTRATO', 'categoria_producto': 'service', 'cantidad': '1.0', 'valor_unitario': 976.78, 'precio_unitario': 1152.6, 'descuento': 0.0, 'subtotal': 976.78, 'porcentaje_de_igv': '18.00', 'igv': 175.82, 'total': 1152.6, 'moneda': '1', 'tipo_de_cambio': '', 'id_estado': 'not_paid', 'nombre_estado': 'Sin pagar', 'evento': {'id_evento': '3172', 'nom_evento': 'La Bella Luz en Pachacamac', 'Fecha_hora_ini_event': '2025-10-06', 'Fecha_hora_fin_event': '2025-10-06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976.78"/>
    <n v="1152.5999999999999"/>
    <n v="0"/>
    <n v="976.78"/>
    <n v="18"/>
    <n v="175.82"/>
    <n v="1152.5999999999999"/>
    <n v="1"/>
    <m/>
    <x v="1"/>
    <x v="1"/>
    <x v="0"/>
    <s v="SAMUEL CHUQUISTA"/>
    <x v="0"/>
    <s v="7012100 MercaderÃ­as-Venta Local-Terceros"/>
    <x v="0"/>
    <x v="12"/>
    <s v="La Bella Luz en Pachacamac"/>
    <d v="2025-06-10T00:00:00"/>
    <d v="2025-06-10T00:00:00"/>
    <x v="0"/>
    <s v="EMPRESA MUSICAL INTERNACIONAL LA BELLA LUZ E.I.R.L."/>
    <m/>
    <x v="45"/>
  </r>
  <r>
    <x v="1"/>
    <x v="22"/>
    <s v="COLABORATIVA S.A.C."/>
    <x v="1"/>
    <d v="2025-10-16T15:08:24"/>
    <x v="9"/>
    <m/>
    <n v="6"/>
    <n v="10461667983"/>
    <s v="[{'id_producto': '1', 'codigo_producto': '02', 'nom_producto': 'COMISIÃ“N PAGOS DIGITALES SEGÃšN CONTRATO', 'categoria_producto': 'service', 'cantidad': '1.0', 'valor_unitario': 651.53, 'precio_unitario': 768.81, 'descuento': 0.0, 'subtotal': 651.53, 'porcentaje_de_igv': '18.00', 'igv': 117.28, 'total': 768.81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'', 'nom_organizador': 'RIVERA GUERRERO ANGGELA RINA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0"/>
    <x v="0"/>
    <s v="service"/>
    <n v="1"/>
    <n v="651.53"/>
    <n v="768.81"/>
    <n v="0"/>
    <n v="651.53"/>
    <n v="18"/>
    <n v="117.28"/>
    <n v="768.81"/>
    <n v="1"/>
    <m/>
    <x v="1"/>
    <x v="1"/>
    <x v="0"/>
    <s v="SAMUEL CHUQUISTA"/>
    <x v="0"/>
    <s v="7012100 MercaderÃ­as-Venta Local-Terceros"/>
    <x v="0"/>
    <x v="13"/>
    <s v="Desde Colombia Lil Silvio &amp; El Vega en Cajamarca"/>
    <d v="2025-07-10T00:00:00"/>
    <d v="2025-07-10T00:00:00"/>
    <x v="0"/>
    <s v="RIVERA GUERRERO ANGGELA RINA"/>
    <m/>
    <x v="46"/>
  </r>
  <r>
    <x v="1"/>
    <x v="23"/>
    <s v="COLABORATIVA S.A.C."/>
    <x v="1"/>
    <d v="2025-10-16T15:08:04"/>
    <x v="9"/>
    <m/>
    <n v="6"/>
    <n v="10461667983"/>
    <s v="[{'id_producto': '1', 'codigo_producto': '01', 'nom_producto': 'COMISIÃ“N VAOPE SEGÃšN CONTRATO', 'categoria_producto': 'service', 'cantidad': '1.0', 'valor_unitario': 556.44, 'precio_unitario': 656.6, 'descuento': 0.0, 'subtotal': 556.44, 'porcentaje_de_igv': '18.00', 'igv': 100.16, 'total': 656.6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'', 'nom_organizador': 'RIVERA GUERRERO ANGGELA RINA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1"/>
    <x v="1"/>
    <s v="service"/>
    <n v="1"/>
    <n v="556.44000000000005"/>
    <n v="656.6"/>
    <n v="0"/>
    <n v="556.44000000000005"/>
    <n v="18"/>
    <n v="100.16"/>
    <n v="656.6"/>
    <n v="1"/>
    <m/>
    <x v="1"/>
    <x v="1"/>
    <x v="0"/>
    <s v="SAMUEL CHUQUISTA"/>
    <x v="0"/>
    <s v="7012100 MercaderÃ­as-Venta Local-Terceros"/>
    <x v="0"/>
    <x v="13"/>
    <s v="Desde Colombia Lil Silvio &amp; El Vega en Cajamarca"/>
    <d v="2025-07-10T00:00:00"/>
    <d v="2025-07-10T00:00:00"/>
    <x v="0"/>
    <s v="RIVERA GUERRERO ANGGELA RINA"/>
    <m/>
    <x v="47"/>
  </r>
  <r>
    <x v="0"/>
    <x v="37"/>
    <s v="COLABORATIVA S.A.C."/>
    <x v="1"/>
    <d v="2025-10-16T14:51:15"/>
    <x v="10"/>
    <s v="Cliente"/>
    <n v="1"/>
    <n v="43908595"/>
    <s v="[{'id_producto': '1', 'codigo_producto': '05', 'nom_producto': 'DELIVERY -', 'categoria_producto': 'service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2"/>
    <x v="2"/>
    <s v="service"/>
    <n v="1"/>
    <n v="60"/>
    <n v="70.8"/>
    <n v="0"/>
    <n v="60"/>
    <n v="18"/>
    <n v="10.8"/>
    <n v="70.8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0"/>
    <s v="JESUS MANUEL COTRINA CORPUS"/>
    <m/>
    <x v="48"/>
  </r>
  <r>
    <x v="1"/>
    <x v="24"/>
    <s v="COLABORATIVA S.A.C."/>
    <x v="1"/>
    <d v="2025-10-16T09:36:40"/>
    <x v="11"/>
    <m/>
    <n v="6"/>
    <n v="20480413700"/>
    <s v="[{'id_producto': '1', 'codigo_producto': '06', 'nom_producto': 'COMISION CORTESIA -', 'categoria_producto': 'service', 'cantidad': '1.0', 'valor_unitario': 12.5, 'precio_unitario': 14.75, 'descuento': 0.0, 'subtotal': 12.5, 'porcentaje_de_igv': '18.00', 'igv': 2.25, 'total': 14.75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3"/>
    <x v="3"/>
    <s v="service"/>
    <n v="1"/>
    <n v="12.5"/>
    <n v="14.75"/>
    <n v="0"/>
    <n v="12.5"/>
    <n v="18"/>
    <n v="2.25"/>
    <n v="14.75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0"/>
    <s v="PROMOTORA M&amp;M S.R.L."/>
    <m/>
    <x v="49"/>
  </r>
  <r>
    <x v="1"/>
    <x v="28"/>
    <s v="COLABORATIVA S.A.C."/>
    <x v="1"/>
    <d v="2025-10-16T09:36:08"/>
    <x v="11"/>
    <m/>
    <n v="6"/>
    <n v="20480413700"/>
    <s v="[{'id_producto': '1', 'codigo_producto': '04', 'nom_producto': 'PAUTA PUBLICITARIA -', 'categoria_producto': 'service', 'cantidad': '1.0', 'valor_unitario': 1271.19, 'precio_unitario': 1500.0, 'descuento': 0.0, 'subtotal': 1271.19, 'porcentaje_de_igv': '18.00', 'igv': 228.81, 'total': 1500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6"/>
    <x v="12"/>
    <s v="service"/>
    <n v="1"/>
    <n v="1271.19"/>
    <n v="1500"/>
    <n v="0"/>
    <n v="1271.19"/>
    <n v="18"/>
    <n v="228.81"/>
    <n v="1500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0"/>
    <s v="PROMOTORA M&amp;M S.R.L."/>
    <m/>
    <x v="50"/>
  </r>
  <r>
    <x v="1"/>
    <x v="29"/>
    <s v="COLABORATIVA S.A.C."/>
    <x v="1"/>
    <d v="2025-10-16T09:29:12"/>
    <x v="11"/>
    <m/>
    <n v="6"/>
    <n v="20480413700"/>
    <s v="[{'id_producto': '1', 'codigo_producto': '02', 'nom_producto': 'COMISIÃ“N PAGOS DIGITALES SEGÃšN CONTRATO', 'categoria_producto': 'service', 'cantidad': '1.0', 'valor_unitario': 4676.95, 'precio_unitario': 5518.8, 'descuento': 0.0, 'subtotal': 4676.95, 'porcentaje_de_igv': '18.00', 'igv': 841.85, 'total': 5518.8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0"/>
    <x v="0"/>
    <s v="service"/>
    <n v="1"/>
    <n v="4676.95"/>
    <n v="5518.8"/>
    <n v="0"/>
    <n v="4676.95"/>
    <n v="18"/>
    <n v="841.85"/>
    <n v="5518.8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0"/>
    <s v="PROMOTORA M&amp;M S.R.L."/>
    <m/>
    <x v="51"/>
  </r>
  <r>
    <x v="1"/>
    <x v="30"/>
    <s v="COLABORATIVA S.A.C."/>
    <x v="1"/>
    <d v="2025-10-16T09:28:44"/>
    <x v="11"/>
    <m/>
    <n v="6"/>
    <n v="20480413700"/>
    <s v="[{'id_producto': '1', 'codigo_producto': '03', 'nom_producto': 'PERSONAL - Servicio de 1 validadores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4"/>
    <x v="15"/>
    <s v="service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0"/>
    <s v="PROMOTORA M&amp;M S.R.L."/>
    <m/>
    <x v="52"/>
  </r>
  <r>
    <x v="1"/>
    <x v="31"/>
    <s v="COLABORATIVA S.A.C."/>
    <x v="1"/>
    <d v="2025-10-16T09:25:52"/>
    <x v="11"/>
    <m/>
    <n v="6"/>
    <n v="20480413700"/>
    <s v="[{'id_producto': '1', 'codigo_producto': '07', 'nom_producto': 'ENTRADAS IMPRESAS - Orden de venta NÂº 1016\nCorazÃ³n Serrano en la Isla del ParaÃ­so del Callao/ 1000 BOLETOS PREMIUM VIP PERSONALIZADOS (S/1,062.00)', 'categoria_producto': 'consu', 'cantidad': '1.0', 'valor_unitario': 900.0, 'precio_unitario': 1062.0, 'descuento': 0.0, 'subtotal': 900.0, 'porcentaje_de_igv': '18.00', 'igv': 162.0, 'total': 1062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5"/>
    <x v="16"/>
    <s v="consu"/>
    <n v="1"/>
    <n v="900"/>
    <n v="1062"/>
    <n v="0"/>
    <n v="900"/>
    <n v="18"/>
    <n v="162"/>
    <n v="1062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0"/>
    <s v="PROMOTORA M&amp;M S.R.L."/>
    <m/>
    <x v="53"/>
  </r>
  <r>
    <x v="0"/>
    <x v="38"/>
    <s v="COLABORATIVA S.A.C."/>
    <x v="2"/>
    <d v="2025-10-16T18:37:47"/>
    <x v="10"/>
    <s v="Cliente"/>
    <n v="1"/>
    <n v="43908595"/>
    <s v="[{'id_producto': '1', 'codigo_producto': '04', 'nom_producto': 'PAUTA PUBLICITARIA -', 'categoria_producto': 'service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6"/>
    <x v="12"/>
    <s v="service"/>
    <n v="1"/>
    <n v="500"/>
    <n v="590"/>
    <n v="0"/>
    <n v="500"/>
    <n v="18"/>
    <n v="90"/>
    <n v="590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0"/>
    <s v="JESUS MANUEL COTRINA CORPUS"/>
    <m/>
    <x v="54"/>
  </r>
  <r>
    <x v="0"/>
    <x v="39"/>
    <s v="COLABORATIVA S.A.C."/>
    <x v="2"/>
    <d v="2025-10-16T18:36:58"/>
    <x v="10"/>
    <s v="Cliente"/>
    <n v="1"/>
    <n v="43908595"/>
    <s v="[{'id_producto': '1', 'codigo_producto': '07', 'nom_producto': 'ENTRADAS IMPRESAS - Orden de venta NÂº 1042\nCUMBIA CON CLASE - 17/10 / 1000 BRAZALETES BRAZALETES VIP / 1000 FULL COLOR GENERAL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4, 'nom_distribucion': 'Impresos', 'sub_categoria': 'OPERATIVOS', 'porcentaje': '100.00'}]]}]"/>
    <d v="2025-10-13T00:00:00"/>
    <m/>
    <m/>
    <m/>
    <m/>
    <m/>
    <n v="1"/>
    <x v="5"/>
    <x v="17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1"/>
    <x v="14"/>
    <s v="Agua Marina en Barranca"/>
    <d v="2025-07-10T00:00:00"/>
    <d v="2025-07-10T00:00:00"/>
    <x v="0"/>
    <s v="JESUS MANUEL COTRINA CORPUS"/>
    <m/>
    <x v="55"/>
  </r>
  <r>
    <x v="0"/>
    <x v="40"/>
    <s v="COLABORATIVA S.A.C."/>
    <x v="2"/>
    <d v="2025-10-16T18:30:55"/>
    <x v="10"/>
    <s v="Cliente"/>
    <n v="1"/>
    <n v="43908595"/>
    <s v="[{'id_producto': '1', 'codigo_producto': '13', 'nom_producto': 'ENTRADAS IMPRESAS - Orden de venta NÂº 1015 Agua Marina en Barranca / 1000 BRAZALETES PER ZONA GENERAL /2000 BRAZALETES PER ZONA VIP (S/2,124.00)', 'categoria_producto': 'service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8"/>
    <x v="18"/>
    <s v="service"/>
    <n v="1"/>
    <n v="1800"/>
    <n v="2124"/>
    <n v="0"/>
    <n v="1800"/>
    <n v="18"/>
    <n v="324"/>
    <n v="2124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0"/>
    <s v="JESUS MANUEL COTRINA CORPUS"/>
    <m/>
    <x v="56"/>
  </r>
  <r>
    <x v="0"/>
    <x v="41"/>
    <s v="COLABORATIVA S.A.C."/>
    <x v="2"/>
    <d v="2025-10-16T18:30:30"/>
    <x v="10"/>
    <s v="Cliente"/>
    <n v="1"/>
    <n v="43908595"/>
    <s v="[{'id_producto': '1', 'codigo_producto': '02', 'nom_producto': 'COMISIÃ“N PAGOS DIGITALES SEGÃšN CONTRATO', 'categoria_producto': 'service', 'cantidad': '1.0', 'valor_unitario': 638.31, 'precio_unitario': 753.21, 'descuento': 0.0, 'subtotal': 638.31, 'porcentaje_de_igv': '18.00', 'igv': 114.9, 'total': 753.21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638.30999999999995"/>
    <n v="753.21"/>
    <n v="0"/>
    <n v="638.30999999999995"/>
    <n v="18"/>
    <n v="114.9"/>
    <n v="753.21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0"/>
    <s v="JESUS MANUEL COTRINA CORPUS"/>
    <m/>
    <x v="57"/>
  </r>
  <r>
    <x v="0"/>
    <x v="42"/>
    <s v="COLABORATIVA S.A.C."/>
    <x v="2"/>
    <d v="2025-10-16T18:29:59"/>
    <x v="10"/>
    <s v="Cliente"/>
    <n v="1"/>
    <n v="43908595"/>
    <s v="[{'id_producto': '1', 'codigo_producto': '01', 'nom_producto': 'COMISIÃ“N VAOPE SEGÃšN CONTRATO', 'categoria_producto': 'service', 'cantidad': '1.0', 'valor_unitario': 652.2, 'precio_unitario': 769.6, 'descuento': 0.0, 'subtotal': 652.2, 'porcentaje_de_igv': '18.00', 'igv': 117.4, 'total': 769.6, 'moneda': '1', 'tipo_de_cambio': '', 'id_estado': 'not_paid', 'nombre_estado': 'Sin pagar', 'evento': {'id_evento': '3123', 'nom_evento': 'Agua Marina en Barranca', 'Fecha_hora_ini_event': '2025-10-07', 'Fecha_hora_fin_event': '2025-10-07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652.20000000000005"/>
    <n v="769.6"/>
    <n v="0"/>
    <n v="652.20000000000005"/>
    <n v="18"/>
    <n v="117.4"/>
    <n v="769.6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0"/>
    <s v="JESUS MANUEL COTRINA CORPUS"/>
    <m/>
    <x v="58"/>
  </r>
  <r>
    <x v="1"/>
    <x v="32"/>
    <s v="COLABORATIVA S.A.C."/>
    <x v="2"/>
    <d v="2025-10-16T18:26:54"/>
    <x v="4"/>
    <m/>
    <n v="6"/>
    <n v="20509594903"/>
    <s v="[{'id_producto': '1', 'codigo_producto': '06', 'nom_producto': 'COMISION CORTESIA -', 'categoria_producto': 'service', 'cantidad': '1.0', 'valor_unitario': 75.0, 'precio_unitario': 88.5, 'descuento': 0.0, 'subtotal': 75.0, 'porcentaje_de_igv': '18.00', 'igv': 13.5, 'total': 88.5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3"/>
    <x v="3"/>
    <s v="service"/>
    <n v="1"/>
    <n v="75"/>
    <n v="88.5"/>
    <n v="0"/>
    <n v="75"/>
    <n v="18"/>
    <n v="13.5"/>
    <n v="88.5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0"/>
    <s v="EMPRESA MUSICAL INTERNACIONAL LA BELLA LUZ E.I.R.L."/>
    <m/>
    <x v="59"/>
  </r>
  <r>
    <x v="1"/>
    <x v="33"/>
    <s v="COLABORATIVA S.A.C."/>
    <x v="2"/>
    <d v="2025-10-16T18:26:34"/>
    <x v="4"/>
    <m/>
    <n v="6"/>
    <n v="20509594903"/>
    <s v="[{'id_producto': '1', 'codigo_producto': '04', 'nom_producto': 'PAUTA PUBLICITARIA -', 'categoria_producto': 'service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6"/>
    <x v="12"/>
    <s v="service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0"/>
    <s v="EMPRESA MUSICAL INTERNACIONAL LA BELLA LUZ E.I.R.L."/>
    <m/>
    <x v="60"/>
  </r>
  <r>
    <x v="1"/>
    <x v="34"/>
    <s v="COLABORATIVA S.A.C."/>
    <x v="2"/>
    <d v="2025-10-16T18:26:17"/>
    <x v="4"/>
    <m/>
    <n v="6"/>
    <n v="20509594903"/>
    <s v="[{'id_producto': '1', 'codigo_producto': '02', 'nom_producto': 'COMISIÃ“N PAGOS DIGITALES SEGÃšN CONTRATO', 'categoria_producto': 'service', 'cantidad': '1.0', 'valor_unitario': 1695.17, 'precio_unitario': 2000.3, 'descuento': 0.0, 'subtotal': 1695.17, 'porcentaje_de_igv': '18.00', 'igv': 305.13, 'total': 2000.3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1695.17"/>
    <n v="2000.3"/>
    <n v="0"/>
    <n v="1695.17"/>
    <n v="18"/>
    <n v="305.13"/>
    <n v="2000.3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0"/>
    <s v="EMPRESA MUSICAL INTERNACIONAL LA BELLA LUZ E.I.R.L."/>
    <m/>
    <x v="61"/>
  </r>
  <r>
    <x v="1"/>
    <x v="35"/>
    <s v="COLABORATIVA S.A.C."/>
    <x v="2"/>
    <d v="2025-10-16T18:25:53"/>
    <x v="4"/>
    <m/>
    <n v="6"/>
    <n v="20509594903"/>
    <s v="[{'id_producto': '1', 'codigo_producto': '01', 'nom_producto': 'COMISIÃ“N VAOPE SEGÃšN CONTRATO', 'categoria_producto': 'service', 'cantidad': '1.0', 'valor_unitario': 1163.56, 'precio_unitario': 1373.0, 'descuento': 0.0, 'subtotal': 1163.56, 'porcentaje_de_igv': '18.00', 'igv': 209.44, 'total': 1373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1163.56"/>
    <n v="1373"/>
    <n v="0"/>
    <n v="1163.56"/>
    <n v="18"/>
    <n v="209.44"/>
    <n v="1373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0"/>
    <s v="EMPRESA MUSICAL INTERNACIONAL LA BELLA LUZ E.I.R.L."/>
    <m/>
    <x v="62"/>
  </r>
  <r>
    <x v="1"/>
    <x v="36"/>
    <s v="COLABORATIVA S.A.C."/>
    <x v="2"/>
    <d v="2025-10-16T18:22:43"/>
    <x v="12"/>
    <m/>
    <n v="6"/>
    <n v="20613294814"/>
    <s v="[{'id_producto': '1', 'codigo_producto': '02', 'nom_producto': 'COMISIÃ“N PAGOS DIGITALES SEGÃšN CONTRATO', 'categoria_producto': 'service', 'cantidad': '1.0', 'valor_unitario': 375.53, 'precio_unitario': 443.13, 'descuento': 0.0, 'subtotal': 375.53, 'porcentaje_de_igv': '18.00', 'igv': 67.6, 'total': 443.13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375.53"/>
    <n v="443.13"/>
    <n v="0"/>
    <n v="375.53"/>
    <n v="18"/>
    <n v="67.599999999999994"/>
    <n v="443.13"/>
    <n v="1"/>
    <m/>
    <x v="1"/>
    <x v="1"/>
    <x v="0"/>
    <s v="SAMUEL CHUQUISTA"/>
    <x v="0"/>
    <s v="7012100 MercaderÃ­as-Venta Local-Terceros"/>
    <x v="0"/>
    <x v="17"/>
    <s v="Flor PileÃ±a, Alegres de Bambarmarca y Victor Manuel en Cajabamba"/>
    <d v="2025-08-10T00:00:00"/>
    <d v="2025-08-10T00:00:00"/>
    <x v="0"/>
    <s v="ESPECTACULOS MARCABALITO S.A.C."/>
    <m/>
    <x v="63"/>
  </r>
  <r>
    <x v="1"/>
    <x v="37"/>
    <s v="COLABORATIVA S.A.C."/>
    <x v="2"/>
    <d v="2025-10-16T18:22:24"/>
    <x v="12"/>
    <m/>
    <n v="6"/>
    <n v="20613294814"/>
    <s v="[{'id_producto': '1', 'codigo_producto': '01', 'nom_producto': 'COMISIÃ“N VAOPE SEGÃšN CONTRATO', 'categoria_producto': 'service', 'cantidad': '1.0', 'valor_unitario': 268.53, 'precio_unitario': 316.87, 'descuento': 0.0, 'subtotal': 268.53, 'porcentaje_de_igv': '18.00', 'igv': 48.34, 'total': 316.87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268.52999999999997"/>
    <n v="316.87"/>
    <n v="0"/>
    <n v="268.52999999999997"/>
    <n v="18"/>
    <n v="48.34"/>
    <n v="316.87"/>
    <n v="1"/>
    <m/>
    <x v="1"/>
    <x v="1"/>
    <x v="0"/>
    <s v="SAMUEL CHUQUISTA"/>
    <x v="0"/>
    <s v="7012100 MercaderÃ­as-Venta Local-Terceros"/>
    <x v="0"/>
    <x v="17"/>
    <s v="Flor PileÃ±a, Alegres de Bambarmarca y Victor Manuel en Cajabamba"/>
    <d v="2025-08-10T00:00:00"/>
    <d v="2025-08-10T00:00:00"/>
    <x v="0"/>
    <s v="ESPECTACULOS MARCABALITO S.A.C."/>
    <m/>
    <x v="64"/>
  </r>
  <r>
    <x v="1"/>
    <x v="38"/>
    <s v="COLABORATIVA S.A.C."/>
    <x v="2"/>
    <d v="2025-10-16T18:07:46"/>
    <x v="4"/>
    <m/>
    <n v="6"/>
    <n v="20509594903"/>
    <s v="[{'id_producto': '1', 'codigo_producto': '02', 'nom_producto': 'COMISIÃ“N PAGOS DIGITALES SEGÃšN CONTRATO', 'categoria_producto': 'service', 'cantidad': '1.0', 'valor_unitario': 708.9, 'precio_unitario': 836.5, 'descuento': 0.0, 'subtotal': 708.9, 'porcentaje_de_igv': '18.00', 'igv': 127.6, 'total': 836.5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708.9"/>
    <n v="836.5"/>
    <n v="0"/>
    <n v="708.9"/>
    <n v="18"/>
    <n v="127.6"/>
    <n v="836.5"/>
    <n v="1"/>
    <m/>
    <x v="1"/>
    <x v="1"/>
    <x v="0"/>
    <s v="SAMUEL CHUQUISTA"/>
    <x v="0"/>
    <s v="7012100 MercaderÃ­as-Venta Local-Terceros"/>
    <x v="0"/>
    <x v="18"/>
    <s v="Feliz Aniversario Barranca con La Bella Luz"/>
    <d v="2025-08-10T00:00:00"/>
    <d v="2025-08-10T00:00:00"/>
    <x v="0"/>
    <s v="EMPRESA MUSICAL INTERNACIONAL LA BELLA LUZ E.I.R.L."/>
    <m/>
    <x v="65"/>
  </r>
  <r>
    <x v="1"/>
    <x v="40"/>
    <s v="COLABORATIVA S.A.C."/>
    <x v="2"/>
    <d v="2025-10-16T11:33:45"/>
    <x v="4"/>
    <m/>
    <n v="6"/>
    <n v="20509594903"/>
    <s v="[{'id_producto': '1', 'codigo_producto': '01', 'nom_producto': 'COMISIÃ“N VAOPE SEGÃšN CONTRATO', 'categoria_producto': 'service', 'cantidad': '1.0', 'valor_unitario': 488.81, 'precio_unitario': 576.8, 'descuento': 0.0, 'subtotal': 488.81, 'porcentaje_de_igv': '18.00', 'igv': 87.99, 'total': 576.8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'', 'nom_organizador': 'EMPRESA MUSICAL INTERNACIONAL LA BELLA LUZ E.I.R.L.', 'tipo_organizador': '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488.81"/>
    <n v="576.79999999999995"/>
    <n v="0"/>
    <n v="488.81"/>
    <n v="18"/>
    <n v="87.99"/>
    <n v="576.79999999999995"/>
    <n v="1"/>
    <m/>
    <x v="1"/>
    <x v="1"/>
    <x v="0"/>
    <s v="SAMUEL CHUQUISTA"/>
    <x v="0"/>
    <s v="7012100 MercaderÃ­as-Venta Local-Terceros"/>
    <x v="0"/>
    <x v="18"/>
    <s v="Feliz Aniversario Barranca con La Bella Luz"/>
    <d v="2025-08-10T00:00:00"/>
    <d v="2025-08-10T00:00:00"/>
    <x v="0"/>
    <s v="EMPRESA MUSICAL INTERNACIONAL LA BELLA LUZ E.I.R.L."/>
    <m/>
    <x v="66"/>
  </r>
  <r>
    <x v="0"/>
    <x v="43"/>
    <s v="COLABORATIVA S.A.C."/>
    <x v="3"/>
    <d v="2025-10-16T10:24:03"/>
    <x v="13"/>
    <m/>
    <n v="1"/>
    <n v="46377925"/>
    <s v="[{'id_producto': '1', 'codigo_producto': '02', 'nom_producto': 'COMISIÃ“N PAGOS DIGITALES SEGÃšN CONTRATO', 'categoria_producto': 'service', 'cantidad': '1.0', 'valor_unitario': 79.75, 'precio_unitario': 94.11, 'descuento': 0.0, 'subtotal': 79.75, 'porcentaje_de_igv': '18.01', 'igv': 14.36, 'total': 94.11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'', 'nom_organizador': 'JUAN EDGAR VENTURA MACAZANA', 'tipo_organizador': ''}, 'id_vendedor': 2, 'nom_vendedor': 'SAMUEL CHUQUISTA', 'id_cuenta_analitica': 1106, 'nom_cuenta_analitica': '7012100 MercaderÃ­as-Venta Local-Terceros', 'distribucion_analitica': []}]"/>
    <d v="2025-10-11T00:00:00"/>
    <m/>
    <m/>
    <m/>
    <m/>
    <m/>
    <n v="1"/>
    <x v="0"/>
    <x v="0"/>
    <s v="service"/>
    <n v="1"/>
    <n v="79.75"/>
    <n v="94.11"/>
    <n v="0"/>
    <n v="79.75"/>
    <n v="18.010000000000002"/>
    <n v="14.36"/>
    <n v="94.11"/>
    <n v="1"/>
    <m/>
    <x v="1"/>
    <x v="1"/>
    <x v="0"/>
    <s v="SAMUEL CHUQUISTA"/>
    <x v="0"/>
    <s v="7012100 MercaderÃ­as-Venta Local-Terceros"/>
    <x v="0"/>
    <x v="19"/>
    <s v="18Â° Aniversario de Illari del Cusco con Chinito del Ande, Osito Pardo, Los Puntos del Amor y mÃ¡s en Huaracondo de SJL"/>
    <d v="2025-04-10T00:00:00"/>
    <d v="2025-04-10T00:00:00"/>
    <x v="0"/>
    <s v="JUAN EDGAR VENTURA MACAZANA"/>
    <m/>
    <x v="67"/>
  </r>
  <r>
    <x v="0"/>
    <x v="44"/>
    <s v="COLABORATIVA S.A.C."/>
    <x v="4"/>
    <d v="2025-10-16T17:31:09"/>
    <x v="13"/>
    <m/>
    <n v="1"/>
    <n v="46377925"/>
    <s v="[{'id_producto': '1', 'codigo_producto': '01', 'nom_producto': 'COMISIÃ“N VAOPE SEGÃšN CONTRATO', 'categoria_producto': 'service', 'cantidad': '1.0', 'valor_unitario': 73.47, 'precio_unitario': 86.69, 'descuento': 0.0, 'subtotal': 73.47, 'porcentaje_de_igv': '17.99', 'igv': 13.22, 'total': 86.69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'', 'nom_organizador': 'JUAN EDGAR VENTURA MACAZANA', 'tipo_organizador': ''}, 'id_vendedor': 2, 'nom_vendedor': 'SAMUEL CHUQUISTA', 'id_cuenta_analitica': 1106, 'nom_cuenta_analitica': '7012100 MercaderÃ­as-Venta Local-Terceros', 'distribucion_analitica': []}]"/>
    <d v="2025-10-10T00:00:00"/>
    <m/>
    <m/>
    <m/>
    <m/>
    <m/>
    <n v="1"/>
    <x v="1"/>
    <x v="1"/>
    <s v="service"/>
    <n v="1"/>
    <n v="73.47"/>
    <n v="86.69"/>
    <n v="0"/>
    <n v="73.47"/>
    <n v="17.989999999999998"/>
    <n v="13.22"/>
    <n v="86.69"/>
    <n v="1"/>
    <m/>
    <x v="1"/>
    <x v="1"/>
    <x v="0"/>
    <s v="SAMUEL CHUQUISTA"/>
    <x v="0"/>
    <s v="7012100 MercaderÃ­as-Venta Local-Terceros"/>
    <x v="0"/>
    <x v="19"/>
    <s v="18Â° Aniversario de Illari del Cusco con Chinito del Ande, Osito Pardo, Los Puntos del Amor y mÃ¡s en Huaracondo de SJL"/>
    <d v="2025-04-10T00:00:00"/>
    <d v="2025-04-10T00:00:00"/>
    <x v="0"/>
    <s v="JUAN EDGAR VENTURA MACAZANA"/>
    <m/>
    <x v="68"/>
  </r>
  <r>
    <x v="1"/>
    <x v="42"/>
    <s v="COLABORATIVA S.A.C."/>
    <x v="4"/>
    <d v="2025-10-16T15:48:07"/>
    <x v="14"/>
    <m/>
    <n v="6"/>
    <n v="20611018925"/>
    <s v="[{'id_producto': '1', 'codigo_producto': '02', 'nom_producto': 'COMISIÃ“N PAGOS DIGITALES SEGÃšN CONTRATO', 'categoria_producto': 'service', 'cantidad': '1.0', 'valor_unitario': 482.54, 'precio_unitario': 569.4, 'descuento': 0.0, 'subtotal': 482.54, 'porcentaje_de_igv': '18.00', 'igv': 86.86, 'total': 569.4, 'moneda': '1', 'tipo_de_cambio': '', 'id_estado': 'not_paid', 'nombre_estado': 'Sin pagar', 'evento': {'id_evento': '3157', 'nom_evento': 'CorazÃ³n Serrano en Huacho', 'Fecha_hora_ini_event': '2025-09-25', 'Fecha_hora_fin_event': '2025-09-25', 'id_organizador': '', 'nom_organizador': 'G &amp; N MUSIC S.A.C.', 'tipo_organizador': ''}, 'id_vendedor': 2, 'nom_vendedor': 'SAMUEL CHUQUISTA', 'id_cuenta_analitica': 1106, 'nom_cuenta_analitica': '7012100 MercaderÃ­as-Venta Local-Terceros', 'distribucion_analitica': []}]"/>
    <d v="2025-10-10T00:00:00"/>
    <m/>
    <m/>
    <m/>
    <m/>
    <m/>
    <n v="1"/>
    <x v="0"/>
    <x v="0"/>
    <s v="service"/>
    <n v="1"/>
    <n v="482.54"/>
    <n v="569.4"/>
    <n v="0"/>
    <n v="482.54"/>
    <n v="18"/>
    <n v="86.86"/>
    <n v="569.4"/>
    <n v="1"/>
    <m/>
    <x v="1"/>
    <x v="1"/>
    <x v="0"/>
    <s v="SAMUEL CHUQUISTA"/>
    <x v="0"/>
    <s v="7012100 MercaderÃ­as-Venta Local-Terceros"/>
    <x v="0"/>
    <x v="20"/>
    <s v="CorazÃ³n Serrano en Huacho"/>
    <m/>
    <m/>
    <x v="0"/>
    <s v="G &amp; N MUSIC S.A.C."/>
    <m/>
    <x v="69"/>
  </r>
  <r>
    <x v="1"/>
    <x v="43"/>
    <s v="COLABORATIVA S.A.C."/>
    <x v="5"/>
    <d v="2025-10-16T17:56:09"/>
    <x v="14"/>
    <m/>
    <n v="6"/>
    <n v="20611018925"/>
    <s v="[{'id_producto': '1', 'codigo_producto': '01', 'nom_producto': 'COMISIÃ“N VAOPE SEGÃšN CONTRATO', 'categoria_producto': 'service', 'cantidad': '1.0', 'valor_unitario': 317.5, 'precio_unitario': 374.65, 'descuento': 0.0, 'subtotal': 317.5, 'porcentaje_de_igv': '18.00', 'igv': 57.15, 'total': 374.65, 'moneda': '1', 'tipo_de_cambio': '', 'id_estado': 'not_paid', 'nombre_estado': 'Sin pagar', 'evento': {'id_evento': '3157', 'nom_evento': 'CorazÃ³n Serrano en Huacho', 'Fecha_hora_ini_event': '2025-09-25', 'Fecha_hora_fin_event': '2025-09-25', 'id_organizador': '', 'nom_organizador': 'G &amp; N MUSIC S.A.C.', 'tipo_organizador': ''}, 'id_vendedor': 2, 'nom_vendedor': 'SAMUEL CHUQUISTA', 'id_cuenta_analitica': 1106, 'nom_cuenta_analitica': '7012100 MercaderÃ­as-Venta Local-Terceros', 'distribucion_analitica': []}]"/>
    <d v="2025-10-09T00:00:00"/>
    <m/>
    <m/>
    <m/>
    <m/>
    <m/>
    <n v="1"/>
    <x v="1"/>
    <x v="1"/>
    <s v="service"/>
    <n v="1"/>
    <n v="317.5"/>
    <n v="374.65"/>
    <n v="0"/>
    <n v="317.5"/>
    <n v="18"/>
    <n v="57.15"/>
    <n v="374.65"/>
    <n v="1"/>
    <m/>
    <x v="1"/>
    <x v="1"/>
    <x v="0"/>
    <s v="SAMUEL CHUQUISTA"/>
    <x v="0"/>
    <s v="7012100 MercaderÃ­as-Venta Local-Terceros"/>
    <x v="0"/>
    <x v="20"/>
    <s v="CorazÃ³n Serrano en Huacho"/>
    <m/>
    <m/>
    <x v="0"/>
    <s v="G &amp; N MUSIC S.A.C."/>
    <m/>
    <x v="70"/>
  </r>
  <r>
    <x v="0"/>
    <x v="45"/>
    <s v="COLABORATIVA S.A.C."/>
    <x v="6"/>
    <d v="2025-10-16T15:55:46"/>
    <x v="15"/>
    <m/>
    <n v="1"/>
    <s v="03826765"/>
    <s v="[{'id_producto': '1', 'codigo_producto': '01', 'nom_producto': 'COMISIÃ“N VAOPE SEGÃšN CONTRATO', 'categoria_producto': 'service', 'cantidad': '1.0', 'valor_unitario': 4123.66, 'precio_unitario': 4865.92, 'descuento': 0.0, 'subtotal': 4123.66, 'porcentaje_de_igv': '18.00', 'igv': 742.26, 'total': 4865.92, 'moneda': '1', 'tipo_de_cambio': '', 'id_estado': 'not_paid', 'nombre_estado': 'Sin pagar', 'evento': {'id_evento': '3185', 'nom_evento': 'AtlÃ©tico Torino vs Bagua FC - Copa PerÃº 2025', 'Fecha_hora_ini_event': '2025-10-05', 'Fecha_hora_fin_event': '2025-10-05', 'id_organizador': '', 'nom_organizador': 'JOSE MANUEL BACA ANTON PRESIDENTE DE LA LIGA DEPARTAMENTAL PIURA', 'tipo_organizador': ''}, 'id_vendedor': 2, 'nom_vendedor': 'SAMUEL CHUQUISTA', 'id_cuenta_analitica': 1106, 'nom_cuenta_analitica': '7012100 MercaderÃ­as-Venta Local-Terceros', 'distribucion_analitica': []}]"/>
    <d v="2025-10-07T00:00:00"/>
    <m/>
    <m/>
    <m/>
    <m/>
    <m/>
    <n v="1"/>
    <x v="1"/>
    <x v="1"/>
    <s v="service"/>
    <n v="1"/>
    <n v="4123.66"/>
    <n v="4865.92"/>
    <n v="0"/>
    <n v="4123.66"/>
    <n v="18"/>
    <n v="742.26"/>
    <n v="4865.92"/>
    <n v="1"/>
    <m/>
    <x v="1"/>
    <x v="1"/>
    <x v="0"/>
    <s v="SAMUEL CHUQUISTA"/>
    <x v="0"/>
    <s v="7012100 MercaderÃ­as-Venta Local-Terceros"/>
    <x v="0"/>
    <x v="21"/>
    <s v="AtlÃ©tico Torino vs Bagua FC - Copa PerÃº 2025"/>
    <d v="2025-05-10T00:00:00"/>
    <d v="2025-05-10T00:00:00"/>
    <x v="0"/>
    <s v="JOSE MANUEL BACA ANTON PRESIDENTE DE LA LIGA DEPARTAMENTAL PIURA"/>
    <m/>
    <x v="71"/>
  </r>
  <r>
    <x v="1"/>
    <x v="44"/>
    <s v="COLABORATIVA S.A.C."/>
    <x v="6"/>
    <d v="2025-10-16T15:29:35"/>
    <x v="11"/>
    <m/>
    <n v="6"/>
    <n v="20480413700"/>
    <s v="[{'id_producto': '1', 'codigo_producto': '01', 'nom_producto': 'COMISIÃ“N VAOPE SEGUN CONTRATO -', 'categoria_producto': 'service', 'cantidad': '1.0', 'valor_unitario': 5603.9, 'precio_unitario': 6612.6, 'descuento': 0.0, 'subtotal': 5603.9, 'porcentaje_de_igv': '18.00', 'igv': 1008.7, 'total': 6612.6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'', 'nom_organizador': 'PROMOTORA M&amp;M S.R.L.', 'tipo_organizador': ''}, 'id_vendedor': 2, 'nom_vendedor': 'SAMUEL CHUQUISTA', 'id_cuenta_analitica': 1106, 'nom_cuenta_analitica': '7012100 MercaderÃ­as-Venta Local-Terceros', 'distribucion_analitica': []}]"/>
    <d v="2025-10-07T00:00:00"/>
    <m/>
    <m/>
    <m/>
    <m/>
    <m/>
    <n v="1"/>
    <x v="1"/>
    <x v="19"/>
    <s v="service"/>
    <n v="1"/>
    <n v="5603.9"/>
    <n v="6612.6"/>
    <n v="0"/>
    <n v="5603.9"/>
    <n v="18"/>
    <n v="1008.7"/>
    <n v="6612.6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0"/>
    <s v="PROMOTORA M&amp;M S.R.L."/>
    <m/>
    <x v="72"/>
  </r>
  <r>
    <x v="2"/>
    <x v="46"/>
    <s v="COLABORATIVA S.A.C."/>
    <x v="7"/>
    <d v="2025-10-16T00:00:00"/>
    <x v="16"/>
    <m/>
    <n v="6"/>
    <n v="20611066971"/>
    <s v="[{'id_producto': '1', 'codigo_producto': '985', 'nom_producto': 'BRAZALETES VIP-ARMONIA 10 EN DISCOTECA COCOS DE LINCE, BRAZALETES PLATINIUM Y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'', 'nom_organizador': 'PERUVIAN PRODUCTIONS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"/>
    <x v="9"/>
    <x v="20"/>
    <s v="consu"/>
    <n v="1"/>
    <n v="1230"/>
    <n v="1451.4"/>
    <n v="0"/>
    <n v="1230"/>
    <n v="18"/>
    <n v="221.4"/>
    <n v="1451.4"/>
    <n v="1"/>
    <m/>
    <x v="1"/>
    <x v="1"/>
    <x v="0"/>
    <s v="SAMUEL CHUQUISTA"/>
    <x v="0"/>
    <s v="7012100 MercaderÃ­as-Venta Local-Terceros"/>
    <x v="2"/>
    <x v="22"/>
    <m/>
    <m/>
    <m/>
    <x v="0"/>
    <s v="PERUVIAN PRODUCTIONS SOCIEDAD ANONIMA CERRADA"/>
    <m/>
    <x v="73"/>
  </r>
  <r>
    <x v="2"/>
    <x v="47"/>
    <s v="COLABORATIVA S.A.C."/>
    <x v="7"/>
    <d v="2025-10-16T00:00:00"/>
    <x v="14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0.0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"/>
    <x v="10"/>
    <x v="21"/>
    <s v="consu"/>
    <n v="1"/>
    <n v="1241"/>
    <n v="1464.38"/>
    <n v="0"/>
    <n v="1241"/>
    <n v="18"/>
    <n v="223.38"/>
    <n v="1464.38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74"/>
  </r>
  <r>
    <x v="2"/>
    <x v="48"/>
    <s v="COLABORATIVA S.A.C."/>
    <x v="7"/>
    <d v="2025-10-16T00:00:00"/>
    <x v="17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0.0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"/>
    <x v="11"/>
    <x v="22"/>
    <s v="consu"/>
    <n v="1"/>
    <n v="400"/>
    <n v="472"/>
    <n v="0"/>
    <n v="400"/>
    <n v="18"/>
    <n v="72"/>
    <n v="472"/>
    <n v="1"/>
    <m/>
    <x v="1"/>
    <x v="1"/>
    <x v="0"/>
    <s v="SAMUEL CHUQUISTA"/>
    <x v="0"/>
    <s v="7012100 MercaderÃ­as-Venta Local-Terceros"/>
    <x v="2"/>
    <x v="22"/>
    <m/>
    <m/>
    <m/>
    <x v="0"/>
    <s v="MACHA MUNIVE JULIO"/>
    <m/>
    <x v="75"/>
  </r>
  <r>
    <x v="3"/>
    <x v="49"/>
    <s v="COLABORATIVA S.A.C."/>
    <x v="8"/>
    <d v="2025-10-16T00:00:00"/>
    <x v="18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0.0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2"/>
    <x v="23"/>
    <s v="consu"/>
    <n v="1"/>
    <n v="107.37"/>
    <n v="126.7"/>
    <n v="0"/>
    <n v="107.37"/>
    <n v="18"/>
    <n v="19.329999999999998"/>
    <n v="126.7"/>
    <n v="1"/>
    <m/>
    <x v="1"/>
    <x v="1"/>
    <x v="0"/>
    <s v="SAMUEL CHUQUISTA"/>
    <x v="0"/>
    <s v="7012100 MercaderÃ­as-Venta Local-Terceros"/>
    <x v="3"/>
    <x v="22"/>
    <m/>
    <m/>
    <m/>
    <x v="0"/>
    <s v="REYNOSO BENDEZU CARLOS ARTURO"/>
    <m/>
    <x v="76"/>
  </r>
  <r>
    <x v="3"/>
    <x v="50"/>
    <s v="COLABORATIVA S.A.C."/>
    <x v="8"/>
    <d v="2025-10-16T00:00:00"/>
    <x v="18"/>
    <m/>
    <n v="6"/>
    <n v="10755725086"/>
    <s v="[{'id_producto': '1', 'codigo_producto': '877', 'nom_producto': 'COMISIÃ“N PAGOS DIGITALES SEGÃšN CONTRATO', 'categoria_producto': 'consu', 'cantidad': '1.0', 'valor_unitario': 30.68, 'precio_unitario': 36.2, 'descuento': 0.0, 'subtotal': 30.68, 'porcentaje_de_igv': '17.99', 'igv': 5.52, 'total': 36.2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3"/>
    <x v="0"/>
    <s v="consu"/>
    <n v="1"/>
    <n v="30.68"/>
    <n v="36.200000000000003"/>
    <n v="0"/>
    <n v="30.68"/>
    <n v="17.989999999999998"/>
    <n v="5.52"/>
    <n v="36.200000000000003"/>
    <n v="1"/>
    <m/>
    <x v="1"/>
    <x v="1"/>
    <x v="0"/>
    <s v="SAMUEL CHUQUISTA"/>
    <x v="0"/>
    <s v="7012100 MercaderÃ­as-Venta Local-Terceros"/>
    <x v="3"/>
    <x v="22"/>
    <m/>
    <m/>
    <m/>
    <x v="0"/>
    <s v="REYNOSO BENDEZU CARLOS ARTURO"/>
    <m/>
    <x v="77"/>
  </r>
  <r>
    <x v="3"/>
    <x v="51"/>
    <s v="COLABORATIVA S.A.C."/>
    <x v="8"/>
    <d v="2025-10-16T00:00:00"/>
    <x v="18"/>
    <m/>
    <n v="6"/>
    <n v="10755725086"/>
    <s v="[{'id_producto': '1', 'codigo_producto': '870', 'nom_producto': 'COMISIÃ“N VAOPE SEGÃšN CONTRATO', 'categoria_producto': 'consu', 'cantidad': '1.0', 'valor_unitario': 20.19, 'precio_unitario': 23.83, 'descuento': 0.0, 'subtotal': 20.19, 'porcentaje_de_igv': '18.03', 'igv': 3.64, 'total': 23.83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4"/>
    <x v="1"/>
    <s v="consu"/>
    <n v="1"/>
    <n v="20.190000000000001"/>
    <n v="23.83"/>
    <n v="0"/>
    <n v="20.190000000000001"/>
    <n v="18.03"/>
    <n v="3.64"/>
    <n v="23.83"/>
    <n v="1"/>
    <m/>
    <x v="1"/>
    <x v="1"/>
    <x v="0"/>
    <s v="SAMUEL CHUQUISTA"/>
    <x v="0"/>
    <s v="7012100 MercaderÃ­as-Venta Local-Terceros"/>
    <x v="3"/>
    <x v="22"/>
    <m/>
    <m/>
    <m/>
    <x v="0"/>
    <s v="REYNOSO BENDEZU CARLOS ARTURO"/>
    <m/>
    <x v="78"/>
  </r>
  <r>
    <x v="4"/>
    <x v="52"/>
    <s v="COLABORATIVA S.A.C."/>
    <x v="8"/>
    <d v="2025-10-16T00:00:00"/>
    <x v="19"/>
    <m/>
    <n v="1"/>
    <n v="72431289"/>
    <s v="[{'id_producto': '1', 'codigo_producto': '877', 'nom_producto': 'COMISIÃ“N PAGOS DIGITALES SEGÃšN CONTRATO', 'categoria_producto': 'consu', 'cantidad': '1.0', 'valor_unitario': 50.85, 'precio_unitario': 60.0, 'descuento': 0.0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RODRIGO ANTONIO QUISPE MONTAÃ‘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3"/>
    <x v="0"/>
    <s v="consu"/>
    <n v="1"/>
    <n v="50.85"/>
    <n v="60"/>
    <n v="0"/>
    <n v="50.85"/>
    <n v="17.989999999999998"/>
    <n v="9.15"/>
    <n v="60"/>
    <n v="1"/>
    <m/>
    <x v="1"/>
    <x v="1"/>
    <x v="0"/>
    <s v="SAMUEL CHUQUISTA"/>
    <x v="0"/>
    <s v="7012100 MercaderÃ­as-Venta Local-Terceros"/>
    <x v="3"/>
    <x v="22"/>
    <m/>
    <m/>
    <m/>
    <x v="0"/>
    <s v="RODRIGO ANTONIO QUISPE MONTAÃ‘EZ"/>
    <m/>
    <x v="79"/>
  </r>
  <r>
    <x v="4"/>
    <x v="53"/>
    <s v="COLABORATIVA S.A.C."/>
    <x v="8"/>
    <d v="2025-10-16T00:00:00"/>
    <x v="19"/>
    <m/>
    <n v="1"/>
    <n v="72431289"/>
    <s v="[{'id_producto': '1', 'codigo_producto': '870', 'nom_producto': 'COMISIÃ“N VAOPE SEGÃšN CONTRATO', 'categoria_producto': 'consu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', 'nom_evento': '', 'Fecha_hora_ini_event': '', 'Fecha_hora_fin_event': '', 'id_organizador': '', 'nom_organizador': 'RODRIGO ANTONIO QUISPE MONTAÃ‘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4"/>
    <x v="1"/>
    <s v="consu"/>
    <n v="1"/>
    <n v="60"/>
    <n v="70.8"/>
    <n v="0"/>
    <n v="60"/>
    <n v="18"/>
    <n v="10.8"/>
    <n v="70.8"/>
    <n v="1"/>
    <m/>
    <x v="1"/>
    <x v="1"/>
    <x v="0"/>
    <s v="SAMUEL CHUQUISTA"/>
    <x v="0"/>
    <s v="7012100 MercaderÃ­as-Venta Local-Terceros"/>
    <x v="3"/>
    <x v="22"/>
    <m/>
    <m/>
    <m/>
    <x v="0"/>
    <s v="RODRIGO ANTONIO QUISPE MONTAÃ‘EZ"/>
    <m/>
    <x v="80"/>
  </r>
  <r>
    <x v="3"/>
    <x v="54"/>
    <s v="COLABORATIVA S.A.C."/>
    <x v="9"/>
    <d v="2025-10-16T00:00:00"/>
    <x v="20"/>
    <s v="Cliente"/>
    <n v="6"/>
    <n v="20602855733"/>
    <s v="[{'id_producto': '1', 'codigo_producto': '981', 'nom_producto': 'COMISION CORTESIA - PUNTO DE VENTA', 'categoria_producto': 'consu', 'cantidad': '1.0', 'valor_unitario': 12.75, 'precio_unitario': 15.04, 'descuento': 0.0, 'subtotal': 12.75, 'porcentaje_de_igv': '17.96', 'igv': 2.29, 'total': 15.04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5"/>
    <x v="24"/>
    <s v="consu"/>
    <n v="1"/>
    <n v="12.75"/>
    <n v="15.04"/>
    <n v="0"/>
    <n v="12.75"/>
    <n v="17.96"/>
    <n v="2.29"/>
    <n v="15.04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81"/>
  </r>
  <r>
    <x v="3"/>
    <x v="55"/>
    <s v="COLABORATIVA S.A.C."/>
    <x v="9"/>
    <d v="2025-10-16T00:00:00"/>
    <x v="20"/>
    <s v="Cliente"/>
    <n v="6"/>
    <n v="20602855733"/>
    <s v="[{'id_producto': '1', 'codigo_producto': '877', 'nom_producto': 'COMISIÃ“N PAGOS DIGITALES SEGÃšN CONTRATO', 'categoria_producto': 'consu', 'cantidad': '1.0', 'valor_unitario': 392.2, 'precio_unitario': 462.8, 'descuento': 0.0, 'subtotal': 392.2, 'porcentaje_de_igv': '18.00', 'igv': 70.6, 'total': 462.8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392.2"/>
    <n v="462.8"/>
    <n v="0"/>
    <n v="392.2"/>
    <n v="18"/>
    <n v="70.599999999999994"/>
    <n v="462.8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82"/>
  </r>
  <r>
    <x v="3"/>
    <x v="56"/>
    <s v="COLABORATIVA S.A.C."/>
    <x v="9"/>
    <d v="2025-10-16T00:00:00"/>
    <x v="20"/>
    <s v="Cliente"/>
    <n v="6"/>
    <n v="20602855733"/>
    <s v="[{'id_producto': '1', 'codigo_producto': '870', 'nom_producto': 'COMISIÃ“N VAOPE SEGÃšN CONTRATO', 'categoria_producto': 'consu', 'cantidad': '1.0', 'valor_unitario': 527.39, 'precio_unitario': 622.32, 'descuento': 0.0, 'subtotal': 527.39, 'porcentaje_de_igv': '18.00', 'igv': 94.93, 'total': 622.32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527.39"/>
    <n v="622.32000000000005"/>
    <n v="0"/>
    <n v="527.39"/>
    <n v="18"/>
    <n v="94.93"/>
    <n v="622.32000000000005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83"/>
  </r>
  <r>
    <x v="4"/>
    <x v="57"/>
    <s v="COLABORATIVA S.A.C."/>
    <x v="9"/>
    <d v="2025-10-16T00:00:00"/>
    <x v="21"/>
    <m/>
    <n v="1"/>
    <n v="19941551"/>
    <s v="[{'id_producto': '1', 'codigo_producto': '980', 'nom_producto': 'PERSONAL - PAUTA PUBLICITARIA - EULALIA PEREZ', 'categoria_producto': 'consu', 'cantidad': '1.0', 'valor_unitario': 980.0, 'precio_unitario': 1156.4, 'descuento': 0.0, 'subtotal': 980.0, 'porcentaje_de_igv': '18.00', 'igv': 176.4, 'total': 1156.4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16"/>
    <x v="25"/>
    <s v="consu"/>
    <n v="1"/>
    <n v="980"/>
    <n v="1156.4000000000001"/>
    <n v="0"/>
    <n v="980"/>
    <n v="18"/>
    <n v="176.4"/>
    <n v="1156.4000000000001"/>
    <n v="1"/>
    <m/>
    <x v="1"/>
    <x v="1"/>
    <x v="0"/>
    <s v="SAMUEL CHUQUISTA"/>
    <x v="0"/>
    <s v="7012100 MercaderÃ­as-Venta Local-Terceros"/>
    <x v="4"/>
    <x v="22"/>
    <m/>
    <m/>
    <m/>
    <x v="0"/>
    <s v="EULALIA GAUDENCIA PEREZ CARHUAMACA"/>
    <m/>
    <x v="84"/>
  </r>
  <r>
    <x v="4"/>
    <x v="58"/>
    <s v="COLABORATIVA S.A.C."/>
    <x v="9"/>
    <d v="2025-10-16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437.8, 'precio_unitario': 516.6, 'descuento': 0.0, 'subtotal': 437.8, 'porcentaje_de_igv': '18.00', 'igv': 78.8, 'total': 516.6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7"/>
    <x v="26"/>
    <s v="consu"/>
    <n v="1"/>
    <n v="437.8"/>
    <n v="516.6"/>
    <n v="0"/>
    <n v="437.8"/>
    <n v="18"/>
    <n v="78.8"/>
    <n v="516.6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85"/>
  </r>
  <r>
    <x v="4"/>
    <x v="59"/>
    <s v="COLABORATIVA S.A.C."/>
    <x v="9"/>
    <d v="2025-10-16T00:00:00"/>
    <x v="21"/>
    <m/>
    <n v="1"/>
    <n v="19941551"/>
    <s v="[{'id_producto': '1', 'codigo_producto': '979', 'nom_producto': 'COMISIÃ“N VAOPE SEGUN CONTRATO - EULALIA PEREZ ', 'categoria_producto': 'consu', 'cantidad': '1.0', 'valor_unitario': 391.08, 'precio_unitario': 461.47, 'descuento': 0.0, 'subtotal': 391.08, 'porcentaje_de_igv': '18.00', 'igv': 70.39, 'total': 461.47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8"/>
    <x v="27"/>
    <s v="consu"/>
    <n v="1"/>
    <n v="391.08"/>
    <n v="461.47"/>
    <n v="0"/>
    <n v="391.08"/>
    <n v="18"/>
    <n v="70.39"/>
    <n v="461.47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86"/>
  </r>
  <r>
    <x v="4"/>
    <x v="60"/>
    <s v="COLABORATIVA S.A.C."/>
    <x v="9"/>
    <d v="2025-10-16T00:00:00"/>
    <x v="22"/>
    <m/>
    <n v="1"/>
    <n v="19889371"/>
    <s v="[{'id_producto': '1', 'codigo_producto': '978', 'nom_producto': 'PERSONAL - PAUTA PUBLICITARIA JULIO MACH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19"/>
    <x v="28"/>
    <s v="consu"/>
    <n v="1"/>
    <n v="500"/>
    <n v="590"/>
    <n v="0"/>
    <n v="500"/>
    <n v="18"/>
    <n v="90"/>
    <n v="590"/>
    <n v="1"/>
    <m/>
    <x v="1"/>
    <x v="1"/>
    <x v="0"/>
    <s v="SAMUEL CHUQUISTA"/>
    <x v="0"/>
    <s v="7012100 MercaderÃ­as-Venta Local-Terceros"/>
    <x v="4"/>
    <x v="22"/>
    <m/>
    <m/>
    <m/>
    <x v="0"/>
    <s v="JULIO MACHA MUNIVE"/>
    <m/>
    <x v="87"/>
  </r>
  <r>
    <x v="4"/>
    <x v="61"/>
    <s v="COLABORATIVA S.A.C."/>
    <x v="9"/>
    <d v="2025-10-16T00:00:00"/>
    <x v="22"/>
    <m/>
    <n v="1"/>
    <n v="19889371"/>
    <s v="[{'id_producto': '1', 'codigo_producto': '938', 'nom_producto': 'COMISIÃ“N PAGOS DIGITALES SEGUN CONTRATO - JULIO MACHA 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0"/>
    <x v="29"/>
    <s v="consu"/>
    <n v="1"/>
    <n v="223.36"/>
    <n v="263.57"/>
    <n v="0"/>
    <n v="223.36"/>
    <n v="18"/>
    <n v="40.21"/>
    <n v="263.57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88"/>
  </r>
  <r>
    <x v="4"/>
    <x v="62"/>
    <s v="COLABORATIVA S.A.C."/>
    <x v="9"/>
    <d v="2025-10-16T00:00:00"/>
    <x v="22"/>
    <m/>
    <n v="1"/>
    <n v="19889371"/>
    <s v="[{'id_producto': '1', 'codigo_producto': '937', 'nom_producto': 'COMISIÃ“N VAOPE SEGUN CONTRATO - JULIO MACH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1"/>
    <x v="30"/>
    <s v="consu"/>
    <n v="1"/>
    <n v="199.53"/>
    <n v="235.45"/>
    <n v="0"/>
    <n v="199.53"/>
    <n v="18"/>
    <n v="35.92"/>
    <n v="235.45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89"/>
  </r>
  <r>
    <x v="4"/>
    <x v="63"/>
    <s v="COLABORATIVA S.A.C."/>
    <x v="9"/>
    <d v="2025-10-16T00:00:00"/>
    <x v="23"/>
    <m/>
    <n v="1"/>
    <n v="76561182"/>
    <s v="[{'id_producto': '1', 'codigo_producto': '977', 'nom_producto': 'PERSONAL - PAUTA PUBLICITARIA - YARIT ALANY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22"/>
    <x v="31"/>
    <s v="consu"/>
    <n v="1"/>
    <n v="500"/>
    <n v="590"/>
    <n v="0"/>
    <n v="500"/>
    <n v="18"/>
    <n v="90"/>
    <n v="590"/>
    <n v="1"/>
    <m/>
    <x v="1"/>
    <x v="1"/>
    <x v="0"/>
    <s v="SAMUEL CHUQUISTA"/>
    <x v="0"/>
    <s v="7012100 MercaderÃ­as-Venta Local-Terceros"/>
    <x v="4"/>
    <x v="22"/>
    <m/>
    <m/>
    <m/>
    <x v="0"/>
    <s v="YARIT ZARI ALANYA PEREZ"/>
    <m/>
    <x v="90"/>
  </r>
  <r>
    <x v="4"/>
    <x v="64"/>
    <s v="COLABORATIVA S.A.C."/>
    <x v="9"/>
    <d v="2025-10-16T00:00:00"/>
    <x v="23"/>
    <m/>
    <n v="1"/>
    <n v="76561182"/>
    <s v="[{'id_producto': '1', 'codigo_producto': '936', 'nom_producto': 'COMISIÃ“N PAGOS DIGITALES SEGUN CONTRATO - YARIT ALANYA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3"/>
    <x v="32"/>
    <s v="consu"/>
    <n v="1"/>
    <n v="223.36"/>
    <n v="263.57"/>
    <n v="0"/>
    <n v="223.36"/>
    <n v="18"/>
    <n v="40.21"/>
    <n v="263.57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91"/>
  </r>
  <r>
    <x v="4"/>
    <x v="65"/>
    <s v="COLABORATIVA S.A.C."/>
    <x v="9"/>
    <d v="2025-10-16T00:00:00"/>
    <x v="23"/>
    <m/>
    <n v="1"/>
    <n v="76561182"/>
    <s v="[{'id_producto': '1', 'codigo_producto': '935', 'nom_producto': 'COMISIÃ“N VAOPE SEGUN CONTRATO - YARIT ALANY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4"/>
    <x v="33"/>
    <s v="consu"/>
    <n v="1"/>
    <n v="199.53"/>
    <n v="235.45"/>
    <n v="0"/>
    <n v="199.53"/>
    <n v="18"/>
    <n v="35.92"/>
    <n v="235.45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92"/>
  </r>
  <r>
    <x v="4"/>
    <x v="66"/>
    <s v="COLABORATIVA S.A.C."/>
    <x v="9"/>
    <d v="2025-10-16T00:00:00"/>
    <x v="24"/>
    <s v="Cliente"/>
    <n v="1"/>
    <n v="19988495"/>
    <s v="[{'id_producto': '1', 'codigo_producto': '976', 'nom_producto': 'PERSONAL - PAUTA PUBLICITARIA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Erol Aylas MarquiÃ±o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25"/>
    <x v="34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0"/>
    <s v="Erol Aylas MarquiÃ±o"/>
    <m/>
    <x v="93"/>
  </r>
  <r>
    <x v="4"/>
    <x v="67"/>
    <s v="COLABORATIVA S.A.C."/>
    <x v="9"/>
    <d v="2025-10-16T00:00:00"/>
    <x v="24"/>
    <s v="Cliente"/>
    <n v="1"/>
    <n v="19988495"/>
    <s v="[{'id_producto': '1', 'codigo_producto': '871', 'nom_producto': 'COMISIÃ“N PAGOS DIGITALES SEGÃšN CONTRATO ', 'categoria_producto': 'consu', 'cantidad': '1.0', 'valor_unitario': 57.2, 'precio_unitario': 67.5, 'descuento': 0.0, 'subtotal': 57.2, 'porcentaje_de_igv': '18.01', 'igv': 10.3, 'total': 67.5, 'moneda': '1', 'tipo_de_cambio': '', 'id_estado': 'not_paid', 'nombre_estado': 'Sin pagar', 'evento': {'id_evento': '', 'nom_evento': '', 'Fecha_hora_ini_event': '', 'Fecha_hora_fin_event': '', 'id_organizador': '', 'nom_organizador': 'Erol Aylas MarquiÃ±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6"/>
    <x v="35"/>
    <s v="consu"/>
    <n v="1"/>
    <n v="57.2"/>
    <n v="67.5"/>
    <n v="0"/>
    <n v="57.2"/>
    <n v="18.010000000000002"/>
    <n v="10.3"/>
    <n v="67.5"/>
    <n v="1"/>
    <m/>
    <x v="1"/>
    <x v="1"/>
    <x v="0"/>
    <s v="SAMUEL CHUQUISTA"/>
    <x v="0"/>
    <s v="7012100 MercaderÃ­as-Venta Local-Terceros"/>
    <x v="3"/>
    <x v="22"/>
    <m/>
    <m/>
    <m/>
    <x v="0"/>
    <s v="Erol Aylas MarquiÃ±o"/>
    <m/>
    <x v="94"/>
  </r>
  <r>
    <x v="4"/>
    <x v="68"/>
    <s v="COLABORATIVA S.A.C."/>
    <x v="9"/>
    <d v="2025-10-16T00:00:00"/>
    <x v="24"/>
    <s v="Cliente"/>
    <n v="1"/>
    <n v="19988495"/>
    <s v="[{'id_producto': '1', 'codigo_producto': '870', 'nom_producto': 'COMISIÃ“N VAOPE SEGÃšN CONTRATO', 'categoria_producto': 'consu', 'cantidad': '1.0', 'valor_unitario': 33.47, 'precio_unitario': 39.5, 'descuento': 0.0, 'subtotal': 33.47, 'porcentaje_de_igv': '18.02', 'igv': 6.03, 'total': 39.5, 'moneda': '1', 'tipo_de_cambio': '', 'id_estado': 'not_paid', 'nombre_estado': 'Sin pagar', 'evento': {'id_evento': '', 'nom_evento': '', 'Fecha_hora_ini_event': '', 'Fecha_hora_fin_event': '', 'id_organizador': '', 'nom_organizador': 'Erol Aylas MarquiÃ±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33.47"/>
    <n v="39.5"/>
    <n v="0"/>
    <n v="33.47"/>
    <n v="18.02"/>
    <n v="6.03"/>
    <n v="39.5"/>
    <n v="1"/>
    <m/>
    <x v="1"/>
    <x v="1"/>
    <x v="0"/>
    <s v="SAMUEL CHUQUISTA"/>
    <x v="0"/>
    <s v="7012100 MercaderÃ­as-Venta Local-Terceros"/>
    <x v="3"/>
    <x v="22"/>
    <m/>
    <m/>
    <m/>
    <x v="0"/>
    <s v="Erol Aylas MarquiÃ±o"/>
    <m/>
    <x v="95"/>
  </r>
  <r>
    <x v="3"/>
    <x v="69"/>
    <s v="COLABORATIVA S.A.C."/>
    <x v="9"/>
    <d v="2025-10-16T00:00:00"/>
    <x v="25"/>
    <m/>
    <n v="6"/>
    <n v="20609978407"/>
    <s v="[{'id_producto': '1', 'codigo_producto': '877', 'nom_producto': 'COMISIÃ“N PAGOS DIGITALES SEGÃšN CONTRATO', 'categoria_producto': 'consu', 'cantidad': '1.0', 'valor_unitario': 190.17, 'precio_unitario': 224.4, 'descuento': 0.0, 'subtotal': 190.17, 'porcentaje_de_igv': '18.00', 'igv': 34.23, 'total': 224.4, 'moneda': '1', 'tipo_de_cambio': '', 'id_estado': 'not_paid', 'nombre_estado': 'Sin pagar', 'evento': {'id_evento': '', 'nom_evento': '', 'Fecha_hora_ini_event': '', 'Fecha_hora_fin_event': '', 'id_organizador': '', 'nom_organizador': 'MAKWA ENTERTAINMENT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90.17"/>
    <n v="224.4"/>
    <n v="0"/>
    <n v="190.17"/>
    <n v="18"/>
    <n v="34.229999999999997"/>
    <n v="224.4"/>
    <n v="1"/>
    <m/>
    <x v="1"/>
    <x v="1"/>
    <x v="0"/>
    <s v="SAMUEL CHUQUISTA"/>
    <x v="0"/>
    <s v="7012100 MercaderÃ­as-Venta Local-Terceros"/>
    <x v="3"/>
    <x v="22"/>
    <m/>
    <m/>
    <m/>
    <x v="0"/>
    <s v="MAKWA ENTERTAINMENT S.A.C."/>
    <m/>
    <x v="96"/>
  </r>
  <r>
    <x v="3"/>
    <x v="70"/>
    <s v="COLABORATIVA S.A.C."/>
    <x v="9"/>
    <d v="2025-10-16T00:00:00"/>
    <x v="25"/>
    <m/>
    <n v="6"/>
    <n v="20609978407"/>
    <s v="[{'id_producto': '1', 'codigo_producto': '870', 'nom_producto': 'COMISIÃ“N VAOPE SEGÃšN CONTRATO', 'categoria_producto': 'consu', 'cantidad': '1.0', 'valor_unitario': 140.34, 'precio_unitario': 165.6, 'descuento': 0.0, 'subtotal': 140.34, 'porcentaje_de_igv': '18.00', 'igv': 25.26, 'total': 165.6, 'moneda': '1', 'tipo_de_cambio': '', 'id_estado': 'not_paid', 'nombre_estado': 'Sin pagar', 'evento': {'id_evento': '', 'nom_evento': '', 'Fecha_hora_ini_event': '', 'Fecha_hora_fin_event': '', 'id_organizador': '', 'nom_organizador': 'MAKWA ENTERTAINMENT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40.34"/>
    <n v="165.6"/>
    <n v="0"/>
    <n v="140.34"/>
    <n v="18"/>
    <n v="25.26"/>
    <n v="165.6"/>
    <n v="1"/>
    <m/>
    <x v="1"/>
    <x v="1"/>
    <x v="0"/>
    <s v="SAMUEL CHUQUISTA"/>
    <x v="0"/>
    <s v="7012100 MercaderÃ­as-Venta Local-Terceros"/>
    <x v="3"/>
    <x v="22"/>
    <m/>
    <m/>
    <m/>
    <x v="0"/>
    <s v="MAKWA ENTERTAINMENT S.A.C."/>
    <m/>
    <x v="97"/>
  </r>
  <r>
    <x v="3"/>
    <x v="71"/>
    <s v="COLABORATIVA S.A.C."/>
    <x v="9"/>
    <d v="2025-10-16T00:00:00"/>
    <x v="26"/>
    <m/>
    <n v="6"/>
    <n v="20611129212"/>
    <s v="[{'id_producto': '1', 'codigo_producto': '877', 'nom_producto': 'COMISIÃ“N PAGOS DIGITALES SEGÃšN CONTRATO', 'categoria_producto': 'consu', 'cantidad': '1.0', 'valor_unitario': 18.64, 'precio_unitario': 22.0, 'descuento': 0.0, 'subtotal': 18.64, 'porcentaje_de_igv': '18.03', 'igv': 3.36, 'total': 22.0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8.64"/>
    <n v="22"/>
    <n v="0"/>
    <n v="18.64"/>
    <n v="18.03"/>
    <n v="3.36"/>
    <n v="22"/>
    <n v="1"/>
    <m/>
    <x v="1"/>
    <x v="1"/>
    <x v="0"/>
    <s v="SAMUEL CHUQUISTA"/>
    <x v="0"/>
    <s v="7012100 MercaderÃ­as-Venta Local-Terceros"/>
    <x v="3"/>
    <x v="22"/>
    <m/>
    <m/>
    <m/>
    <x v="0"/>
    <s v="LA MATARINA PUENTE PIEDRA E.I.R.L."/>
    <m/>
    <x v="98"/>
  </r>
  <r>
    <x v="3"/>
    <x v="72"/>
    <s v="COLABORATIVA S.A.C."/>
    <x v="9"/>
    <d v="2025-10-16T00:00:00"/>
    <x v="26"/>
    <m/>
    <n v="6"/>
    <n v="20611129212"/>
    <s v="[{'id_producto': '1', 'codigo_producto': '870', 'nom_producto': 'COMISIÃ“N VAOPE SEGÃšN CONTRATO', 'categoria_producto': 'consu', 'cantidad': '1.0', 'valor_unitario': 12.71, 'precio_unitario': 15.0, 'descuento': 0.0, 'subtotal': 12.71, 'porcentaje_de_igv': '18.02', 'igv': 2.29, 'total': 15.0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2.71"/>
    <n v="15"/>
    <n v="0"/>
    <n v="12.71"/>
    <n v="18.02"/>
    <n v="2.29"/>
    <n v="15"/>
    <n v="1"/>
    <m/>
    <x v="1"/>
    <x v="1"/>
    <x v="0"/>
    <s v="SAMUEL CHUQUISTA"/>
    <x v="0"/>
    <s v="7012100 MercaderÃ­as-Venta Local-Terceros"/>
    <x v="3"/>
    <x v="22"/>
    <m/>
    <m/>
    <m/>
    <x v="0"/>
    <s v="LA MATARINA PUENTE PIEDRA E.I.R.L."/>
    <m/>
    <x v="99"/>
  </r>
  <r>
    <x v="3"/>
    <x v="73"/>
    <s v="COLABORATIVA S.A.C."/>
    <x v="9"/>
    <d v="2025-10-16T00:00:00"/>
    <x v="26"/>
    <m/>
    <n v="6"/>
    <n v="20611129212"/>
    <s v="[{'id_producto': '1', 'codigo_producto': '877', 'nom_producto': 'COMISIÃ“N PAGOS DIGITALES SEGÃšN CONTRATO', 'categoria_producto': 'consu', 'cantidad': '1.0', 'valor_unitario': 6.95, 'precio_unitario': 8.2, 'descuento': 0.0, 'subtotal': 6.95, 'porcentaje_de_igv': '17.99', 'igv': 1.25, 'total': 8.2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6.95"/>
    <n v="8.1999999999999993"/>
    <n v="0"/>
    <n v="6.95"/>
    <n v="17.989999999999998"/>
    <n v="1.25"/>
    <n v="8.1999999999999993"/>
    <n v="1"/>
    <m/>
    <x v="1"/>
    <x v="1"/>
    <x v="0"/>
    <s v="SAMUEL CHUQUISTA"/>
    <x v="0"/>
    <s v="7012100 MercaderÃ­as-Venta Local-Terceros"/>
    <x v="3"/>
    <x v="22"/>
    <m/>
    <m/>
    <m/>
    <x v="0"/>
    <s v="LA MATARINA PUENTE PIEDRA E.I.R.L."/>
    <m/>
    <x v="100"/>
  </r>
  <r>
    <x v="3"/>
    <x v="74"/>
    <s v="COLABORATIVA S.A.C."/>
    <x v="9"/>
    <d v="2025-10-16T00:00:00"/>
    <x v="26"/>
    <m/>
    <n v="6"/>
    <n v="20611129212"/>
    <s v="[{'id_producto': '1', 'codigo_producto': '870', 'nom_producto': 'COMISIÃ“N VAOPE SEGÃšN CONTRATO', 'categoria_producto': 'consu', 'cantidad': '1.0', 'valor_unitario': 4.58, 'precio_unitario': 5.4, 'descuento': 0.0, 'subtotal': 4.58, 'porcentaje_de_igv': '17.90', 'igv': 0.82, 'total': 5.4, 'moneda': '1', 'tipo_de_cambio': '', 'id_estado': 'not_paid', 'nombre_estado': 'Sin pagar', 'evento': {'id_evento': '', 'nom_evento': '', 'Fecha_hora_ini_event': '', 'Fecha_hora_fin_event': '', 'id_organizador': '', 'nom_organizador': 'LA MATARINA PUENTE PIEDR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4.58"/>
    <n v="5.4"/>
    <n v="0"/>
    <n v="4.58"/>
    <n v="17.899999999999999"/>
    <n v="0.82"/>
    <n v="5.4"/>
    <n v="1"/>
    <m/>
    <x v="1"/>
    <x v="1"/>
    <x v="0"/>
    <s v="SAMUEL CHUQUISTA"/>
    <x v="0"/>
    <s v="7012100 MercaderÃ­as-Venta Local-Terceros"/>
    <x v="3"/>
    <x v="22"/>
    <m/>
    <m/>
    <m/>
    <x v="0"/>
    <s v="LA MATARINA PUENTE PIEDRA E.I.R.L."/>
    <m/>
    <x v="101"/>
  </r>
  <r>
    <x v="4"/>
    <x v="75"/>
    <s v="COLABORATIVA S.A.C."/>
    <x v="9"/>
    <d v="2025-10-16T00:00:00"/>
    <x v="27"/>
    <s v="Cliente"/>
    <n v="1"/>
    <n v="44292844"/>
    <s v="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Humberto Ronald Mendoza Chach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0"/>
    <s v="Humberto Ronald Mendoza Chacha"/>
    <m/>
    <x v="102"/>
  </r>
  <r>
    <x v="4"/>
    <x v="76"/>
    <s v="COLABORATIVA S.A.C."/>
    <x v="9"/>
    <d v="2025-10-16T00:00:00"/>
    <x v="27"/>
    <s v="Cliente"/>
    <n v="1"/>
    <n v="44292844"/>
    <s v="[{'id_producto': '1', 'codigo_producto': '877', 'nom_producto': 'COMISIÃ“N PAGOS DIGITALES SEGÃšN CONTRATO', 'categoria_producto': 'consu', 'cantidad': '1.0', 'valor_unitario': 275.32, 'precio_unitario': 324.88, 'descuento': 0.0, 'subtotal': 275.32, 'porcentaje_de_igv': '18.00', 'igv': 49.56, 'total': 324.88, 'moneda': '1', 'tipo_de_cambio': '', 'id_estado': 'not_paid', 'nombre_estado': 'Sin pagar', 'evento': {'id_evento': '', 'nom_evento': '', 'Fecha_hora_ini_event': '', 'Fecha_hora_fin_event': '', 'id_organizador': '', 'nom_organizador': 'Humberto Ronald Mendoza Chach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75.32"/>
    <n v="324.88"/>
    <n v="0"/>
    <n v="275.32"/>
    <n v="18"/>
    <n v="49.56"/>
    <n v="324.88"/>
    <n v="1"/>
    <m/>
    <x v="1"/>
    <x v="1"/>
    <x v="0"/>
    <s v="SAMUEL CHUQUISTA"/>
    <x v="0"/>
    <s v="7012100 MercaderÃ­as-Venta Local-Terceros"/>
    <x v="3"/>
    <x v="22"/>
    <m/>
    <m/>
    <m/>
    <x v="0"/>
    <s v="Humberto Ronald Mendoza Chacha"/>
    <m/>
    <x v="103"/>
  </r>
  <r>
    <x v="4"/>
    <x v="77"/>
    <s v="COLABORATIVA S.A.C."/>
    <x v="9"/>
    <d v="2025-10-16T00:00:00"/>
    <x v="27"/>
    <s v="Cliente"/>
    <n v="1"/>
    <n v="44292844"/>
    <s v="[{'id_producto': '1', 'codigo_producto': '870', 'nom_producto': 'COMISIÃ“N VAOPE SEGÃšN CONTRATO', 'categoria_producto': 'consu', 'cantidad': '1.0', 'valor_unitario': 165.5, 'precio_unitario': 195.29, 'descuento': 0.0, 'subtotal': 165.5, 'porcentaje_de_igv': '18.00', 'igv': 29.79, 'total': 195.29, 'moneda': '1', 'tipo_de_cambio': '', 'id_estado': 'not_paid', 'nombre_estado': 'Sin pagar', 'evento': {'id_evento': '', 'nom_evento': '', 'Fecha_hora_ini_event': '', 'Fecha_hora_fin_event': '', 'id_organizador': '', 'nom_organizador': 'Humberto Ronald Mendoza Chach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65.5"/>
    <n v="195.29"/>
    <n v="0"/>
    <n v="165.5"/>
    <n v="18"/>
    <n v="29.79"/>
    <n v="195.29"/>
    <n v="1"/>
    <m/>
    <x v="1"/>
    <x v="1"/>
    <x v="0"/>
    <s v="SAMUEL CHUQUISTA"/>
    <x v="0"/>
    <s v="7012100 MercaderÃ­as-Venta Local-Terceros"/>
    <x v="3"/>
    <x v="22"/>
    <m/>
    <m/>
    <m/>
    <x v="0"/>
    <s v="Humberto Ronald Mendoza Chacha"/>
    <m/>
    <x v="104"/>
  </r>
  <r>
    <x v="3"/>
    <x v="78"/>
    <s v="COLABORATIVA S.A.C."/>
    <x v="9"/>
    <d v="2025-10-16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05"/>
  </r>
  <r>
    <x v="3"/>
    <x v="79"/>
    <s v="COLABORATIVA S.A.C."/>
    <x v="9"/>
    <d v="2025-10-16T00:00:00"/>
    <x v="28"/>
    <m/>
    <n v="6"/>
    <n v="20611890746"/>
    <s v="[{'id_producto': '1', 'codigo_producto': '975', 'nom_producto': 'PERSONAL - SERV, DEVOLUCIONES', 'categoria_producto': 'consu', 'cantidad': '1.0', 'valor_unitario': 200.0, 'precio_unitario': 236.0, 'descuento': 0.0, 'subtotal': 200.0, 'porcentaje_de_igv': '18.00', 'igv': 36.0, 'total': 23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2-05T00:00:00"/>
    <m/>
    <m/>
    <m/>
    <m/>
    <m/>
    <n v="1"/>
    <x v="28"/>
    <x v="37"/>
    <s v="consu"/>
    <n v="1"/>
    <n v="200"/>
    <n v="236"/>
    <n v="0"/>
    <n v="200"/>
    <n v="18"/>
    <n v="36"/>
    <n v="236"/>
    <n v="1"/>
    <m/>
    <x v="1"/>
    <x v="1"/>
    <x v="0"/>
    <s v="SAMUEL CHUQUISTA"/>
    <x v="0"/>
    <s v="7012100 MercaderÃ­as-Venta Local-Terceros"/>
    <x v="5"/>
    <x v="22"/>
    <m/>
    <m/>
    <m/>
    <x v="0"/>
    <s v="CONSORCIO CHUNGA &amp; ASOCIADOS S.A.C."/>
    <m/>
    <x v="106"/>
  </r>
  <r>
    <x v="3"/>
    <x v="80"/>
    <s v="COLABORATIVA S.A.C."/>
    <x v="9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69.42, 'precio_unitario': 81.92, 'descuento': 0.0, 'subtotal': 69.42, 'porcentaje_de_igv': '18.01', 'igv': 12.5, 'total': 81.92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69.42"/>
    <n v="81.92"/>
    <n v="0"/>
    <n v="69.42"/>
    <n v="18.010000000000002"/>
    <n v="12.5"/>
    <n v="81.92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07"/>
  </r>
  <r>
    <x v="3"/>
    <x v="81"/>
    <s v="COLABORATIVA S.A.C."/>
    <x v="9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42.58, 'precio_unitario': 50.24, 'descuento': 0.0, 'subtotal': 42.58, 'porcentaje_de_igv': '17.99', 'igv': 7.66, 'total': 50.24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42.58"/>
    <n v="50.24"/>
    <n v="0"/>
    <n v="42.58"/>
    <n v="17.989999999999998"/>
    <n v="7.66"/>
    <n v="50.24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08"/>
  </r>
  <r>
    <x v="4"/>
    <x v="82"/>
    <s v="COLABORATIVA S.A.C."/>
    <x v="9"/>
    <d v="2025-10-16T00:00:00"/>
    <x v="29"/>
    <s v="Cliente"/>
    <n v="1"/>
    <n v="73241854"/>
    <s v="[{'id_producto': '1', 'codigo_producto': '974', 'nom_producto': 'PERSONAL - PAUTA PUBLICITARIA -PIERO MACH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29"/>
    <x v="38"/>
    <s v="consu"/>
    <n v="1"/>
    <n v="20"/>
    <n v="23.6"/>
    <n v="0"/>
    <n v="20"/>
    <n v="18"/>
    <n v="3.6"/>
    <n v="23.6"/>
    <n v="1"/>
    <m/>
    <x v="1"/>
    <x v="1"/>
    <x v="0"/>
    <s v="SAMUEL CHUQUISTA"/>
    <x v="0"/>
    <s v="7012100 MercaderÃ­as-Venta Local-Terceros"/>
    <x v="4"/>
    <x v="22"/>
    <m/>
    <m/>
    <m/>
    <x v="0"/>
    <s v="Piero Macha Perez"/>
    <m/>
    <x v="109"/>
  </r>
  <r>
    <x v="4"/>
    <x v="83"/>
    <s v="COLABORATIVA S.A.C."/>
    <x v="9"/>
    <d v="2025-10-16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8.93, 'precio_unitario': 10.54, 'descuento': 0.0, 'subtotal': 8.93, 'porcentaje_de_igv': '18.03', 'igv': 1.61, 'total': 10.54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0"/>
    <x v="39"/>
    <s v="consu"/>
    <n v="1"/>
    <n v="8.93"/>
    <n v="10.54"/>
    <n v="0"/>
    <n v="8.93"/>
    <n v="18.03"/>
    <n v="1.61"/>
    <n v="10.54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110"/>
  </r>
  <r>
    <x v="4"/>
    <x v="84"/>
    <s v="COLABORATIVA S.A.C."/>
    <x v="9"/>
    <d v="2025-10-16T00:00:00"/>
    <x v="29"/>
    <s v="Cliente"/>
    <n v="1"/>
    <n v="73241854"/>
    <s v="[{'id_producto': '1', 'codigo_producto': '933', 'nom_producto': 'COMISIÃ“N VAOPE SEGUN CONTRATO - PIERO MACHA', 'categoria_producto': 'consu', 'cantidad': '1.0', 'valor_unitario': 7.98, 'precio_unitario': 9.42, 'descuento': 0.0, 'subtotal': 7.98, 'porcentaje_de_igv': '18.05', 'igv': 1.44, 'total': 9.42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1"/>
    <x v="40"/>
    <s v="consu"/>
    <n v="1"/>
    <n v="7.98"/>
    <n v="9.42"/>
    <n v="0"/>
    <n v="7.98"/>
    <n v="18.05"/>
    <n v="1.44"/>
    <n v="9.42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111"/>
  </r>
  <r>
    <x v="3"/>
    <x v="85"/>
    <s v="COLABORATIVA S.A.C."/>
    <x v="9"/>
    <d v="2025-10-16T00:00:00"/>
    <x v="30"/>
    <s v="Cliente"/>
    <n v="6"/>
    <n v="20296011356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112"/>
  </r>
  <r>
    <x v="3"/>
    <x v="86"/>
    <s v="COLABORATIVA S.A.C."/>
    <x v="9"/>
    <d v="2025-10-16T00:00:00"/>
    <x v="30"/>
    <s v="Cliente"/>
    <n v="6"/>
    <n v="20296011356"/>
    <s v="[{'id_producto': '1', 'codigo_producto': '921', 'nom_producto': 'PERSONAL - Servicio de 04 validadores (Inc IGV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2-05T00:00:00"/>
    <m/>
    <m/>
    <m/>
    <m/>
    <m/>
    <n v="1"/>
    <x v="32"/>
    <x v="41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6"/>
    <x v="22"/>
    <m/>
    <m/>
    <m/>
    <x v="0"/>
    <s v="COMPLEJO TURISTICO EL REMANSO SAC"/>
    <m/>
    <x v="113"/>
  </r>
  <r>
    <x v="3"/>
    <x v="87"/>
    <s v="COLABORATIVA S.A.C."/>
    <x v="9"/>
    <d v="2025-10-16T00:00:00"/>
    <x v="30"/>
    <s v="Cliente"/>
    <n v="6"/>
    <n v="20296011356"/>
    <s v="[{'id_producto': '1', 'codigo_producto': '973', 'nom_producto': 'ENTRADAS IMPRESAS - ORDEN DE VENTA NÂ°569\n * FiestÃ³n de Carnavales con La Bella Luz, Linda Caba y Deyvis Orosco en El Remanso de Comas / 1,500 FULL COLOR ADULTO, 1,000 FULL COLOR PROMO ADULTO, 500 FULL COLOR NIÃ‘O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3"/>
    <x v="42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0"/>
    <s v="COMPLEJO TURISTICO EL REMANSO SAC"/>
    <m/>
    <x v="114"/>
  </r>
  <r>
    <x v="3"/>
    <x v="88"/>
    <s v="COLABORATIVA S.A.C."/>
    <x v="9"/>
    <d v="2025-10-16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1693.39, 'precio_unitario': 1998.2, 'descuento': 0.0, 'subtotal': 1693.39, 'porcentaje_de_igv': '18.00', 'igv': 304.81, 'total': 1998.2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693.39"/>
    <n v="1998.2"/>
    <n v="0"/>
    <n v="1693.39"/>
    <n v="18"/>
    <n v="304.81"/>
    <n v="1998.2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115"/>
  </r>
  <r>
    <x v="3"/>
    <x v="89"/>
    <s v="COLABORATIVA S.A.C."/>
    <x v="9"/>
    <d v="2025-10-16T00:00:00"/>
    <x v="30"/>
    <s v="Cliente"/>
    <n v="6"/>
    <n v="20296011356"/>
    <s v="[{'id_producto': '1', 'codigo_producto': '870', 'nom_producto': 'COMISIÃ“N VAOPE SEGÃšN CONTRATO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660"/>
    <n v="778.8"/>
    <n v="0"/>
    <n v="660"/>
    <n v="18"/>
    <n v="118.8"/>
    <n v="778.8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116"/>
  </r>
  <r>
    <x v="3"/>
    <x v="90"/>
    <s v="COLABORATIVA S.A.C."/>
    <x v="9"/>
    <d v="2025-10-16T00:00:00"/>
    <x v="31"/>
    <m/>
    <n v="6"/>
    <n v="20603210868"/>
    <s v="[{'id_producto': '1', 'codigo_producto': '972', 'nom_producto': 'COMISION CORTESIA - PAUTA PUIBLICITARIA', 'categoria_producto': 'consu', 'cantidad': '1.0', 'valor_unitario': 308.0, 'precio_unitario': 363.44, 'descuento': 0.0, 'subtotal': 308.0, 'porcentaje_de_igv': '18.00', 'igv': 55.44, 'total': 363.44, 'moneda': '1', 'tipo_de_cambio': '', 'id_estado': 'not_paid', 'nombre_estado': 'Sin pagar', 'evento': {'id_evento': '', 'nom_evento': '', 'Fecha_hora_ini_event': '', 'Fecha_hora_fin_event': '', 'id_organizador': '', 'nom_organizador': 'TARPUY PRODUCCION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4"/>
    <x v="43"/>
    <s v="consu"/>
    <n v="1"/>
    <n v="308"/>
    <n v="363.44"/>
    <n v="0"/>
    <n v="308"/>
    <n v="18"/>
    <n v="55.44"/>
    <n v="363.44"/>
    <n v="1"/>
    <m/>
    <x v="1"/>
    <x v="1"/>
    <x v="0"/>
    <s v="SAMUEL CHUQUISTA"/>
    <x v="0"/>
    <s v="7012100 MercaderÃ­as-Venta Local-Terceros"/>
    <x v="3"/>
    <x v="22"/>
    <m/>
    <m/>
    <m/>
    <x v="0"/>
    <s v="TARPUY PRODUCCIONES E.I.R.L."/>
    <m/>
    <x v="117"/>
  </r>
  <r>
    <x v="3"/>
    <x v="91"/>
    <s v="COLABORATIVA S.A.C."/>
    <x v="9"/>
    <d v="2025-10-16T00:00:00"/>
    <x v="31"/>
    <m/>
    <n v="6"/>
    <n v="20603210868"/>
    <s v="[{'id_producto': '1', 'codigo_producto': '877', 'nom_producto': 'COMISIÃ“N PAGOS DIGITALES SEGÃšN CONTRATO', 'categoria_producto': 'consu', 'cantidad': '1.0', 'valor_unitario': 298.87, 'precio_unitario': 352.67, 'descuento': 0.0, 'subtotal': 298.87, 'porcentaje_de_igv': '18.00', 'igv': 53.8, 'total': 352.67, 'moneda': '1', 'tipo_de_cambio': '', 'id_estado': 'not_paid', 'nombre_estado': 'Sin pagar', 'evento': {'id_evento': '', 'nom_evento': '', 'Fecha_hora_ini_event': '', 'Fecha_hora_fin_event': '', 'id_organizador': '', 'nom_organizador': 'TARPUY PRODUCCION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98.87"/>
    <n v="352.67"/>
    <n v="0"/>
    <n v="298.87"/>
    <n v="18"/>
    <n v="53.8"/>
    <n v="352.67"/>
    <n v="1"/>
    <m/>
    <x v="1"/>
    <x v="1"/>
    <x v="0"/>
    <s v="SAMUEL CHUQUISTA"/>
    <x v="0"/>
    <s v="7012100 MercaderÃ­as-Venta Local-Terceros"/>
    <x v="3"/>
    <x v="22"/>
    <m/>
    <m/>
    <m/>
    <x v="0"/>
    <s v="TARPUY PRODUCCIONES E.I.R.L."/>
    <m/>
    <x v="118"/>
  </r>
  <r>
    <x v="3"/>
    <x v="92"/>
    <s v="COLABORATIVA S.A.C."/>
    <x v="9"/>
    <d v="2025-10-16T00:00:00"/>
    <x v="31"/>
    <m/>
    <n v="6"/>
    <n v="20603210868"/>
    <s v="[{'id_producto': '1', 'codigo_producto': '870', 'nom_producto': 'COMISIÃ“N VAOPE SEGÃšN CONTRATO', 'categoria_producto': 'consu', 'cantidad': '1.0', 'valor_unitario': 183.02, 'precio_unitario': 215.96, 'descuento': 0.0, 'subtotal': 183.02, 'porcentaje_de_igv': '18.00', 'igv': 32.94, 'total': 215.96, 'moneda': '1', 'tipo_de_cambio': '', 'id_estado': 'not_paid', 'nombre_estado': 'Sin pagar', 'evento': {'id_evento': '', 'nom_evento': '', 'Fecha_hora_ini_event': '', 'Fecha_hora_fin_event': '', 'id_organizador': '', 'nom_organizador': 'TARPUY PRODUCCION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83.02"/>
    <n v="215.96"/>
    <n v="0"/>
    <n v="183.02"/>
    <n v="18"/>
    <n v="32.94"/>
    <n v="215.96"/>
    <n v="1"/>
    <m/>
    <x v="1"/>
    <x v="1"/>
    <x v="0"/>
    <s v="SAMUEL CHUQUISTA"/>
    <x v="0"/>
    <s v="7012100 MercaderÃ­as-Venta Local-Terceros"/>
    <x v="3"/>
    <x v="22"/>
    <m/>
    <m/>
    <m/>
    <x v="0"/>
    <s v="TARPUY PRODUCCIONES E.I.R.L."/>
    <m/>
    <x v="119"/>
  </r>
  <r>
    <x v="4"/>
    <x v="93"/>
    <s v="COLABORATIVA S.A.C."/>
    <x v="9"/>
    <d v="2025-10-16T00:00:00"/>
    <x v="32"/>
    <m/>
    <n v="1"/>
    <n v="47332687"/>
    <s v="[{'id_producto': '1', 'codigo_producto': '877', 'nom_producto': 'COMISIÃ“N PAGOS DIGITALES SEGÃšN CONTRATO', 'categoria_producto': 'consu', 'cantidad': '1.0', 'valor_unitario': 3.48, 'precio_unitario': 4.11, 'descuento': 0.0, 'subtotal': 3.48, 'porcentaje_de_igv': '18.10', 'igv': 0.63, 'total': 4.11, 'moneda': '1', 'tipo_de_cambio': '', 'id_estado': 'not_paid', 'nombre_estado': 'Sin pagar', 'evento': {'id_evento': '', 'nom_evento': '', 'Fecha_hora_ini_event': '', 'Fecha_hora_fin_event': '', 'id_organizador': '', 'nom_organizador': 'GARELD ZAID HERRERA CARDENA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3.48"/>
    <n v="4.1100000000000003"/>
    <n v="0"/>
    <n v="3.48"/>
    <n v="18.100000000000001"/>
    <n v="0.63"/>
    <n v="4.1100000000000003"/>
    <n v="1"/>
    <m/>
    <x v="1"/>
    <x v="1"/>
    <x v="0"/>
    <s v="SAMUEL CHUQUISTA"/>
    <x v="0"/>
    <s v="7012100 MercaderÃ­as-Venta Local-Terceros"/>
    <x v="3"/>
    <x v="22"/>
    <m/>
    <m/>
    <m/>
    <x v="0"/>
    <s v="GARELD ZAID HERRERA CARDENAS_x000a_"/>
    <m/>
    <x v="120"/>
  </r>
  <r>
    <x v="4"/>
    <x v="94"/>
    <s v="COLABORATIVA S.A.C."/>
    <x v="9"/>
    <d v="2025-10-16T00:00:00"/>
    <x v="32"/>
    <m/>
    <n v="1"/>
    <n v="47332687"/>
    <s v="[{'id_producto': '1', 'codigo_producto': '870', 'nom_producto': 'COMISIÃ“N VAOPE SEGÃšN CONTRATO', 'categoria_producto': 'consu', 'cantidad': '1.0', 'valor_unitario': 3.0, 'precio_unitario': 3.54, 'descuento': 0.0, 'subtotal': 3.0, 'porcentaje_de_igv': '18.00', 'igv': 0.54, 'total': 3.54, 'moneda': '1', 'tipo_de_cambio': '', 'id_estado': 'not_paid', 'nombre_estado': 'Sin pagar', 'evento': {'id_evento': '', 'nom_evento': '', 'Fecha_hora_ini_event': '', 'Fecha_hora_fin_event': '', 'id_organizador': '', 'nom_organizador': 'GARELD ZAID HERRERA CARDENA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3"/>
    <n v="3.54"/>
    <n v="0"/>
    <n v="3"/>
    <n v="18"/>
    <n v="0.54"/>
    <n v="3.54"/>
    <n v="1"/>
    <m/>
    <x v="1"/>
    <x v="1"/>
    <x v="0"/>
    <s v="SAMUEL CHUQUISTA"/>
    <x v="0"/>
    <s v="7012100 MercaderÃ­as-Venta Local-Terceros"/>
    <x v="3"/>
    <x v="22"/>
    <m/>
    <m/>
    <m/>
    <x v="0"/>
    <s v="GARELD ZAID HERRERA CARDENAS_x000a_"/>
    <m/>
    <x v="121"/>
  </r>
  <r>
    <x v="3"/>
    <x v="95"/>
    <s v="COLABORATIVA S.A.C."/>
    <x v="9"/>
    <d v="2025-10-16T00:00:00"/>
    <x v="33"/>
    <m/>
    <n v="6"/>
    <n v="20609584719"/>
    <s v="[{'id_producto': '1', 'codigo_producto': '877', 'nom_producto': 'COMISIÃ“N PAGOS DIGITALES SEGÃšN CONTRATO', 'categoria_producto': 'consu', 'cantidad': '1.0', 'valor_unitario': 54.07, 'precio_unitario': 63.8, 'descuento': 0.0, 'subtotal': 54.07, 'porcentaje_de_igv': '18.00', 'igv': 9.73, 'total': 63.8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54.07"/>
    <n v="63.8"/>
    <n v="0"/>
    <n v="54.07"/>
    <n v="18"/>
    <n v="9.73"/>
    <n v="63.8"/>
    <n v="1"/>
    <m/>
    <x v="1"/>
    <x v="1"/>
    <x v="0"/>
    <s v="SAMUEL CHUQUISTA"/>
    <x v="0"/>
    <s v="7012100 MercaderÃ­as-Venta Local-Terceros"/>
    <x v="3"/>
    <x v="22"/>
    <m/>
    <m/>
    <m/>
    <x v="0"/>
    <s v="SEVAFRA SAC"/>
    <m/>
    <x v="122"/>
  </r>
  <r>
    <x v="3"/>
    <x v="96"/>
    <s v="COLABORATIVA S.A.C."/>
    <x v="9"/>
    <d v="2025-10-16T00:00:00"/>
    <x v="33"/>
    <m/>
    <n v="6"/>
    <n v="20609584719"/>
    <s v="[{'id_producto': '1', 'codigo_producto': '870', 'nom_producto': 'COMISIÃ“N VAOPE SEGÃšN CONTRATO', 'categoria_producto': 'consu', 'cantidad': '1.0', 'valor_unitario': 29.49, 'precio_unitario': 34.8, 'descuento': 0.0, 'subtotal': 29.49, 'porcentaje_de_igv': '18.01', 'igv': 5.31, 'total': 34.8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29.49"/>
    <n v="34.799999999999997"/>
    <n v="0"/>
    <n v="29.49"/>
    <n v="18.010000000000002"/>
    <n v="5.31"/>
    <n v="34.799999999999997"/>
    <n v="1"/>
    <m/>
    <x v="1"/>
    <x v="1"/>
    <x v="0"/>
    <s v="SAMUEL CHUQUISTA"/>
    <x v="0"/>
    <s v="7012100 MercaderÃ­as-Venta Local-Terceros"/>
    <x v="3"/>
    <x v="22"/>
    <m/>
    <m/>
    <m/>
    <x v="0"/>
    <s v="SEVAFRA SAC"/>
    <m/>
    <x v="123"/>
  </r>
  <r>
    <x v="3"/>
    <x v="97"/>
    <s v="COLABORATIVA S.A.C."/>
    <x v="9"/>
    <d v="2025-10-16T00:00:00"/>
    <x v="34"/>
    <m/>
    <n v="6"/>
    <n v="20610014381"/>
    <s v="[{'id_producto': '1', 'codigo_producto': '877', 'nom_producto': 'COMISIÃ“N PAGOS DIGITALES SEGÃšN CONTRATO', 'categoria_producto': 'consu', 'cantidad': '1.0', 'valor_unitario': 16.44, 'precio_unitario': 19.4, 'descuento': 0.0, 'subtotal': 16.44, 'porcentaje_de_igv': '18.00', 'igv': 2.96, 'total': 19.4, 'moneda': '1', 'tipo_de_cambio': '', 'id_estado': 'not_paid', 'nombre_estado': 'Sin pagar', 'evento': {'id_evento': '', 'nom_evento': '', 'Fecha_hora_ini_event': '', 'Fecha_hora_fin_event': '', 'id_organizador': '', 'nom_organizador': 'MULTISERVICIOS YATACO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6.440000000000001"/>
    <n v="19.399999999999999"/>
    <n v="0"/>
    <n v="16.440000000000001"/>
    <n v="18"/>
    <n v="2.96"/>
    <n v="19.399999999999999"/>
    <n v="1"/>
    <m/>
    <x v="1"/>
    <x v="1"/>
    <x v="0"/>
    <s v="SAMUEL CHUQUISTA"/>
    <x v="0"/>
    <s v="7012100 MercaderÃ­as-Venta Local-Terceros"/>
    <x v="3"/>
    <x v="22"/>
    <m/>
    <m/>
    <m/>
    <x v="0"/>
    <s v="MULTISERVICIOS YATACO E.I.R.L."/>
    <m/>
    <x v="124"/>
  </r>
  <r>
    <x v="3"/>
    <x v="98"/>
    <s v="COLABORATIVA S.A.C."/>
    <x v="9"/>
    <d v="2025-10-16T00:00:00"/>
    <x v="34"/>
    <m/>
    <n v="6"/>
    <n v="20610014381"/>
    <s v="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'', 'nom_organizador': 'MULTISERVICIOS YATACO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8.05"/>
    <n v="21.3"/>
    <n v="0"/>
    <n v="18.05"/>
    <n v="18.010000000000002"/>
    <n v="3.25"/>
    <n v="21.3"/>
    <n v="1"/>
    <m/>
    <x v="1"/>
    <x v="1"/>
    <x v="0"/>
    <s v="SAMUEL CHUQUISTA"/>
    <x v="0"/>
    <s v="7012100 MercaderÃ­as-Venta Local-Terceros"/>
    <x v="3"/>
    <x v="22"/>
    <m/>
    <m/>
    <m/>
    <x v="0"/>
    <s v="MULTISERVICIOS YATACO E.I.R.L."/>
    <m/>
    <x v="125"/>
  </r>
  <r>
    <x v="3"/>
    <x v="99"/>
    <s v="COLABORATIVA S.A.C."/>
    <x v="9"/>
    <d v="2025-10-16T00:00:00"/>
    <x v="35"/>
    <m/>
    <n v="6"/>
    <n v="20516587874"/>
    <s v="[{'id_producto': '1', 'codigo_producto': '877', 'nom_producto': 'COMISIÃ“N PAGOS DIGITALES SEGÃšN CONTRATO', 'categoria_producto': 'consu', 'cantidad': '1.0', 'valor_unitario': 30.34, 'precio_unitario': 35.8, 'descuento': 0.0, 'subtotal': 30.34, 'porcentaje_de_igv': '18.00', 'igv': 5.46, 'total': 35.8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30.34"/>
    <n v="35.799999999999997"/>
    <n v="0"/>
    <n v="30.34"/>
    <n v="18"/>
    <n v="5.46"/>
    <n v="35.799999999999997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126"/>
  </r>
  <r>
    <x v="3"/>
    <x v="100"/>
    <s v="COLABORATIVA S.A.C."/>
    <x v="9"/>
    <d v="2025-10-16T00:00:00"/>
    <x v="35"/>
    <m/>
    <n v="6"/>
    <n v="20516587874"/>
    <s v="[{'id_producto': '1', 'codigo_producto': '870', 'nom_producto': 'COMISIÃ“N VAOPE SEGÃšN CONTRATO', 'categoria_producto': 'consu', 'cantidad': '1.0', 'valor_unitario': 17.29, 'precio_unitario': 20.4, 'descuento': 0.0, 'subtotal': 17.29, 'porcentaje_de_igv': '17.99', 'igv': 3.11, 'total': 20.4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7.29"/>
    <n v="20.399999999999999"/>
    <n v="0"/>
    <n v="17.29"/>
    <n v="17.989999999999998"/>
    <n v="3.11"/>
    <n v="20.399999999999999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127"/>
  </r>
  <r>
    <x v="3"/>
    <x v="101"/>
    <s v="COLABORATIVA S.A.C."/>
    <x v="9"/>
    <d v="2025-10-16T00:00:00"/>
    <x v="36"/>
    <m/>
    <n v="6"/>
    <n v="20600937112"/>
    <s v="[{'id_producto': '1', 'codigo_producto': '877', 'nom_producto': 'COMISIÃ“N PAGOS DIGITALES SEGÃšN CONTRATO', 'categoria_producto': 'consu', 'cantidad': '1.0', 'valor_unitario': 11.47, 'precio_unitario': 13.54, 'descuento': 0.0, 'subtotal': 11.47, 'porcentaje_de_igv': '18.05', 'igv': 2.07, 'total': 13.54, 'moneda': '1', 'tipo_de_cambio': '', 'id_estado': 'not_paid', 'nombre_estado': 'Sin pagar', 'evento': {'id_evento': '', 'nom_evento': '', 'Fecha_hora_ini_event': '', 'Fecha_hora_fin_event': '', 'id_organizador': '', 'nom_organizador': 'INVERSIONES SAM &amp; ASOCIADOS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1.47"/>
    <n v="13.54"/>
    <n v="0"/>
    <n v="11.47"/>
    <n v="18.05"/>
    <n v="2.0699999999999998"/>
    <n v="13.54"/>
    <n v="1"/>
    <m/>
    <x v="1"/>
    <x v="1"/>
    <x v="0"/>
    <s v="SAMUEL CHUQUISTA"/>
    <x v="0"/>
    <s v="7012100 MercaderÃ­as-Venta Local-Terceros"/>
    <x v="3"/>
    <x v="22"/>
    <m/>
    <m/>
    <m/>
    <x v="0"/>
    <s v="INVERSIONES SAM &amp; ASOCIADOS SAC"/>
    <m/>
    <x v="128"/>
  </r>
  <r>
    <x v="3"/>
    <x v="102"/>
    <s v="COLABORATIVA S.A.C."/>
    <x v="9"/>
    <d v="2025-10-16T00:00:00"/>
    <x v="36"/>
    <m/>
    <n v="6"/>
    <n v="20600937112"/>
    <s v="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'', 'nom_organizador': 'INVERSIONES SAM &amp; ASOCIADOS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2.2"/>
    <n v="14.4"/>
    <n v="0"/>
    <n v="12.2"/>
    <n v="18.03"/>
    <n v="2.2000000000000002"/>
    <n v="14.4"/>
    <n v="1"/>
    <m/>
    <x v="1"/>
    <x v="1"/>
    <x v="0"/>
    <s v="SAMUEL CHUQUISTA"/>
    <x v="0"/>
    <s v="7012100 MercaderÃ­as-Venta Local-Terceros"/>
    <x v="3"/>
    <x v="22"/>
    <m/>
    <m/>
    <m/>
    <x v="0"/>
    <s v="INVERSIONES SAM &amp; ASOCIADOS SAC"/>
    <m/>
    <x v="129"/>
  </r>
  <r>
    <x v="3"/>
    <x v="103"/>
    <s v="COLABORATIVA S.A.C."/>
    <x v="9"/>
    <d v="2025-10-16T00:00:00"/>
    <x v="37"/>
    <s v="Cliente"/>
    <n v="6"/>
    <n v="20608627422"/>
    <s v="[{'id_producto': '1', 'codigo_producto': '877', 'nom_producto': 'COMISIÃ“N PAGOS DIGITALES SEGÃšN CONTRATO', 'categoria_producto': 'consu', 'cantidad': '1.0', 'valor_unitario': 1553.9, 'precio_unitario': 1833.6, 'descuento': 0.0, 'subtotal': 1553.9, 'porcentaje_de_igv': '18.00', 'igv': 279.7, 'total': 1833.6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553.9"/>
    <n v="1833.6"/>
    <n v="0"/>
    <n v="1553.9"/>
    <n v="18"/>
    <n v="279.7"/>
    <n v="1833.6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130"/>
  </r>
  <r>
    <x v="3"/>
    <x v="104"/>
    <s v="COLABORATIVA S.A.C."/>
    <x v="9"/>
    <d v="2025-10-16T00:00:00"/>
    <x v="37"/>
    <s v="Cliente"/>
    <n v="6"/>
    <n v="20608627422"/>
    <s v="[{'id_producto': '1', 'codigo_producto': '870', 'nom_producto': 'COMISIÃ“N VAOPE SEGÃšN CONTRATO', 'categoria_producto': 'consu', 'cantidad': '1.0', 'valor_unitario': 1180.25, 'precio_unitario': 1392.7, 'descuento': 0.0, 'subtotal': 1180.25, 'porcentaje_de_igv': '18.00', 'igv': 212.45, 'total': 1392.7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180.25"/>
    <n v="1392.7"/>
    <n v="0"/>
    <n v="1180.25"/>
    <n v="18"/>
    <n v="212.45"/>
    <n v="1392.7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131"/>
  </r>
  <r>
    <x v="3"/>
    <x v="105"/>
    <s v="COLABORATIVA S.A.C."/>
    <x v="9"/>
    <d v="2025-10-16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32"/>
  </r>
  <r>
    <x v="3"/>
    <x v="106"/>
    <s v="COLABORATIVA S.A.C."/>
    <x v="9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2327.53, 'precio_unitario': 2746.48, 'descuento': 0.0, 'subtotal': 2327.53, 'porcentaje_de_igv': '18.00', 'igv': 418.95, 'total': 2746.4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327.5300000000002"/>
    <n v="2746.48"/>
    <n v="0"/>
    <n v="2327.5300000000002"/>
    <n v="18"/>
    <n v="418.95"/>
    <n v="2746.4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33"/>
  </r>
  <r>
    <x v="3"/>
    <x v="107"/>
    <s v="COLABORATIVA S.A.C."/>
    <x v="9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1440.93, 'precio_unitario': 1700.3, 'descuento': 0.0, 'subtotal': 1440.93, 'porcentaje_de_igv': '18.00', 'igv': 259.37, 'total': 1700.3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440.93"/>
    <n v="1700.3"/>
    <n v="0"/>
    <n v="1440.93"/>
    <n v="18"/>
    <n v="259.37"/>
    <n v="1700.3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34"/>
  </r>
  <r>
    <x v="4"/>
    <x v="108"/>
    <s v="COLABORATIVA S.A.C."/>
    <x v="9"/>
    <d v="2025-10-16T00:00:00"/>
    <x v="38"/>
    <m/>
    <n v="1"/>
    <n v="45273802"/>
    <s v="[{'id_producto': '1', 'codigo_producto': '877', 'nom_producto': 'COMISIÃ“N PAGOS DIGITALES SEGÃšN CONTRATO', 'categoria_producto': 'consu', 'cantidad': '1.0', 'valor_unitario': 799.58, 'precio_unitario': 943.5, 'descuento': 0.0, 'subtotal': 799.58, 'porcentaje_de_igv': '18.00', 'igv': 143.92, 'total': 943.5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799.58"/>
    <n v="943.5"/>
    <n v="0"/>
    <n v="799.58"/>
    <n v="18"/>
    <n v="143.91999999999999"/>
    <n v="943.5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135"/>
  </r>
  <r>
    <x v="4"/>
    <x v="109"/>
    <s v="COLABORATIVA S.A.C."/>
    <x v="9"/>
    <d v="2025-10-16T00:00:00"/>
    <x v="38"/>
    <m/>
    <n v="1"/>
    <n v="45273802"/>
    <s v="[{'id_producto': '1', 'codigo_producto': '870', 'nom_producto': 'COMISIÃ“N VAOPE SEGÃšN CONTRATO', 'categoria_producto': 'consu', 'cantidad': '1.0', 'valor_unitario': 614.24, 'precio_unitario': 724.8, 'descuento': 0.0, 'subtotal': 614.24, 'porcentaje_de_igv': '18.00', 'igv': 110.56, 'total': 724.8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614.24"/>
    <n v="724.8"/>
    <n v="0"/>
    <n v="614.24"/>
    <n v="18"/>
    <n v="110.56"/>
    <n v="724.8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136"/>
  </r>
  <r>
    <x v="4"/>
    <x v="110"/>
    <s v="COLABORATIVA S.A.C."/>
    <x v="9"/>
    <d v="2025-10-16T00:00:00"/>
    <x v="38"/>
    <m/>
    <n v="1"/>
    <n v="45273802"/>
    <s v="[{'id_producto': '1', 'codigo_producto': '877', 'nom_producto': 'COMISIÃ“N PAGOS DIGITALES SEGÃšN CONTRATO', 'categoria_producto': 'consu', 'cantidad': '1.0', 'valor_unitario': 272.2, 'precio_unitario': 321.2, 'descuento': 0.0, 'subtotal': 272.2, 'porcentaje_de_igv': '18.00', 'igv': 49.0, 'total': 321.2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72.2"/>
    <n v="321.2"/>
    <n v="0"/>
    <n v="272.2"/>
    <n v="18"/>
    <n v="49"/>
    <n v="321.2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137"/>
  </r>
  <r>
    <x v="4"/>
    <x v="111"/>
    <s v="COLABORATIVA S.A.C."/>
    <x v="9"/>
    <d v="2025-10-16T00:00:00"/>
    <x v="38"/>
    <m/>
    <n v="1"/>
    <n v="45273802"/>
    <s v="[{'id_producto': '1', 'codigo_producto': '870', 'nom_producto': 'COMISIÃ“N VAOPE SEGÃšN CONTRATO', 'categoria_producto': 'consu', 'cantidad': '1.0', 'valor_unitario': 222.71, 'precio_unitario': 262.8, 'descuento': 0.0, 'subtotal': 222.71, 'porcentaje_de_igv': '18.00', 'igv': 40.09, 'total': 262.8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222.71"/>
    <n v="262.8"/>
    <n v="0"/>
    <n v="222.71"/>
    <n v="18"/>
    <n v="40.090000000000003"/>
    <n v="262.8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138"/>
  </r>
  <r>
    <x v="3"/>
    <x v="112"/>
    <s v="COLABORATIVA S.A.C."/>
    <x v="9"/>
    <d v="2025-10-16T00:00:00"/>
    <x v="28"/>
    <m/>
    <n v="6"/>
    <n v="20611890746"/>
    <s v="[{'id_producto': '1', 'codigo_producto': '971', 'nom_producto': 'PERSONAL - PAUTA PUBLICITARIA - DELIVERY', 'categoria_producto': 'consu', 'cantidad': '1.0', 'valor_unitario': 650.0, 'precio_unitario': 767.0, 'descuento': 0.0, 'subtotal': 650.0, 'porcentaje_de_igv': '18.00', 'igv': 117.0, 'total': 767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35"/>
    <x v="44"/>
    <s v="consu"/>
    <n v="1"/>
    <n v="650"/>
    <n v="767"/>
    <n v="0"/>
    <n v="650"/>
    <n v="18"/>
    <n v="117"/>
    <n v="767"/>
    <n v="1"/>
    <m/>
    <x v="1"/>
    <x v="1"/>
    <x v="0"/>
    <s v="SAMUEL CHUQUISTA"/>
    <x v="0"/>
    <s v="7012100 MercaderÃ­as-Venta Local-Terceros"/>
    <x v="4"/>
    <x v="22"/>
    <m/>
    <m/>
    <m/>
    <x v="0"/>
    <s v="CONSORCIO CHUNGA &amp; ASOCIADOS S.A.C."/>
    <m/>
    <x v="139"/>
  </r>
  <r>
    <x v="3"/>
    <x v="113"/>
    <s v="COLABORATIVA S.A.C."/>
    <x v="9"/>
    <d v="2025-10-16T00:00:00"/>
    <x v="28"/>
    <m/>
    <n v="6"/>
    <n v="20611890746"/>
    <s v="[{'id_producto': '1', 'codigo_producto': '970', 'nom_producto': 'ENTRADAS IMPRESAS - Orden de venta NÂº 580\n * LA ÃšNICA TROPICAL PAITA - 08 DE FEB - I - P / 1,000 BRAZALETES VIP (S/708.00)\n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6"/>
    <x v="45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140"/>
  </r>
  <r>
    <x v="3"/>
    <x v="114"/>
    <s v="COLABORATIVA S.A.C."/>
    <x v="9"/>
    <d v="2025-10-16T00:00:00"/>
    <x v="28"/>
    <m/>
    <n v="6"/>
    <n v="20611890746"/>
    <s v="[{'id_producto': '1', 'codigo_producto': '969', 'nom_producto': 'ENTRADAS IMPRESAS - Orden de venta NÂº 579\n * LA ÃšNICA TROPICAL MOTUPE - 05 DE FEB - I - P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7"/>
    <x v="46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141"/>
  </r>
  <r>
    <x v="3"/>
    <x v="115"/>
    <s v="COLABORATIVA S.A.C."/>
    <x v="9"/>
    <d v="2025-10-16T00:00:00"/>
    <x v="28"/>
    <m/>
    <n v="6"/>
    <n v="20611890746"/>
    <s v="[{'id_producto': '1', 'codigo_producto': '968', 'nom_producto': 'ENTRADAS IMPRESAS - ORDEN DE VENTA NÂ°573\n * La Ãšnica Tropical en Sullana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8"/>
    <x v="47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142"/>
  </r>
  <r>
    <x v="3"/>
    <x v="116"/>
    <s v="COLABORATIVA S.A.C."/>
    <x v="9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2530.92, 'precio_unitario': 2986.48, 'descuento': 0.0, 'subtotal': 2530.92, 'porcentaje_de_igv': '18.00', 'igv': 455.56, 'total': 2986.4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530.92"/>
    <n v="2986.48"/>
    <n v="0"/>
    <n v="2530.92"/>
    <n v="18"/>
    <n v="455.56"/>
    <n v="2986.4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43"/>
  </r>
  <r>
    <x v="3"/>
    <x v="117"/>
    <s v="COLABORATIVA S.A.C."/>
    <x v="9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1544.46, 'precio_unitario': 1822.46, 'descuento': 0.0, 'subtotal': 1544.46, 'porcentaje_de_igv': '18.00', 'igv': 278.0, 'total': 1822.4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544.46"/>
    <n v="1822.46"/>
    <n v="0"/>
    <n v="1544.46"/>
    <n v="18"/>
    <n v="278"/>
    <n v="1822.46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44"/>
  </r>
  <r>
    <x v="4"/>
    <x v="118"/>
    <s v="COLABORATIVA S.A.C."/>
    <x v="9"/>
    <d v="2025-10-16T00:00:00"/>
    <x v="10"/>
    <s v="Cliente"/>
    <n v="1"/>
    <n v="43908595"/>
    <s v="[{'id_producto': '1', 'codigo_producto': '967', 'nom_producto': 'COMISIÃ“N PAGOS DIGITALES SEGUN CONTRAT', 'categoria_producto': 'consu', 'cantidad': '1.0', 'valor_unitario': 1885.17, 'precio_unitario': 2224.5, 'descuento': 0.0, 'subtotal': 1885.17, 'porcentaje_de_igv': '18.00', 'igv': 339.33, 'total': 2224.5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9"/>
    <x v="48"/>
    <s v="consu"/>
    <n v="1"/>
    <n v="1885.17"/>
    <n v="2224.5"/>
    <n v="0"/>
    <n v="1885.17"/>
    <n v="18"/>
    <n v="339.33"/>
    <n v="2224.5"/>
    <n v="1"/>
    <m/>
    <x v="1"/>
    <x v="1"/>
    <x v="0"/>
    <s v="SAMUEL CHUQUISTA"/>
    <x v="0"/>
    <s v="7012100 MercaderÃ­as-Venta Local-Terceros"/>
    <x v="3"/>
    <x v="22"/>
    <m/>
    <m/>
    <m/>
    <x v="0"/>
    <s v="JESUS MANUEL COTRINA CORPUS"/>
    <m/>
    <x v="145"/>
  </r>
  <r>
    <x v="4"/>
    <x v="119"/>
    <s v="COLABORATIVA S.A.C."/>
    <x v="9"/>
    <d v="2025-10-16T00:00:00"/>
    <x v="10"/>
    <s v="Cliente"/>
    <n v="1"/>
    <n v="43908595"/>
    <s v="[{'id_producto': '1', 'codigo_producto': '885', 'nom_producto': 'COMISIÃ“N VAOPE SEGUN CONTRATO', 'categoria_producto': 'consu', 'cantidad': '1.0', 'valor_unitario': 2021.19, 'precio_unitario': 2385.0, 'descuento': 0.0, 'subtotal': 2021.19, 'porcentaje_de_igv': '18.00', 'igv': 363.81, 'total': 2385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40"/>
    <x v="49"/>
    <s v="consu"/>
    <n v="1"/>
    <n v="2021.19"/>
    <n v="2385"/>
    <n v="0"/>
    <n v="2021.19"/>
    <n v="18"/>
    <n v="363.81"/>
    <n v="2385"/>
    <n v="1"/>
    <m/>
    <x v="1"/>
    <x v="1"/>
    <x v="0"/>
    <s v="SAMUEL CHUQUISTA"/>
    <x v="0"/>
    <s v="7012100 MercaderÃ­as-Venta Local-Terceros"/>
    <x v="3"/>
    <x v="22"/>
    <m/>
    <m/>
    <m/>
    <x v="0"/>
    <s v="JESUS MANUEL COTRINA CORPUS"/>
    <m/>
    <x v="146"/>
  </r>
  <r>
    <x v="4"/>
    <x v="120"/>
    <s v="COLABORATIVA S.A.C."/>
    <x v="9"/>
    <d v="2025-10-16T00:00:00"/>
    <x v="10"/>
    <s v="Cliente"/>
    <n v="1"/>
    <n v="43908595"/>
    <s v="[{'id_producto': '1', 'codigo_producto': '992', 'nom_producto': 'COMISION CORTESIA - DELIVERY', 'categoria_producto': 'consu', 'cantidad': '1.0', 'valor_unitario': 32.0, 'precio_unitario': 37.76, 'descuento': 0.0, 'subtotal': 32.0, 'porcentaje_de_igv': '18.00', 'igv': 5.76, 'total': 37.76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41"/>
    <x v="9"/>
    <s v="consu"/>
    <n v="1"/>
    <n v="32"/>
    <n v="37.76"/>
    <n v="0"/>
    <n v="32"/>
    <n v="18"/>
    <n v="5.76"/>
    <n v="37.76"/>
    <n v="1"/>
    <m/>
    <x v="1"/>
    <x v="1"/>
    <x v="0"/>
    <s v="SAMUEL CHUQUISTA"/>
    <x v="0"/>
    <s v="7012100 MercaderÃ­as-Venta Local-Terceros"/>
    <x v="3"/>
    <x v="22"/>
    <m/>
    <m/>
    <m/>
    <x v="0"/>
    <s v="JESUS MANUEL COTRINA CORPUS"/>
    <m/>
    <x v="147"/>
  </r>
  <r>
    <x v="4"/>
    <x v="121"/>
    <s v="COLABORATIVA S.A.C."/>
    <x v="9"/>
    <d v="2025-10-16T00:00:00"/>
    <x v="10"/>
    <s v="Cliente"/>
    <n v="1"/>
    <n v="43908595"/>
    <s v="[{'id_producto': '1', 'codigo_producto': '966', 'nom_producto': 'PERSONAL - PUBLICIDAD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42"/>
    <x v="50"/>
    <s v="consu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4"/>
    <x v="22"/>
    <m/>
    <m/>
    <m/>
    <x v="0"/>
    <s v="JESUS MANUEL COTRINA CORPUS"/>
    <m/>
    <x v="148"/>
  </r>
  <r>
    <x v="4"/>
    <x v="122"/>
    <s v="COLABORATIVA S.A.C."/>
    <x v="9"/>
    <d v="2025-10-16T00:00:00"/>
    <x v="10"/>
    <s v="Cliente"/>
    <n v="1"/>
    <n v="43908595"/>
    <s v="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2-05T00:00:00"/>
    <m/>
    <m/>
    <m/>
    <m/>
    <m/>
    <n v="1"/>
    <x v="43"/>
    <x v="5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0"/>
    <s v="JESUS MANUEL COTRINA CORPUS"/>
    <m/>
    <x v="149"/>
  </r>
  <r>
    <x v="4"/>
    <x v="123"/>
    <s v="COLABORATIVA S.A.C."/>
    <x v="9"/>
    <d v="2025-10-16T00:00:00"/>
    <x v="10"/>
    <s v="Cliente"/>
    <n v="1"/>
    <n v="43908595"/>
    <s v="[{'id_producto': '1', 'codigo_producto': '965', 'nom_producto': 'ENTRADAS IMPRESAS - ORDEN DE VENTA NÂ°529\n * CORAZÃ“N SERRANO Y DINA PAUCAR EN REAL HOTEL HUASCARÃN EN HUARAZ/ 500 TICKETS PREMIUM PLATINUM/ 500 TICKETS PREMIUM VIP (S/1,097.40)', 'categoria_producto': 'consu', 'cantidad': '1.0', 'valor_unitario': 930.0, 'precio_unitario': 1097.4, 'descuento': 0.0, 'subtotal': 930.0, 'porcentaje_de_igv': '18.00', 'igv': 167.4, 'total': 1097.4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44"/>
    <x v="52"/>
    <s v="consu"/>
    <n v="1"/>
    <n v="930"/>
    <n v="1097.4000000000001"/>
    <n v="0"/>
    <n v="930"/>
    <n v="18"/>
    <n v="167.4"/>
    <n v="1097.4000000000001"/>
    <n v="1"/>
    <m/>
    <x v="1"/>
    <x v="1"/>
    <x v="0"/>
    <s v="SAMUEL CHUQUISTA"/>
    <x v="0"/>
    <s v="7012100 MercaderÃ­as-Venta Local-Terceros"/>
    <x v="2"/>
    <x v="22"/>
    <m/>
    <m/>
    <m/>
    <x v="0"/>
    <s v="JESUS MANUEL COTRINA CORPUS"/>
    <m/>
    <x v="150"/>
  </r>
  <r>
    <x v="3"/>
    <x v="124"/>
    <s v="COLABORATIVA S.A.C."/>
    <x v="9"/>
    <d v="2025-10-16T00:00:00"/>
    <x v="39"/>
    <m/>
    <n v="6"/>
    <n v="20609649039"/>
    <s v="[{'id_producto': '1', 'codigo_producto': '877', 'nom_producto': 'COMISIÃ“N PAGOS DIGITALES SEGÃšN CONTRATO', 'categoria_producto': 'consu', 'cantidad': '1.0', 'valor_unitario': 25.85, 'precio_unitario': 30.5, 'descuento': 0.0, 'subtotal': 25.85, 'porcentaje_de_igv': '17.99', 'igv': 4.65, 'total': 30.5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5.85"/>
    <n v="30.5"/>
    <n v="0"/>
    <n v="25.85"/>
    <n v="17.989999999999998"/>
    <n v="4.6500000000000004"/>
    <n v="30.5"/>
    <n v="1"/>
    <m/>
    <x v="1"/>
    <x v="1"/>
    <x v="0"/>
    <s v="SAMUEL CHUQUISTA"/>
    <x v="0"/>
    <s v="7012100 MercaderÃ­as-Venta Local-Terceros"/>
    <x v="3"/>
    <x v="22"/>
    <m/>
    <m/>
    <m/>
    <x v="0"/>
    <s v="CARDANO PRODUCCIONES S.A.C."/>
    <m/>
    <x v="151"/>
  </r>
  <r>
    <x v="3"/>
    <x v="125"/>
    <s v="COLABORATIVA S.A.C."/>
    <x v="9"/>
    <d v="2025-10-16T00:00:00"/>
    <x v="39"/>
    <m/>
    <n v="6"/>
    <n v="20609649039"/>
    <s v="[{'id_producto': '1', 'codigo_producto': '870', 'nom_producto': 'COMISIÃ“N VAOPE SEGÃšN CONTRATO', 'categoria_producto': 'consu', 'cantidad': '1.0', 'valor_unitario': 20.34, 'precio_unitario': 24.0, 'descuento': 0.0, 'subtotal': 20.34, 'porcentaje_de_igv': '17.99', 'igv': 3.66, 'total': 24.0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20.34"/>
    <n v="24"/>
    <n v="0"/>
    <n v="20.34"/>
    <n v="17.989999999999998"/>
    <n v="3.66"/>
    <n v="24"/>
    <n v="1"/>
    <m/>
    <x v="1"/>
    <x v="1"/>
    <x v="0"/>
    <s v="SAMUEL CHUQUISTA"/>
    <x v="0"/>
    <s v="7012100 MercaderÃ­as-Venta Local-Terceros"/>
    <x v="3"/>
    <x v="22"/>
    <m/>
    <m/>
    <m/>
    <x v="0"/>
    <s v="CARDANO PRODUCCIONES S.A.C."/>
    <m/>
    <x v="152"/>
  </r>
  <r>
    <x v="3"/>
    <x v="126"/>
    <s v="COLABORATIVA S.A.C."/>
    <x v="9"/>
    <d v="2025-10-16T00:00:00"/>
    <x v="40"/>
    <m/>
    <n v="6"/>
    <n v="20611587741"/>
    <s v="[{'id_producto': '1', 'codigo_producto': '877', 'nom_producto': 'COMISIÃ“N PAGOS DIGITALES SEGÃšN CONTRATO', 'categoria_producto': 'consu', 'cantidad': '1.0', 'valor_unitario': 24.75, 'precio_unitario': 29.2, 'descuento': 0.0, 'subtotal': 24.75, 'porcentaje_de_igv': '17.98', 'igv': 4.45, 'total': 29.2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4.75"/>
    <n v="29.2"/>
    <n v="0"/>
    <n v="24.75"/>
    <n v="17.98"/>
    <n v="4.45"/>
    <n v="29.2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153"/>
  </r>
  <r>
    <x v="3"/>
    <x v="127"/>
    <s v="COLABORATIVA S.A.C."/>
    <x v="9"/>
    <d v="2025-10-16T00:00:00"/>
    <x v="40"/>
    <m/>
    <n v="6"/>
    <n v="20611587741"/>
    <s v="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8.05"/>
    <n v="21.3"/>
    <n v="0"/>
    <n v="18.05"/>
    <n v="18.010000000000002"/>
    <n v="3.25"/>
    <n v="21.3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154"/>
  </r>
  <r>
    <x v="3"/>
    <x v="128"/>
    <s v="COLABORATIVA S.A.C."/>
    <x v="9"/>
    <d v="2025-10-16T00:00:00"/>
    <x v="28"/>
    <m/>
    <n v="6"/>
    <n v="20611890746"/>
    <s v="[{'id_producto': '1', 'codigo_producto': '964', 'nom_producto': 'ENTRADAS IMPRESAS - ORDEN DE VENTA NÂ°575\n * La Ãšnica Tropical en ColÃ¡n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45"/>
    <x v="53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155"/>
  </r>
  <r>
    <x v="3"/>
    <x v="129"/>
    <s v="COLABORATIVA S.A.C."/>
    <x v="9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1264.92, 'precio_unitario': 1492.6, 'descuento': 0.0, 'subtotal': 1264.92, 'porcentaje_de_igv': '18.00', 'igv': 227.68, 'total': 1492.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264.92"/>
    <n v="1492.6"/>
    <n v="0"/>
    <n v="1264.92"/>
    <n v="18"/>
    <n v="227.68"/>
    <n v="1492.6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56"/>
  </r>
  <r>
    <x v="3"/>
    <x v="130"/>
    <s v="COLABORATIVA S.A.C."/>
    <x v="9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896.27, 'precio_unitario': 1057.6, 'descuento': 0.0, 'subtotal': 896.27, 'porcentaje_de_igv': '18.00', 'igv': 161.33, 'total': 1057.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896.27"/>
    <n v="1057.5999999999999"/>
    <n v="0"/>
    <n v="896.27"/>
    <n v="18"/>
    <n v="161.33000000000001"/>
    <n v="1057.5999999999999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57"/>
  </r>
  <r>
    <x v="3"/>
    <x v="131"/>
    <s v="COLABORATIVA S.A.C."/>
    <x v="9"/>
    <d v="2025-10-16T00:00:00"/>
    <x v="41"/>
    <m/>
    <n v="6"/>
    <n v="10038775753"/>
    <s v="[{'id_producto': '1', 'codigo_producto': '877', 'nom_producto': 'COMISIÃ“N PAGOS DIGITALES SEGÃšN CONTRATO', 'categoria_producto': 'consu', 'cantidad': '1.0', 'valor_unitario': 4.95, 'precio_unitario': 5.84, 'descuento': 0.0, 'subtotal': 4.95, 'porcentaje_de_igv': '17.98', 'igv': 0.89, 'total': 5.84, 'moneda': '1', 'tipo_de_cambio': '', 'id_estado': 'not_paid', 'nombre_estado': 'Sin pagar', 'evento': {'id_evento': '', 'nom_evento': '', 'Fecha_hora_ini_event': '', 'Fecha_hora_fin_event': '', 'id_organizador': '', 'nom_organizador': 'RAMOS CRUZ MILAGRIT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4.95"/>
    <n v="5.84"/>
    <n v="0"/>
    <n v="4.95"/>
    <n v="17.98"/>
    <n v="0.89"/>
    <n v="5.84"/>
    <n v="1"/>
    <m/>
    <x v="1"/>
    <x v="1"/>
    <x v="0"/>
    <s v="SAMUEL CHUQUISTA"/>
    <x v="0"/>
    <s v="7012100 MercaderÃ­as-Venta Local-Terceros"/>
    <x v="3"/>
    <x v="22"/>
    <m/>
    <m/>
    <m/>
    <x v="0"/>
    <s v="RAMOS CRUZ MILAGRITOS"/>
    <m/>
    <x v="158"/>
  </r>
  <r>
    <x v="3"/>
    <x v="132"/>
    <s v="COLABORATIVA S.A.C."/>
    <x v="9"/>
    <d v="2025-10-16T00:00:00"/>
    <x v="41"/>
    <m/>
    <n v="6"/>
    <n v="10038775753"/>
    <s v="[{'id_producto': '1', 'codigo_producto': '870', 'nom_producto': 'COMISIÃ“N VAOPE SEGÃšN CONTRATO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RAMOS CRUZ MILAGRIT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0"/>
    <s v="RAMOS CRUZ MILAGRITOS"/>
    <m/>
    <x v="159"/>
  </r>
  <r>
    <x v="3"/>
    <x v="133"/>
    <s v="COLABORATIVA S.A.C."/>
    <x v="9"/>
    <d v="2025-10-16T00:00:00"/>
    <x v="28"/>
    <m/>
    <n v="6"/>
    <n v="20611890746"/>
    <s v="[{'id_producto': '1', 'codigo_producto': '963', 'nom_producto': 'COMISION CORTESIA 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46"/>
    <x v="54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60"/>
  </r>
  <r>
    <x v="3"/>
    <x v="134"/>
    <s v="COLABORATIVA S.A.C."/>
    <x v="9"/>
    <d v="2025-10-16T00:00:00"/>
    <x v="28"/>
    <m/>
    <n v="6"/>
    <n v="20611890746"/>
    <s v="[{'id_producto': '1', 'codigo_producto': '962', 'nom_producto': 'ENTRADAS IMPRESAS - ORDEN DE VENTA NÂ°574\n * La Ãšnica Tropical en Talara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47"/>
    <x v="55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161"/>
  </r>
  <r>
    <x v="3"/>
    <x v="135"/>
    <s v="COLABORATIVA S.A.C."/>
    <x v="9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1854.82, 'precio_unitario': 2188.69, 'descuento': 0.0, 'subtotal': 1854.82, 'porcentaje_de_igv': '18.00', 'igv': 333.87, 'total': 2188.69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854.82"/>
    <n v="2188.69"/>
    <n v="0"/>
    <n v="1854.82"/>
    <n v="18"/>
    <n v="333.87"/>
    <n v="2188.69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62"/>
  </r>
  <r>
    <x v="3"/>
    <x v="136"/>
    <s v="COLABORATIVA S.A.C."/>
    <x v="9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1170.39, 'precio_unitario': 1381.06, 'descuento': 0.0, 'subtotal': 1170.39, 'porcentaje_de_igv': '18.00', 'igv': 210.67, 'total': 1381.0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170.3900000000001"/>
    <n v="1381.06"/>
    <n v="0"/>
    <n v="1170.3900000000001"/>
    <n v="18"/>
    <n v="210.67"/>
    <n v="1381.06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163"/>
  </r>
  <r>
    <x v="3"/>
    <x v="137"/>
    <s v="COLABORATIVA S.A.C."/>
    <x v="9"/>
    <d v="2025-10-16T00:00:00"/>
    <x v="42"/>
    <m/>
    <n v="6"/>
    <n v="10473186603"/>
    <s v="[{'id_producto': '1', 'codigo_producto': '877', 'nom_producto': 'COMISIÃ“N PAGOS DIGITALES SEGÃšN CONTRATO', 'categoria_producto': 'consu', 'cantidad': '1.0', 'valor_unitario': 138.18, 'precio_unitario': 163.05, 'descuento': 0.0, 'subtotal': 138.18, 'porcentaje_de_igv': '18.00', 'igv': 24.87, 'total': 163.05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38.18"/>
    <n v="163.05000000000001"/>
    <n v="0"/>
    <n v="138.18"/>
    <n v="18"/>
    <n v="24.87"/>
    <n v="163.05000000000001"/>
    <n v="1"/>
    <m/>
    <x v="1"/>
    <x v="1"/>
    <x v="0"/>
    <s v="SAMUEL CHUQUISTA"/>
    <x v="0"/>
    <s v="7012100 MercaderÃ­as-Venta Local-Terceros"/>
    <x v="3"/>
    <x v="22"/>
    <m/>
    <m/>
    <m/>
    <x v="0"/>
    <s v="TORRES TOVAR WILDER"/>
    <m/>
    <x v="164"/>
  </r>
  <r>
    <x v="3"/>
    <x v="138"/>
    <s v="COLABORATIVA S.A.C."/>
    <x v="9"/>
    <d v="2025-10-16T00:00:00"/>
    <x v="42"/>
    <m/>
    <n v="6"/>
    <n v="10473186603"/>
    <s v="[{'id_producto': '1', 'codigo_producto': '870', 'nom_producto': 'COMISIÃ“N VAOPE SEGÃšN CONTRATO', 'categoria_producto': 'consu', 'cantidad': '1.0', 'valor_unitario': 132.97, 'precio_unitario': 156.9, 'descuento': 0.0, 'subtotal': 132.97, 'porcentaje_de_igv': '18.00', 'igv': 23.93, 'total': 156.9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32.97"/>
    <n v="156.9"/>
    <n v="0"/>
    <n v="132.97"/>
    <n v="18"/>
    <n v="23.93"/>
    <n v="156.9"/>
    <n v="1"/>
    <m/>
    <x v="1"/>
    <x v="1"/>
    <x v="0"/>
    <s v="SAMUEL CHUQUISTA"/>
    <x v="0"/>
    <s v="7012100 MercaderÃ­as-Venta Local-Terceros"/>
    <x v="3"/>
    <x v="22"/>
    <m/>
    <m/>
    <m/>
    <x v="0"/>
    <s v="TORRES TOVAR WILDER"/>
    <m/>
    <x v="165"/>
  </r>
  <r>
    <x v="3"/>
    <x v="139"/>
    <s v="COLABORATIVA S.A.C."/>
    <x v="10"/>
    <d v="2025-10-16T00:00:00"/>
    <x v="28"/>
    <m/>
    <n v="6"/>
    <n v="20611890746"/>
    <s v="[{'id_producto': '1', 'codigo_producto': '961', 'nom_producto': 'PERSONAL - ENVIO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2-04T00:00:00"/>
    <m/>
    <m/>
    <m/>
    <m/>
    <m/>
    <n v="1"/>
    <x v="48"/>
    <x v="56"/>
    <s v="consu"/>
    <n v="1"/>
    <n v="20"/>
    <n v="23.6"/>
    <n v="0"/>
    <n v="20"/>
    <n v="18"/>
    <n v="3.6"/>
    <n v="23.6"/>
    <n v="1"/>
    <m/>
    <x v="1"/>
    <x v="1"/>
    <x v="0"/>
    <s v="SAMUEL CHUQUISTA"/>
    <x v="0"/>
    <s v="7012100 MercaderÃ­as-Venta Local-Terceros"/>
    <x v="7"/>
    <x v="22"/>
    <m/>
    <m/>
    <m/>
    <x v="0"/>
    <s v="CONSORCIO CHUNGA &amp; ASOCIADOS S.A.C."/>
    <m/>
    <x v="166"/>
  </r>
  <r>
    <x v="2"/>
    <x v="140"/>
    <s v="COLABORATIVA S.A.C."/>
    <x v="11"/>
    <d v="2025-10-16T00:00:00"/>
    <x v="16"/>
    <m/>
    <n v="6"/>
    <n v="20611066971"/>
    <s v="[{'id_producto': '1', 'codigo_producto': '960', 'nom_producto': 'ENTRADAS IMPRESAS FULL COLOR GENERAL -ARMONIA 10 Y PERSONAL DELIVERY', 'categoria_producto': 'consu', 'cantidad': '1.0', 'valor_unitario': 830.0, 'precio_unitario': 979.4, 'descuento': 0.0, 'subtotal': 830.0, 'porcentaje_de_igv': '18.00', 'igv': 149.4, 'total': 979.4, 'moneda': '1', 'tipo_de_cambio': '', 'id_estado': 'not_paid', 'nombre_estado': 'Sin pagar', 'evento': {'id_evento': '', 'nom_evento': '', 'Fecha_hora_ini_event': '', 'Fecha_hora_fin_event': '', 'id_organizador': '', 'nom_organizador': 'PERUVIAN PRODUCTIONS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3T00:00:00"/>
    <m/>
    <m/>
    <m/>
    <m/>
    <m/>
    <n v="1"/>
    <x v="49"/>
    <x v="57"/>
    <s v="consu"/>
    <n v="1"/>
    <n v="830"/>
    <n v="979.4"/>
    <n v="0"/>
    <n v="830"/>
    <n v="18"/>
    <n v="149.4"/>
    <n v="979.4"/>
    <n v="1"/>
    <m/>
    <x v="1"/>
    <x v="1"/>
    <x v="0"/>
    <s v="SAMUEL CHUQUISTA"/>
    <x v="0"/>
    <s v="7012100 MercaderÃ­as-Venta Local-Terceros"/>
    <x v="2"/>
    <x v="22"/>
    <m/>
    <m/>
    <m/>
    <x v="0"/>
    <s v="PERUVIAN PRODUCTIONS SOCIEDAD ANONIMA CERRADA"/>
    <m/>
    <x v="167"/>
  </r>
  <r>
    <x v="4"/>
    <x v="141"/>
    <s v="COLABORATIVA S.A.C."/>
    <x v="12"/>
    <d v="2025-10-16T00:00:00"/>
    <x v="43"/>
    <m/>
    <n v="1"/>
    <n v="44849029"/>
    <s v="[{'id_producto': '1', 'codigo_producto': '877', 'nom_producto': 'COMISIÃ“N PAGOS DIGITALES SEGÃšN CONTRATO', 'categoria_producto': 'consu', 'cantidad': '1.0', 'valor_unitario': 24.56, 'precio_unitario': 28.98, 'descuento': 0.0, 'subtotal': 24.56, 'porcentaje_de_igv': '18.00', 'igv': 4.42, 'total': 28.98, 'moneda': '1', 'tipo_de_cambio': '', 'id_estado': 'not_paid', 'nombre_estado': 'Sin pagar', 'evento': {'id_evento': '', 'nom_evento': '', 'Fecha_hora_ini_event': '', 'Fecha_hora_fin_event': '', 'id_organizador': '', 'nom_organizador': 'JHON DANNY BERNABLE BERNABL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3"/>
    <x v="0"/>
    <s v="consu"/>
    <n v="1"/>
    <n v="24.56"/>
    <n v="28.98"/>
    <n v="0"/>
    <n v="24.56"/>
    <n v="18"/>
    <n v="4.42"/>
    <n v="28.98"/>
    <n v="1"/>
    <m/>
    <x v="1"/>
    <x v="1"/>
    <x v="0"/>
    <s v="SAMUEL CHUQUISTA"/>
    <x v="0"/>
    <s v="7012100 MercaderÃ­as-Venta Local-Terceros"/>
    <x v="3"/>
    <x v="22"/>
    <m/>
    <m/>
    <m/>
    <x v="0"/>
    <s v="JHON DANNY BERNABLE BERNABLE"/>
    <m/>
    <x v="168"/>
  </r>
  <r>
    <x v="4"/>
    <x v="142"/>
    <s v="COLABORATIVA S.A.C."/>
    <x v="12"/>
    <d v="2025-10-16T00:00:00"/>
    <x v="43"/>
    <m/>
    <n v="1"/>
    <n v="44849029"/>
    <s v="[{'id_producto': '1', 'codigo_producto': '870', 'nom_producto': 'COMISIÃ“N VAOPE SEGÃšN CONTRATO', 'categoria_producto': 'consu', 'cantidad': '1.0', 'valor_unitario': 26.45, 'precio_unitario': 31.21, 'descuento': 0.0, 'subtotal': 26.45, 'porcentaje_de_igv': '18.00', 'igv': 4.76, 'total': 31.21, 'moneda': '1', 'tipo_de_cambio': '', 'id_estado': 'not_paid', 'nombre_estado': 'Sin pagar', 'evento': {'id_evento': '', 'nom_evento': '', 'Fecha_hora_ini_event': '', 'Fecha_hora_fin_event': '', 'id_organizador': '', 'nom_organizador': 'JHON DANNY BERNABLE BERNABL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4"/>
    <x v="1"/>
    <s v="consu"/>
    <n v="1"/>
    <n v="26.45"/>
    <n v="31.21"/>
    <n v="0"/>
    <n v="26.45"/>
    <n v="18"/>
    <n v="4.76"/>
    <n v="31.21"/>
    <n v="1"/>
    <m/>
    <x v="1"/>
    <x v="1"/>
    <x v="0"/>
    <s v="SAMUEL CHUQUISTA"/>
    <x v="0"/>
    <s v="7012100 MercaderÃ­as-Venta Local-Terceros"/>
    <x v="3"/>
    <x v="22"/>
    <m/>
    <m/>
    <m/>
    <x v="0"/>
    <s v="JHON DANNY BERNABLE BERNABLE"/>
    <m/>
    <x v="169"/>
  </r>
  <r>
    <x v="4"/>
    <x v="143"/>
    <s v="COLABORATIVA S.A.C."/>
    <x v="12"/>
    <d v="2025-10-16T00:00:00"/>
    <x v="44"/>
    <s v="Cliente"/>
    <n v="1"/>
    <n v="47633477"/>
    <s v="[{'id_producto': '1', 'codigo_producto': '877', 'nom_producto': 'COMISIÃ“N PAGOS DIGITALES SEGÃšN CONTRATO', 'categoria_producto': 'consu', 'cantidad': '1.0', 'valor_unitario': 117.97, 'precio_unitario': 139.2, 'descuento': 0.0, 'subtotal': 117.97, 'porcentaje_de_igv': '18.00', 'igv': 21.23, 'total': 139.2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3"/>
    <x v="0"/>
    <s v="consu"/>
    <n v="1"/>
    <n v="117.97"/>
    <n v="139.19999999999999"/>
    <n v="0"/>
    <n v="117.97"/>
    <n v="18"/>
    <n v="21.23"/>
    <n v="139.19999999999999"/>
    <n v="1"/>
    <m/>
    <x v="1"/>
    <x v="1"/>
    <x v="0"/>
    <s v="SAMUEL CHUQUISTA"/>
    <x v="0"/>
    <s v="7012100 MercaderÃ­as-Venta Local-Terceros"/>
    <x v="3"/>
    <x v="22"/>
    <m/>
    <m/>
    <m/>
    <x v="0"/>
    <s v="SILVIA SEMIRA SANCHEZ SANGAMA"/>
    <m/>
    <x v="170"/>
  </r>
  <r>
    <x v="4"/>
    <x v="144"/>
    <s v="COLABORATIVA S.A.C."/>
    <x v="12"/>
    <d v="2025-10-16T00:00:00"/>
    <x v="44"/>
    <s v="Cliente"/>
    <n v="1"/>
    <n v="47633477"/>
    <s v="[{'id_producto': '1', 'codigo_producto': '870', 'nom_producto': 'COMISIÃ“N VAOPE SEGÃšN CONTRATO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4"/>
    <x v="1"/>
    <s v="consu"/>
    <n v="1"/>
    <n v="96.1"/>
    <n v="113.4"/>
    <n v="0"/>
    <n v="96.1"/>
    <n v="18"/>
    <n v="17.3"/>
    <n v="113.4"/>
    <n v="1"/>
    <m/>
    <x v="1"/>
    <x v="1"/>
    <x v="0"/>
    <s v="SAMUEL CHUQUISTA"/>
    <x v="0"/>
    <s v="7012100 MercaderÃ­as-Venta Local-Terceros"/>
    <x v="3"/>
    <x v="22"/>
    <m/>
    <m/>
    <m/>
    <x v="0"/>
    <s v="SILVIA SEMIRA SANCHEZ SANGAMA"/>
    <m/>
    <x v="171"/>
  </r>
  <r>
    <x v="3"/>
    <x v="145"/>
    <s v="COLABORATIVA S.A.C."/>
    <x v="12"/>
    <d v="2025-10-16T00:00:00"/>
    <x v="45"/>
    <m/>
    <n v="6"/>
    <n v="10703039346"/>
    <s v="[{'id_producto': '1', 'codigo_producto': '877', 'nom_producto': 'COMISIÃ“N PAGOS DIGITALES SEGÃšN CONTRATO', 'categoria_producto': 'consu', 'cantidad': '1.0', 'valor_unitario': 212.8, 'precio_unitario': 251.1, 'descuento': 0.0, 'subtotal': 212.8, 'porcentaje_de_igv': '18.00', 'igv': 38.3, 'total': 251.1, 'moneda': '1', 'tipo_de_cambio': '', 'id_estado': 'not_paid', 'nombre_estado': 'Sin pagar', 'evento': {'id_evento': '', 'nom_evento': '', 'Fecha_hora_ini_event': '', 'Fecha_hora_fin_event': '', 'id_organizador': '', 'nom_organizador': 'CHAMORRO AYALA ERIKA SOLEDAD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3"/>
    <x v="0"/>
    <s v="consu"/>
    <n v="1"/>
    <n v="212.8"/>
    <n v="251.1"/>
    <n v="0"/>
    <n v="212.8"/>
    <n v="18"/>
    <n v="38.299999999999997"/>
    <n v="251.1"/>
    <n v="1"/>
    <m/>
    <x v="1"/>
    <x v="1"/>
    <x v="0"/>
    <s v="SAMUEL CHUQUISTA"/>
    <x v="0"/>
    <s v="7012100 MercaderÃ­as-Venta Local-Terceros"/>
    <x v="3"/>
    <x v="22"/>
    <m/>
    <m/>
    <m/>
    <x v="0"/>
    <s v="CHAMORRO AYALA ERIKA SOLEDAD"/>
    <m/>
    <x v="172"/>
  </r>
  <r>
    <x v="3"/>
    <x v="146"/>
    <s v="COLABORATIVA S.A.C."/>
    <x v="12"/>
    <d v="2025-10-16T00:00:00"/>
    <x v="45"/>
    <m/>
    <n v="6"/>
    <n v="10703039346"/>
    <s v="[{'id_producto': '1', 'codigo_producto': '870', 'nom_producto': 'COMISIÃ“N VAOPE SEGÃšN CONTRATO', 'categoria_producto': 'consu', 'cantidad': '1.0', 'valor_unitario': 125.25, 'precio_unitario': 147.8, 'descuento': 0.0, 'subtotal': 125.25, 'porcentaje_de_igv': '18.00', 'igv': 22.55, 'total': 147.8, 'moneda': '1', 'tipo_de_cambio': '', 'id_estado': 'not_paid', 'nombre_estado': 'Sin pagar', 'evento': {'id_evento': '', 'nom_evento': '', 'Fecha_hora_ini_event': '', 'Fecha_hora_fin_event': '', 'id_organizador': '', 'nom_organizador': 'CHAMORRO AYALA ERIKA SOLEDAD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4"/>
    <x v="1"/>
    <s v="consu"/>
    <n v="1"/>
    <n v="125.25"/>
    <n v="147.80000000000001"/>
    <n v="0"/>
    <n v="125.25"/>
    <n v="18"/>
    <n v="22.55"/>
    <n v="147.80000000000001"/>
    <n v="1"/>
    <m/>
    <x v="1"/>
    <x v="1"/>
    <x v="0"/>
    <s v="SAMUEL CHUQUISTA"/>
    <x v="0"/>
    <s v="7012100 MercaderÃ­as-Venta Local-Terceros"/>
    <x v="3"/>
    <x v="22"/>
    <m/>
    <m/>
    <m/>
    <x v="0"/>
    <s v="CHAMORRO AYALA ERIKA SOLEDAD"/>
    <m/>
    <x v="173"/>
  </r>
  <r>
    <x v="4"/>
    <x v="147"/>
    <s v="COLABORATIVA S.A.C."/>
    <x v="13"/>
    <d v="2025-10-16T00:00:00"/>
    <x v="38"/>
    <m/>
    <n v="1"/>
    <n v="45273802"/>
    <s v="[{'id_producto': '1', 'codigo_producto': '877', 'nom_producto': 'COMISIÃ“N PAGOS DIGITALES SEGÃšN CONTRATO', 'categoria_producto': 'consu', 'cantidad': '1.0', 'valor_unitario': 374.24, 'precio_unitario': 441.6, 'descuento': 0.0, 'subtotal': 374.24, 'porcentaje_de_igv': '18.00', 'igv': 67.36, 'total': 441.6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3"/>
    <x v="0"/>
    <s v="consu"/>
    <n v="1"/>
    <n v="374.24"/>
    <n v="441.6"/>
    <n v="0"/>
    <n v="374.24"/>
    <n v="18"/>
    <n v="67.36"/>
    <n v="441.6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174"/>
  </r>
  <r>
    <x v="4"/>
    <x v="148"/>
    <s v="COLABORATIVA S.A.C."/>
    <x v="13"/>
    <d v="2025-10-16T00:00:00"/>
    <x v="38"/>
    <m/>
    <n v="1"/>
    <n v="45273802"/>
    <s v="[{'id_producto': '1', 'codigo_producto': '870', 'nom_producto': 'COMISIÃ“N VAOPE SEGÃšN CONTRATO', 'categoria_producto': 'consu', 'cantidad': '1.0', 'valor_unitario': 279.66, 'precio_unitario': 330.0, 'descuento': 0.0, 'subtotal': 279.66, 'porcentaje_de_igv': '18.00', 'igv': 50.34, 'total': 330.0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4"/>
    <x v="1"/>
    <s v="consu"/>
    <n v="1"/>
    <n v="279.66000000000003"/>
    <n v="330"/>
    <n v="0"/>
    <n v="279.66000000000003"/>
    <n v="18"/>
    <n v="50.34"/>
    <n v="330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175"/>
  </r>
  <r>
    <x v="4"/>
    <x v="149"/>
    <s v="COLABORATIVA S.A.C."/>
    <x v="13"/>
    <d v="2025-10-16T00:00:00"/>
    <x v="46"/>
    <m/>
    <n v="1"/>
    <n v="75329338"/>
    <s v="[{'id_producto': '1', 'codigo_producto': '959', 'nom_producto': 'PERSONAL - punto de venta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'', 'nom_organizador': ' ALEJANDRA FLORES TICONA', 'tipo_organizador': ''}, 'id_vendedor': 2, 'nom_vendedor': 'SAMUEL CHUQUISTA', 'id_cuenta_analitica': 1106, 'nom_cuenta_analitica': '7012100 MercaderÃ­as-Venta Local-Terceros', 'distribucion_analitica': [[{'codigo': 63, 'nom_distribucion': 'Administrativo', 'sub_categoria': 'Delivery', 'porcentaje': '100.00'}]]}]"/>
    <d v="2025-01-30T00:00:00"/>
    <m/>
    <m/>
    <m/>
    <m/>
    <m/>
    <n v="1"/>
    <x v="50"/>
    <x v="58"/>
    <s v="consu"/>
    <n v="1"/>
    <n v="32.5"/>
    <n v="38.35"/>
    <n v="0"/>
    <n v="32.5"/>
    <n v="18"/>
    <n v="5.85"/>
    <n v="38.35"/>
    <n v="1"/>
    <m/>
    <x v="1"/>
    <x v="1"/>
    <x v="0"/>
    <s v="SAMUEL CHUQUISTA"/>
    <x v="0"/>
    <s v="7012100 MercaderÃ­as-Venta Local-Terceros"/>
    <x v="8"/>
    <x v="22"/>
    <m/>
    <m/>
    <m/>
    <x v="0"/>
    <s v=" ALEJANDRA FLORES TICONA"/>
    <m/>
    <x v="176"/>
  </r>
  <r>
    <x v="4"/>
    <x v="150"/>
    <s v="COLABORATIVA S.A.C."/>
    <x v="13"/>
    <d v="2025-10-16T00:00:00"/>
    <x v="46"/>
    <m/>
    <n v="1"/>
    <n v="75329338"/>
    <s v="[{'id_producto': '1', 'codigo_producto': '877', 'nom_producto': 'COMISIÃ“N PAGOS DIGITALES SEGÃšN CONTRATO', 'categoria_producto': 'consu', 'cantidad': '1.0', 'valor_unitario': 4.83, 'precio_unitario': 5.7, 'descuento': 0.0, 'subtotal': 4.83, 'porcentaje_de_igv': '18.01', 'igv': 0.87, 'total': 5.7, 'moneda': '1', 'tipo_de_cambio': '', 'id_estado': 'not_paid', 'nombre_estado': 'Sin pagar', 'evento': {'id_evento': '', 'nom_evento': '', 'Fecha_hora_ini_event': '', 'Fecha_hora_fin_event': '', 'id_organizador': '', 'nom_organizador': ' ALEJANDRA FLORES TICO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3"/>
    <x v="0"/>
    <s v="consu"/>
    <n v="1"/>
    <n v="4.83"/>
    <n v="5.7"/>
    <n v="0"/>
    <n v="4.83"/>
    <n v="18.010000000000002"/>
    <n v="0.87"/>
    <n v="5.7"/>
    <n v="1"/>
    <m/>
    <x v="1"/>
    <x v="1"/>
    <x v="0"/>
    <s v="SAMUEL CHUQUISTA"/>
    <x v="0"/>
    <s v="7012100 MercaderÃ­as-Venta Local-Terceros"/>
    <x v="3"/>
    <x v="22"/>
    <m/>
    <m/>
    <m/>
    <x v="0"/>
    <s v=" ALEJANDRA FLORES TICONA"/>
    <m/>
    <x v="177"/>
  </r>
  <r>
    <x v="4"/>
    <x v="151"/>
    <s v="COLABORATIVA S.A.C."/>
    <x v="13"/>
    <d v="2025-10-16T00:00:00"/>
    <x v="46"/>
    <m/>
    <n v="1"/>
    <n v="75329338"/>
    <s v="[{'id_producto': '1', 'codigo_producto': '870', 'nom_producto': 'COMISIÃ“N VAOPE SEGÃšN CONTRATO', 'categoria_producto': 'consu', 'cantidad': '1.0', 'valor_unitario': 35.55, 'precio_unitario': 41.95, 'descuento': 0.0, 'subtotal': 35.55, 'porcentaje_de_igv': '18.00', 'igv': 6.4, 'total': 41.95, 'moneda': '1', 'tipo_de_cambio': '', 'id_estado': 'not_paid', 'nombre_estado': 'Sin pagar', 'evento': {'id_evento': '', 'nom_evento': '', 'Fecha_hora_ini_event': '', 'Fecha_hora_fin_event': '', 'id_organizador': '', 'nom_organizador': ' ALEJANDRA FLORES TICO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4"/>
    <x v="1"/>
    <s v="consu"/>
    <n v="1"/>
    <n v="35.549999999999997"/>
    <n v="41.95"/>
    <n v="0"/>
    <n v="35.549999999999997"/>
    <n v="18"/>
    <n v="6.4"/>
    <n v="41.95"/>
    <n v="1"/>
    <m/>
    <x v="1"/>
    <x v="1"/>
    <x v="0"/>
    <s v="SAMUEL CHUQUISTA"/>
    <x v="0"/>
    <s v="7012100 MercaderÃ­as-Venta Local-Terceros"/>
    <x v="3"/>
    <x v="22"/>
    <m/>
    <m/>
    <m/>
    <x v="0"/>
    <s v=" ALEJANDRA FLORES TICONA"/>
    <m/>
    <x v="178"/>
  </r>
  <r>
    <x v="4"/>
    <x v="152"/>
    <s v="COLABORATIVA S.A.C."/>
    <x v="13"/>
    <d v="2025-10-16T00:00:00"/>
    <x v="47"/>
    <m/>
    <n v="1"/>
    <n v="74023096"/>
    <s v="[{'id_producto': '1', 'codigo_producto': '877', 'nom_producto': 'COMISIÃ“N PAGOS DIGITALES SEGÃšN CONTRATO', 'categoria_producto': 'consu', 'cantidad': '1.0', 'valor_unitario': 370.08, 'precio_unitario': 436.7, 'descuento': 0.0, 'subtotal': 370.08, 'porcentaje_de_igv': '18.00', 'igv': 66.62, 'total': 436.7, 'moneda': '1', 'tipo_de_cambio': '', 'id_estado': 'not_paid', 'nombre_estado': 'Sin pagar', 'evento': {'id_evento': '', 'nom_evento': '', 'Fecha_hora_ini_event': '', 'Fecha_hora_fin_event': '', 'id_organizador': '', 'nom_organizador': 'JORGE ANDRES RAMOS VILC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3"/>
    <x v="0"/>
    <s v="consu"/>
    <n v="1"/>
    <n v="370.08"/>
    <n v="436.7"/>
    <n v="0"/>
    <n v="370.08"/>
    <n v="18"/>
    <n v="66.62"/>
    <n v="436.7"/>
    <n v="1"/>
    <m/>
    <x v="1"/>
    <x v="1"/>
    <x v="0"/>
    <s v="SAMUEL CHUQUISTA"/>
    <x v="0"/>
    <s v="7012100 MercaderÃ­as-Venta Local-Terceros"/>
    <x v="3"/>
    <x v="22"/>
    <m/>
    <m/>
    <m/>
    <x v="0"/>
    <s v="JORGE ANDRES RAMOS VILCAS"/>
    <m/>
    <x v="179"/>
  </r>
  <r>
    <x v="4"/>
    <x v="153"/>
    <s v="COLABORATIVA S.A.C."/>
    <x v="13"/>
    <d v="2025-10-16T00:00:00"/>
    <x v="47"/>
    <m/>
    <n v="1"/>
    <n v="74023096"/>
    <s v="[{'id_producto': '1', 'codigo_producto': '870', 'nom_producto': 'COMISIÃ“N VAOPE SEGÃšN CONTRATO', 'categoria_producto': 'consu', 'cantidad': '1.0', 'valor_unitario': 283.73, 'precio_unitario': 334.8, 'descuento': 0.0, 'subtotal': 283.73, 'porcentaje_de_igv': '18.00', 'igv': 51.07, 'total': 334.8, 'moneda': '1', 'tipo_de_cambio': '', 'id_estado': 'not_paid', 'nombre_estado': 'Sin pagar', 'evento': {'id_evento': '', 'nom_evento': '', 'Fecha_hora_ini_event': '', 'Fecha_hora_fin_event': '', 'id_organizador': '', 'nom_organizador': 'JORGE ANDRES RAMOS VILC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4"/>
    <x v="1"/>
    <s v="consu"/>
    <n v="1"/>
    <n v="283.73"/>
    <n v="334.8"/>
    <n v="0"/>
    <n v="283.73"/>
    <n v="18"/>
    <n v="51.07"/>
    <n v="334.8"/>
    <n v="1"/>
    <m/>
    <x v="1"/>
    <x v="1"/>
    <x v="0"/>
    <s v="SAMUEL CHUQUISTA"/>
    <x v="0"/>
    <s v="7012100 MercaderÃ­as-Venta Local-Terceros"/>
    <x v="3"/>
    <x v="22"/>
    <m/>
    <m/>
    <m/>
    <x v="0"/>
    <s v="JORGE ANDRES RAMOS VILCAS"/>
    <m/>
    <x v="180"/>
  </r>
  <r>
    <x v="3"/>
    <x v="154"/>
    <s v="COLABORATIVA S.A.C."/>
    <x v="14"/>
    <d v="2025-10-16T00:00:00"/>
    <x v="48"/>
    <m/>
    <n v="6"/>
    <n v="10064263248"/>
    <s v="[{'id_producto': '1', 'codigo_producto': '871', 'nom_producto': 'COMISIÃ“N PAGOS DIGITALES SEGÃšN CONTRATO ', 'categoria_producto': 'consu', 'cantidad': '1.0', 'valor_unitario': 53.56, 'precio_unitario': 63.2, 'descuento': 0.0, 'subtotal': 53.56, 'porcentaje_de_igv': '18.00', 'igv': 9.64, 'total': 63.2, 'moneda': '1', 'tipo_de_cambio': '', 'id_estado': 'not_paid', 'nombre_estado': 'Sin pagar', 'evento': {'id_evento': '', 'nom_evento': '', 'Fecha_hora_ini_event': '', 'Fecha_hora_fin_event': '', 'id_organizador': '', 'nom_organizador': 'MOGROVEJO RAMOS ERWIN KERM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26"/>
    <x v="35"/>
    <s v="consu"/>
    <n v="1"/>
    <n v="53.56"/>
    <n v="63.2"/>
    <n v="0"/>
    <n v="53.56"/>
    <n v="18"/>
    <n v="9.64"/>
    <n v="63.2"/>
    <n v="1"/>
    <m/>
    <x v="1"/>
    <x v="1"/>
    <x v="0"/>
    <s v="SAMUEL CHUQUISTA"/>
    <x v="0"/>
    <s v="7012100 MercaderÃ­as-Venta Local-Terceros"/>
    <x v="3"/>
    <x v="22"/>
    <m/>
    <m/>
    <m/>
    <x v="0"/>
    <s v="MOGROVEJO RAMOS ERWIN KERMER"/>
    <m/>
    <x v="181"/>
  </r>
  <r>
    <x v="3"/>
    <x v="155"/>
    <s v="COLABORATIVA S.A.C."/>
    <x v="14"/>
    <d v="2025-10-16T00:00:00"/>
    <x v="48"/>
    <m/>
    <n v="6"/>
    <n v="10064263248"/>
    <s v="[{'id_producto': '1', 'codigo_producto': '878', 'nom_producto': 'COMISIÃ“N VAOPE SEGÃšN CONTRATO ', 'categoria_producto': 'consu', 'cantidad': '1.0', 'valor_unitario': 34.75, 'precio_unitario': 41.0, 'descuento': 0.0, 'subtotal': 34.75, 'porcentaje_de_igv': '17.99', 'igv': 6.25, 'total': 41.0, 'moneda': '1', 'tipo_de_cambio': '', 'id_estado': 'not_paid', 'nombre_estado': 'Sin pagar', 'evento': {'id_evento': '', 'nom_evento': '', 'Fecha_hora_ini_event': '', 'Fecha_hora_fin_event': '', 'id_organizador': '', 'nom_organizador': 'MOGROVEJO RAMOS ERWIN KERM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1"/>
    <x v="59"/>
    <s v="consu"/>
    <n v="1"/>
    <n v="34.75"/>
    <n v="41"/>
    <n v="0"/>
    <n v="34.75"/>
    <n v="17.989999999999998"/>
    <n v="6.25"/>
    <n v="41"/>
    <n v="1"/>
    <m/>
    <x v="1"/>
    <x v="1"/>
    <x v="0"/>
    <s v="SAMUEL CHUQUISTA"/>
    <x v="0"/>
    <s v="7012100 MercaderÃ­as-Venta Local-Terceros"/>
    <x v="3"/>
    <x v="22"/>
    <m/>
    <m/>
    <m/>
    <x v="0"/>
    <s v="MOGROVEJO RAMOS ERWIN KERMER"/>
    <m/>
    <x v="182"/>
  </r>
  <r>
    <x v="4"/>
    <x v="156"/>
    <s v="COLABORATIVA S.A.C."/>
    <x v="14"/>
    <d v="2025-10-16T00:00:00"/>
    <x v="49"/>
    <m/>
    <n v="1"/>
    <n v="48831337"/>
    <s v="[{'id_producto': '1', 'codigo_producto': '949', 'nom_producto': 'COMISION CORTESIA - pauta publicitaria', 'categoria_producto': 'consu', 'cantidad': '1.0', 'valor_unitario': 483.73, 'precio_unitario': 570.8, 'descuento': 0.0, 'subtotal': 483.73, 'porcentaje_de_igv': '18.00', 'igv': 87.07, 'total': 570.8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2"/>
    <x v="60"/>
    <s v="consu"/>
    <n v="1"/>
    <n v="483.73"/>
    <n v="570.79999999999995"/>
    <n v="0"/>
    <n v="483.73"/>
    <n v="18"/>
    <n v="87.07"/>
    <n v="570.79999999999995"/>
    <n v="1"/>
    <m/>
    <x v="1"/>
    <x v="1"/>
    <x v="0"/>
    <s v="SAMUEL CHUQUISTA"/>
    <x v="0"/>
    <s v="7012100 MercaderÃ­as-Venta Local-Terceros"/>
    <x v="3"/>
    <x v="22"/>
    <m/>
    <m/>
    <m/>
    <x v="0"/>
    <s v="MARIA ANTONELA GUERRERO GONZALES"/>
    <m/>
    <x v="183"/>
  </r>
  <r>
    <x v="4"/>
    <x v="157"/>
    <s v="COLABORATIVA S.A.C."/>
    <x v="14"/>
    <d v="2025-10-16T00:00:00"/>
    <x v="49"/>
    <m/>
    <n v="1"/>
    <n v="48831337"/>
    <s v="[{'id_producto': '1', 'codigo_producto': '958', 'nom_producto': 'ENTRADAS IMPRESAS - ORDEN DE VENTA NÂ°563\n * 2do Aniversario de Suu Rabanal con La Ãšnica Tropical, Tony Rosado y mÃ¡s en la Explanada de Agua Dulce / 4,000 FULL COLOR GENERAL / 2,000 BRAZALETES VIP / 500 BRAZALETES PLATINUM (S/3,658.00)', 'categoria_producto': 'consu', 'cantidad': '1.0', 'valor_unitario': 3100.0, 'precio_unitario': 3658.0, 'descuento': 0.0, 'subtotal': 3100.0, 'porcentaje_de_igv': '18.00', 'igv': 558.0, 'total': 3658.0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9T00:00:00"/>
    <m/>
    <m/>
    <m/>
    <m/>
    <m/>
    <n v="1"/>
    <x v="53"/>
    <x v="61"/>
    <s v="consu"/>
    <n v="1"/>
    <n v="3100"/>
    <n v="3658"/>
    <n v="0"/>
    <n v="3100"/>
    <n v="18"/>
    <n v="558"/>
    <n v="3658"/>
    <n v="1"/>
    <m/>
    <x v="1"/>
    <x v="1"/>
    <x v="0"/>
    <s v="SAMUEL CHUQUISTA"/>
    <x v="0"/>
    <s v="7012100 MercaderÃ­as-Venta Local-Terceros"/>
    <x v="2"/>
    <x v="22"/>
    <m/>
    <m/>
    <m/>
    <x v="0"/>
    <s v="MARIA ANTONELA GUERRERO GONZALES"/>
    <m/>
    <x v="184"/>
  </r>
  <r>
    <x v="4"/>
    <x v="158"/>
    <s v="COLABORATIVA S.A.C."/>
    <x v="14"/>
    <d v="2025-10-16T00:00:00"/>
    <x v="49"/>
    <m/>
    <n v="1"/>
    <n v="48831337"/>
    <s v="[{'id_producto': '1', 'codigo_producto': '877', 'nom_producto': 'COMISIÃ“N PAGOS DIGITALES SEGÃšN CONTRATO', 'categoria_producto': 'consu', 'cantidad': '1.0', 'valor_unitario': 5235.68, 'precio_unitario': 6178.1, 'descuento': 0.0, 'subtotal': 5235.68, 'porcentaje_de_igv': '18.00', 'igv': 942.42, 'total': 6178.1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5235.68"/>
    <n v="6178.1"/>
    <n v="0"/>
    <n v="5235.68"/>
    <n v="18"/>
    <n v="942.42"/>
    <n v="6178.1"/>
    <n v="1"/>
    <m/>
    <x v="1"/>
    <x v="1"/>
    <x v="0"/>
    <s v="SAMUEL CHUQUISTA"/>
    <x v="0"/>
    <s v="7012100 MercaderÃ­as-Venta Local-Terceros"/>
    <x v="3"/>
    <x v="22"/>
    <m/>
    <m/>
    <m/>
    <x v="0"/>
    <s v="MARIA ANTONELA GUERRERO GONZALES"/>
    <m/>
    <x v="185"/>
  </r>
  <r>
    <x v="4"/>
    <x v="159"/>
    <s v="COLABORATIVA S.A.C."/>
    <x v="14"/>
    <d v="2025-10-16T00:00:00"/>
    <x v="49"/>
    <m/>
    <n v="1"/>
    <n v="48831337"/>
    <s v="[{'id_producto': '1', 'codigo_producto': '870', 'nom_producto': 'COMISIÃ“N VAOPE SEGÃšN CONTRATO', 'categoria_producto': 'consu', 'cantidad': '1.0', 'valor_unitario': 4611.78, 'precio_unitario': 5441.9, 'descuento': 0.0, 'subtotal': 4611.78, 'porcentaje_de_igv': '18.00', 'igv': 830.12, 'total': 5441.9, 'moneda': '1', 'tipo_de_cambio': '', 'id_estado': 'not_paid', 'nombre_estado': 'Sin pagar', 'evento': {'id_evento': '', 'nom_evento': '', 'Fecha_hora_ini_event': '', 'Fecha_hora_fin_event': '', 'id_organizador': '', 'nom_organizador': 'MARIA ANTONELA GUERRERO GONZAL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4611.78"/>
    <n v="5441.9"/>
    <n v="0"/>
    <n v="4611.78"/>
    <n v="18"/>
    <n v="830.12"/>
    <n v="5441.9"/>
    <n v="1"/>
    <m/>
    <x v="1"/>
    <x v="1"/>
    <x v="0"/>
    <s v="SAMUEL CHUQUISTA"/>
    <x v="0"/>
    <s v="7012100 MercaderÃ­as-Venta Local-Terceros"/>
    <x v="3"/>
    <x v="22"/>
    <m/>
    <m/>
    <m/>
    <x v="0"/>
    <s v="MARIA ANTONELA GUERRERO GONZALES"/>
    <m/>
    <x v="186"/>
  </r>
  <r>
    <x v="3"/>
    <x v="160"/>
    <s v="COLABORATIVA S.A.C."/>
    <x v="14"/>
    <d v="2025-10-16T00:00:00"/>
    <x v="50"/>
    <m/>
    <n v="6"/>
    <n v="20101214771"/>
    <s v="[{'id_producto': '1', 'codigo_producto': '955'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54"/>
    <x v="62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0"/>
    <s v="RESTAURANTE RECEPCIONES CHEPITA ROYAL EMPRESA INDIVIDUAL DE RESPONSABILIDAD LIMITADA"/>
    <m/>
    <x v="187"/>
  </r>
  <r>
    <x v="3"/>
    <x v="161"/>
    <s v="COLABORATIVA S.A.C."/>
    <x v="14"/>
    <d v="2025-10-16T00:00:00"/>
    <x v="50"/>
    <m/>
    <n v="6"/>
    <n v="20101214771"/>
    <s v="[{'id_producto': '1', 'codigo_producto': '957', 'nom_producto': 'COMISION CORTESIA - punto de venta ', 'categoria_producto': 'consu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5"/>
    <x v="63"/>
    <s v="consu"/>
    <n v="1"/>
    <n v="30"/>
    <n v="35.4"/>
    <n v="0"/>
    <n v="30"/>
    <n v="18"/>
    <n v="5.4"/>
    <n v="35.4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88"/>
  </r>
  <r>
    <x v="3"/>
    <x v="162"/>
    <s v="COLABORATIVA S.A.C."/>
    <x v="14"/>
    <d v="2025-10-16T00:00:00"/>
    <x v="50"/>
    <m/>
    <n v="6"/>
    <n v="20101214771"/>
    <s v="[{'id_producto': '1', 'codigo_producto': '956', 'nom_producto': 'PERSONAL - Servicio de 01 validador (Inc IGV)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"/>
    <x v="56"/>
    <x v="64"/>
    <s v="consu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6"/>
    <x v="22"/>
    <m/>
    <m/>
    <m/>
    <x v="0"/>
    <s v="RESTAURANTE RECEPCIONES CHEPITA ROYAL EMPRESA INDIVIDUAL DE RESPONSABILIDAD LIMITADA"/>
    <m/>
    <x v="189"/>
  </r>
  <r>
    <x v="3"/>
    <x v="163"/>
    <s v="COLABORATIVA S.A.C."/>
    <x v="14"/>
    <d v="2025-10-16T00:00:00"/>
    <x v="50"/>
    <m/>
    <n v="6"/>
    <n v="20101214771"/>
    <s v="[{'id_producto': '1', 'codigo_producto': '877', 'nom_producto': 'COMISIÃ“N PAGOS DIGITALES SEGÃšN CONTRATO', 'categoria_producto': 'consu', 'cantidad': '1.0', 'valor_unitario': 1608.31, 'precio_unitario': 1897.8, 'descuento': 0.0, 'subtotal': 1608.31, 'porcentaje_de_igv': '18.00', 'igv': 289.49, 'total': 1897.8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1608.31"/>
    <n v="1897.8"/>
    <n v="0"/>
    <n v="1608.31"/>
    <n v="18"/>
    <n v="289.49"/>
    <n v="1897.8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0"/>
  </r>
  <r>
    <x v="3"/>
    <x v="164"/>
    <s v="COLABORATIVA S.A.C."/>
    <x v="14"/>
    <d v="2025-10-16T00:00:00"/>
    <x v="50"/>
    <m/>
    <n v="6"/>
    <n v="20101214771"/>
    <s v="[{'id_producto': '1', 'codigo_producto': '870', 'nom_producto': 'COMISIÃ“N VAOPE SEGÃšN CONTRATO', 'categoria_producto': 'consu', 'cantidad': '1.0', 'valor_unitario': 991.19, 'precio_unitario': 1169.6, 'descuento': 0.0, 'subtotal': 991.19, 'porcentaje_de_igv': '18.00', 'igv': 178.41, 'total': 1169.6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991.19"/>
    <n v="1169.5999999999999"/>
    <n v="0"/>
    <n v="991.19"/>
    <n v="18"/>
    <n v="178.41"/>
    <n v="1169.5999999999999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1"/>
  </r>
  <r>
    <x v="3"/>
    <x v="165"/>
    <s v="COLABORATIVA S.A.C."/>
    <x v="14"/>
    <d v="2025-10-16T00:00:00"/>
    <x v="50"/>
    <m/>
    <n v="6"/>
    <n v="20101214771"/>
    <s v="[{'id_producto': '1', 'codigo_producto': '955'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54"/>
    <x v="62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0"/>
    <s v="RESTAURANTE RECEPCIONES CHEPITA ROYAL EMPRESA INDIVIDUAL DE RESPONSABILIDAD LIMITADA"/>
    <m/>
    <x v="192"/>
  </r>
  <r>
    <x v="3"/>
    <x v="166"/>
    <s v="COLABORATIVA S.A.C."/>
    <x v="14"/>
    <d v="2025-10-16T00:00:00"/>
    <x v="50"/>
    <m/>
    <n v="6"/>
    <n v="20101214771"/>
    <s v="[{'id_producto': '1', 'codigo_producto': '877', 'nom_producto': 'COMISIÃ“N PAGOS DIGITALES SEGÃšN CONTRATO', 'categoria_producto': 'consu', 'cantidad': '1.0', 'valor_unitario': 418.22, 'precio_unitario': 493.5, 'descuento': 0.0, 'subtotal': 418.22, 'porcentaje_de_igv': '18.00', 'igv': 75.28, 'total': 493.5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418.22"/>
    <n v="493.5"/>
    <n v="0"/>
    <n v="418.22"/>
    <n v="18"/>
    <n v="75.28"/>
    <n v="493.5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3"/>
  </r>
  <r>
    <x v="3"/>
    <x v="167"/>
    <s v="COLABORATIVA S.A.C."/>
    <x v="14"/>
    <d v="2025-10-16T00:00:00"/>
    <x v="50"/>
    <m/>
    <n v="6"/>
    <n v="20101214771"/>
    <s v="[{'id_producto': '1', 'codigo_producto': '870', 'nom_producto': 'COMISIÃ“N VAOPE SEGÃšN CONTRATO', 'categoria_producto': 'consu', 'cantidad': '1.0', 'valor_unitario': 250.51, 'precio_unitario': 295.6, 'descuento': 0.0, 'subtotal': 250.51, 'porcentaje_de_igv': '18.00', 'igv': 45.09, 'total': 295.6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250.51"/>
    <n v="295.60000000000002"/>
    <n v="0"/>
    <n v="250.51"/>
    <n v="18"/>
    <n v="45.09"/>
    <n v="295.60000000000002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4"/>
  </r>
  <r>
    <x v="3"/>
    <x v="168"/>
    <s v="COLABORATIVA S.A.C."/>
    <x v="14"/>
    <d v="2025-10-16T00:00:00"/>
    <x v="50"/>
    <m/>
    <n v="6"/>
    <n v="20101214771"/>
    <s v="[{'id_producto': '1', 'codigo_producto': '954', 'nom_producto': 'PERSONAL - PAUTA PUBLICITARIA- CORTESIA', 'categoria_producto': 'consu', 'cantidad': '1.0', 'valor_unitario': 438.73, 'precio_unitario': 517.7, 'descuento': 0.0, 'subtotal': 438.73, 'porcentaje_de_igv': '18.00', 'igv': 78.97, 'total': 517.7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57"/>
    <x v="65"/>
    <s v="consu"/>
    <n v="1"/>
    <n v="438.73"/>
    <n v="517.70000000000005"/>
    <n v="0"/>
    <n v="438.73"/>
    <n v="18"/>
    <n v="78.97"/>
    <n v="517.70000000000005"/>
    <n v="1"/>
    <m/>
    <x v="1"/>
    <x v="1"/>
    <x v="0"/>
    <s v="SAMUEL CHUQUISTA"/>
    <x v="0"/>
    <s v="7012100 MercaderÃ­as-Venta Local-Terceros"/>
    <x v="4"/>
    <x v="22"/>
    <m/>
    <m/>
    <m/>
    <x v="0"/>
    <s v="RESTAURANTE RECEPCIONES CHEPITA ROYAL EMPRESA INDIVIDUAL DE RESPONSABILIDAD LIMITADA"/>
    <m/>
    <x v="195"/>
  </r>
  <r>
    <x v="3"/>
    <x v="169"/>
    <s v="COLABORATIVA S.A.C."/>
    <x v="14"/>
    <d v="2025-10-16T00:00:00"/>
    <x v="50"/>
    <m/>
    <n v="6"/>
    <n v="20101214771"/>
    <s v="[{'id_producto': '1', 'codigo_producto': '877', 'nom_producto': 'COMISIÃ“N PAGOS DIGITALES SEGÃšN CONTRATO', 'categoria_producto': 'consu', 'cantidad': '1.0', 'valor_unitario': 139.75, 'precio_unitario': 164.9, 'descuento': 0.0, 'subtotal': 139.75, 'porcentaje_de_igv': '18.00', 'igv': 25.15, 'total': 164.9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139.75"/>
    <n v="164.9"/>
    <n v="0"/>
    <n v="139.75"/>
    <n v="18"/>
    <n v="25.15"/>
    <n v="164.9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6"/>
  </r>
  <r>
    <x v="3"/>
    <x v="170"/>
    <s v="COLABORATIVA S.A.C."/>
    <x v="14"/>
    <d v="2025-10-16T00:00:00"/>
    <x v="50"/>
    <m/>
    <n v="6"/>
    <n v="20101214771"/>
    <s v="[{'id_producto': '1', 'codigo_producto': '870', 'nom_producto': 'COMISIÃ“N VAOPE SEGÃšN CONTRATO', 'categoria_producto': 'consu', 'cantidad': '1.0', 'valor_unitario': 79.15, 'precio_unitario': 93.4, 'descuento': 0.0, 'subtotal': 79.15, 'porcentaje_de_igv': '18.00', 'igv': 14.25, 'total': 93.4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79.150000000000006"/>
    <n v="93.4"/>
    <n v="0"/>
    <n v="79.150000000000006"/>
    <n v="18"/>
    <n v="14.25"/>
    <n v="93.4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7"/>
  </r>
  <r>
    <x v="3"/>
    <x v="171"/>
    <s v="COLABORATIVA S.A.C."/>
    <x v="14"/>
    <d v="2025-10-16T00:00:00"/>
    <x v="50"/>
    <m/>
    <n v="6"/>
    <n v="20101214771"/>
    <s v="[{'id_producto': '1', 'codigo_producto': '953', 'nom_producto': 'COMISION CORTESIA - PAUTA PUBLICITARIA- FACEBOOK- PUNTO VENTA ', 'categoria_producto': 'consu', 'cantidad': '1.0', 'valor_unitario': 447.73, 'precio_unitario': 528.32, 'descuento': 0.0, 'subtotal': 447.73, 'porcentaje_de_igv': '18.00', 'igv': 80.59, 'total': 528.32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8"/>
    <x v="66"/>
    <s v="consu"/>
    <n v="1"/>
    <n v="447.73"/>
    <n v="528.32000000000005"/>
    <n v="0"/>
    <n v="447.73"/>
    <n v="18"/>
    <n v="80.59"/>
    <n v="528.32000000000005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198"/>
  </r>
  <r>
    <x v="3"/>
    <x v="172"/>
    <s v="COLABORATIVA S.A.C."/>
    <x v="14"/>
    <d v="2025-10-16T00:00:00"/>
    <x v="50"/>
    <m/>
    <n v="6"/>
    <n v="20101214771"/>
    <s v="[{'id_producto': '1', 'codigo_producto': '952', 'nom_producto': 'PERSONAL - Servicio de 01 validador (Inc IGV) 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"/>
    <x v="59"/>
    <x v="67"/>
    <s v="consu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6"/>
    <x v="22"/>
    <m/>
    <m/>
    <m/>
    <x v="0"/>
    <s v="RESTAURANTE RECEPCIONES CHEPITA ROYAL EMPRESA INDIVIDUAL DE RESPONSABILIDAD LIMITADA"/>
    <m/>
    <x v="199"/>
  </r>
  <r>
    <x v="3"/>
    <x v="173"/>
    <s v="COLABORATIVA S.A.C."/>
    <x v="14"/>
    <d v="2025-10-16T00:00:00"/>
    <x v="50"/>
    <m/>
    <n v="6"/>
    <n v="20101214771"/>
    <s v="[{'id_producto': '1', 'codigo_producto': '877', 'nom_producto': 'COMISIÃ“N PAGOS DIGITALES SEGÃšN CONTRATO', 'categoria_producto': 'consu', 'cantidad': '1.0', 'valor_unitario': 2377.37, 'precio_unitario': 2805.3, 'descuento': 0.0, 'subtotal': 2377.37, 'porcentaje_de_igv': '18.00', 'igv': 427.93, 'total': 2805.3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2377.37"/>
    <n v="2805.3"/>
    <n v="0"/>
    <n v="2377.37"/>
    <n v="18"/>
    <n v="427.93"/>
    <n v="2805.3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0"/>
  </r>
  <r>
    <x v="3"/>
    <x v="174"/>
    <s v="COLABORATIVA S.A.C."/>
    <x v="14"/>
    <d v="2025-10-16T00:00:00"/>
    <x v="50"/>
    <m/>
    <n v="6"/>
    <n v="20101214771"/>
    <s v="[{'id_producto': '1', 'codigo_producto': '870', 'nom_producto': 'COMISIÃ“N VAOPE SEGÃšN CONTRATO', 'categoria_producto': 'consu', 'cantidad': '1.0', 'valor_unitario': 1467.71, 'precio_unitario': 1731.9, 'descuento': 0.0, 'subtotal': 1467.71, 'porcentaje_de_igv': '18.00', 'igv': 264.19, 'total': 1731.9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1467.71"/>
    <n v="1731.9"/>
    <n v="0"/>
    <n v="1467.71"/>
    <n v="18"/>
    <n v="264.19"/>
    <n v="1731.9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1"/>
  </r>
  <r>
    <x v="3"/>
    <x v="175"/>
    <s v="COLABORATIVA S.A.C."/>
    <x v="14"/>
    <d v="2025-10-16T00:00:00"/>
    <x v="50"/>
    <m/>
    <n v="6"/>
    <n v="20101214771"/>
    <s v="[{'id_producto': '1', 'codigo_producto': '951', 'nom_producto': 'PERSONAL - PAUTA PUBLICITARIA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60"/>
    <x v="68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0"/>
    <s v="RESTAURANTE RECEPCIONES CHEPITA ROYAL EMPRESA INDIVIDUAL DE RESPONSABILIDAD LIMITADA"/>
    <m/>
    <x v="202"/>
  </r>
  <r>
    <x v="3"/>
    <x v="176"/>
    <s v="COLABORATIVA S.A.C."/>
    <x v="14"/>
    <d v="2025-10-16T00:00:00"/>
    <x v="50"/>
    <m/>
    <n v="6"/>
    <n v="20101214771"/>
    <s v="[{'id_producto': '1', 'codigo_producto': '877', 'nom_producto': 'COMISIÃ“N PAGOS DIGITALES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526.1"/>
    <n v="620.79999999999995"/>
    <n v="0"/>
    <n v="526.1"/>
    <n v="18"/>
    <n v="94.7"/>
    <n v="620.79999999999995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3"/>
  </r>
  <r>
    <x v="3"/>
    <x v="177"/>
    <s v="COLABORATIVA S.A.C."/>
    <x v="14"/>
    <d v="2025-10-16T00:00:00"/>
    <x v="50"/>
    <m/>
    <n v="6"/>
    <n v="20101214771"/>
    <s v="[{'id_producto': '1', 'codigo_producto': '870', 'nom_producto': 'COMISIÃ“N VAOPE SEGÃšN CONTRATO', 'categoria_producto': 'consu', 'cantidad': '1.0', 'valor_unitario': 304.83, 'precio_unitario': 359.7, 'descuento': 0.0, 'subtotal': 304.83, 'porcentaje_de_igv': '18.00', 'igv': 54.87, 'total': 359.7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304.83"/>
    <n v="359.7"/>
    <n v="0"/>
    <n v="304.83"/>
    <n v="18"/>
    <n v="54.87"/>
    <n v="359.7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4"/>
  </r>
  <r>
    <x v="3"/>
    <x v="178"/>
    <s v="COLABORATIVA S.A.C."/>
    <x v="14"/>
    <d v="2025-10-16T00:00:00"/>
    <x v="50"/>
    <m/>
    <n v="6"/>
    <n v="20101214771"/>
    <s v="[{'id_producto': '1', 'codigo_producto': '950', 'nom_producto': 'PERSONAL - PUBLICIDAD - FACEBOOK 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61"/>
    <x v="69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0"/>
    <s v="RESTAURANTE RECEPCIONES CHEPITA ROYAL EMPRESA INDIVIDUAL DE RESPONSABILIDAD LIMITADA"/>
    <m/>
    <x v="205"/>
  </r>
  <r>
    <x v="3"/>
    <x v="179"/>
    <s v="COLABORATIVA S.A.C."/>
    <x v="14"/>
    <d v="2025-10-16T00:00:00"/>
    <x v="50"/>
    <m/>
    <n v="6"/>
    <n v="20101214771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6"/>
  </r>
  <r>
    <x v="3"/>
    <x v="180"/>
    <s v="COLABORATIVA S.A.C."/>
    <x v="14"/>
    <d v="2025-10-16T00:00:00"/>
    <x v="50"/>
    <m/>
    <n v="6"/>
    <n v="20101214771"/>
    <s v="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"/>
    <x v="62"/>
    <x v="70"/>
    <s v="consu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6"/>
    <x v="22"/>
    <m/>
    <m/>
    <m/>
    <x v="0"/>
    <s v="RESTAURANTE RECEPCIONES CHEPITA ROYAL EMPRESA INDIVIDUAL DE RESPONSABILIDAD LIMITADA"/>
    <m/>
    <x v="207"/>
  </r>
  <r>
    <x v="3"/>
    <x v="181"/>
    <s v="COLABORATIVA S.A.C."/>
    <x v="14"/>
    <d v="2025-10-16T00:00:00"/>
    <x v="50"/>
    <m/>
    <n v="6"/>
    <n v="20101214771"/>
    <s v="[{'id_producto': '1', 'codigo_producto': '877', 'nom_producto': 'COMISIÃ“N PAGOS DIGITALES SEGÃšN CONTRATO', 'categoria_producto': 'consu', 'cantidad': '1.0', 'valor_unitario': 3637.63, 'precio_unitario': 4292.4, 'descuento': 0.0, 'subtotal': 3637.63, 'porcentaje_de_igv': '18.00', 'igv': 654.77, 'total': 4292.4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3637.63"/>
    <n v="4292.3999999999996"/>
    <n v="0"/>
    <n v="3637.63"/>
    <n v="18"/>
    <n v="654.77"/>
    <n v="4292.3999999999996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8"/>
  </r>
  <r>
    <x v="3"/>
    <x v="182"/>
    <s v="COLABORATIVA S.A.C."/>
    <x v="14"/>
    <d v="2025-10-16T00:00:00"/>
    <x v="50"/>
    <m/>
    <n v="6"/>
    <n v="20101214771"/>
    <s v="[{'id_producto': '1', 'codigo_producto': '870', 'nom_producto': 'COMISIÃ“N VAOPE SEGÃšN CONTRATO', 'categoria_producto': 'consu', 'cantidad': '1.0', 'valor_unitario': 2347.03, 'precio_unitario': 2769.5, 'descuento': 0.0, 'subtotal': 2347.03, 'porcentaje_de_igv': '18.00', 'igv': 422.47, 'total': 2769.5, 'moneda': '1', 'tipo_de_cambio': '', 'id_estado': 'not_paid', 'nombre_estado': 'Sin pagar', 'evento': {'id_evento': '', 'nom_evento': '', 'Fecha_hora_ini_event': '', 'Fecha_hora_fin_event': '', 'id_organizador': '', 'nom_organizador': 'RESTAURANTE RECEPCIONES CHEPITA ROYAL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2347.0300000000002"/>
    <n v="2769.5"/>
    <n v="0"/>
    <n v="2347.0300000000002"/>
    <n v="18"/>
    <n v="422.47"/>
    <n v="2769.5"/>
    <n v="1"/>
    <m/>
    <x v="1"/>
    <x v="1"/>
    <x v="0"/>
    <s v="SAMUEL CHUQUISTA"/>
    <x v="0"/>
    <s v="7012100 MercaderÃ­as-Venta Local-Terceros"/>
    <x v="3"/>
    <x v="22"/>
    <m/>
    <m/>
    <m/>
    <x v="0"/>
    <s v="RESTAURANTE RECEPCIONES CHEPITA ROYAL EMPRESA INDIVIDUAL DE RESPONSABILIDAD LIMITADA"/>
    <m/>
    <x v="209"/>
  </r>
  <r>
    <x v="3"/>
    <x v="183"/>
    <s v="COLABORATIVA S.A.C."/>
    <x v="15"/>
    <d v="2025-10-16T00:00:00"/>
    <x v="28"/>
    <m/>
    <n v="6"/>
    <n v="20611890746"/>
    <s v="[{'id_producto': '1', 'codigo_producto': '949', 'nom_producto': 'COMISION CORTESIA - pauta publicitar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52"/>
    <x v="60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10"/>
  </r>
  <r>
    <x v="3"/>
    <x v="184"/>
    <s v="COLABORATIVA S.A.C."/>
    <x v="15"/>
    <d v="2025-10-16T00:00:00"/>
    <x v="28"/>
    <m/>
    <n v="6"/>
    <n v="20611890746"/>
    <s v="[{'id_producto': '1', 'codigo_producto': '948', 'nom_producto': 'ENTRADAS IMPRESAS - *ORDEN DE VENTA NÂ°564*\n * La Ãšnica Tropical en el Padrino Club de Jicamarca / 1,000 FULL COLOR GENERAL / 1,000 BRAZALETES VIP / 500 FULL COLOR NIÃ‘OS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"/>
    <x v="63"/>
    <x v="71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11"/>
  </r>
  <r>
    <x v="3"/>
    <x v="185"/>
    <s v="COLABORATIVA S.A.C."/>
    <x v="15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872.71, 'precio_unitario': 1029.8, 'descuento': 0.0, 'subtotal': 872.71, 'porcentaje_de_igv': '18.00', 'igv': 157.09, 'total': 1029.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872.71"/>
    <n v="1029.8"/>
    <n v="0"/>
    <n v="872.71"/>
    <n v="18"/>
    <n v="157.09"/>
    <n v="1029.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12"/>
  </r>
  <r>
    <x v="3"/>
    <x v="186"/>
    <s v="COLABORATIVA S.A.C."/>
    <x v="15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526.1"/>
    <n v="620.79999999999995"/>
    <n v="0"/>
    <n v="526.1"/>
    <n v="18"/>
    <n v="94.7"/>
    <n v="620.79999999999995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13"/>
  </r>
  <r>
    <x v="3"/>
    <x v="187"/>
    <s v="COLABORATIVA S.A.C."/>
    <x v="15"/>
    <d v="2025-10-16T00:00:00"/>
    <x v="30"/>
    <s v="Cliente"/>
    <n v="6"/>
    <n v="20296011356"/>
    <s v="[{'id_producto': '1', 'codigo_producto': '874', 'nom_producto': 'COMISION CORTESI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27"/>
    <x v="36"/>
    <s v="consu"/>
    <n v="1"/>
    <n v="20"/>
    <n v="23.6"/>
    <n v="0"/>
    <n v="20"/>
    <n v="18"/>
    <n v="3.6"/>
    <n v="23.6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214"/>
  </r>
  <r>
    <x v="3"/>
    <x v="188"/>
    <s v="COLABORATIVA S.A.C."/>
    <x v="15"/>
    <d v="2025-10-16T00:00:00"/>
    <x v="30"/>
    <s v="Cliente"/>
    <n v="6"/>
    <n v="20296011356"/>
    <s v="[{'id_producto': '1', 'codigo_producto': '882', 'nom_producto': 'PERSONAL - Servicio de 05 validadores (Inc IGV)', 'categoria_producto': 'consu', 'cantidad': '1.0', 'valor_unitario': 750.0, 'precio_unitario': 885.0, 'descuento': 0.0, 'subtotal': 750.0, 'porcentaje_de_igv': '18.00', 'igv': 135.0, 'total': 885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8T00:00:00"/>
    <m/>
    <m/>
    <m/>
    <m/>
    <m/>
    <n v="1"/>
    <x v="64"/>
    <x v="72"/>
    <s v="consu"/>
    <n v="1"/>
    <n v="750"/>
    <n v="885"/>
    <n v="0"/>
    <n v="750"/>
    <n v="18"/>
    <n v="135"/>
    <n v="885"/>
    <n v="1"/>
    <m/>
    <x v="1"/>
    <x v="1"/>
    <x v="0"/>
    <s v="SAMUEL CHUQUISTA"/>
    <x v="0"/>
    <s v="7012100 MercaderÃ­as-Venta Local-Terceros"/>
    <x v="6"/>
    <x v="22"/>
    <m/>
    <m/>
    <m/>
    <x v="0"/>
    <s v="COMPLEJO TURISTICO EL REMANSO SAC"/>
    <m/>
    <x v="215"/>
  </r>
  <r>
    <x v="3"/>
    <x v="189"/>
    <s v="COLABORATIVA S.A.C."/>
    <x v="15"/>
    <d v="2025-10-16T00:00:00"/>
    <x v="30"/>
    <s v="Cliente"/>
    <n v="6"/>
    <n v="20296011356"/>
    <s v="[{'id_producto': '1', 'codigo_producto': '947', 'nom_producto': 'ENTRADAS IMPRESAS - ORDEN DE VENTA NÂ°557\n PRIMER PISCINAZO 2025 CON EL AGUA MÃS RICA DEL PERÃš / 3,000 FULL COLOR GENERAL ADULTO / 500 FULL COLOR GENERAL NIÃ‘OS (S/1,858.50)', 'categoria_producto': 'consu', 'cantidad': '1.0', 'valor_unitario': 1575.0, 'precio_unitario': 1858.5, 'descuento': 0.0, 'subtotal': 1575.0, 'porcentaje_de_igv': '18.00', 'igv': 283.5, 'total': 1858.5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"/>
    <x v="65"/>
    <x v="73"/>
    <s v="consu"/>
    <n v="1"/>
    <n v="1575"/>
    <n v="1858.5"/>
    <n v="0"/>
    <n v="1575"/>
    <n v="18"/>
    <n v="283.5"/>
    <n v="1858.5"/>
    <n v="1"/>
    <m/>
    <x v="1"/>
    <x v="1"/>
    <x v="0"/>
    <s v="SAMUEL CHUQUISTA"/>
    <x v="0"/>
    <s v="7012100 MercaderÃ­as-Venta Local-Terceros"/>
    <x v="2"/>
    <x v="22"/>
    <m/>
    <m/>
    <m/>
    <x v="0"/>
    <s v="COMPLEJO TURISTICO EL REMANSO SAC"/>
    <m/>
    <x v="216"/>
  </r>
  <r>
    <x v="3"/>
    <x v="190"/>
    <s v="COLABORATIVA S.A.C."/>
    <x v="15"/>
    <d v="2025-10-16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3585.68, 'precio_unitario': 4231.1, 'descuento': 0.0, 'subtotal': 3585.68, 'porcentaje_de_igv': '18.00', 'igv': 645.42, 'total': 4231.1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3585.68"/>
    <n v="4231.1000000000004"/>
    <n v="0"/>
    <n v="3585.68"/>
    <n v="18"/>
    <n v="645.41999999999996"/>
    <n v="4231.1000000000004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217"/>
  </r>
  <r>
    <x v="3"/>
    <x v="191"/>
    <s v="COLABORATIVA S.A.C."/>
    <x v="15"/>
    <d v="2025-10-16T00:00:00"/>
    <x v="30"/>
    <s v="Cliente"/>
    <n v="6"/>
    <n v="20296011356"/>
    <s v="[{'id_producto': '1', 'codigo_producto': '878', 'nom_producto': 'COMISIÃ“N VAOPE SEGÃšN CONTRATO ', 'categoria_producto': 'consu', 'cantidad': '1.0', 'valor_unitario': 2103.31, 'precio_unitario': 2481.9, 'descuento': 0.0, 'subtotal': 2103.31, 'porcentaje_de_igv': '18.00', 'igv': 378.59, 'total': 2481.9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51"/>
    <x v="59"/>
    <s v="consu"/>
    <n v="1"/>
    <n v="2103.31"/>
    <n v="2481.9"/>
    <n v="0"/>
    <n v="2103.31"/>
    <n v="18"/>
    <n v="378.59"/>
    <n v="2481.9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218"/>
  </r>
  <r>
    <x v="3"/>
    <x v="192"/>
    <s v="COLABORATIVA S.A.C."/>
    <x v="15"/>
    <d v="2025-10-16T00:00:00"/>
    <x v="39"/>
    <m/>
    <n v="6"/>
    <n v="20609649039"/>
    <s v="[{'id_producto': '1', 'codigo_producto': '877', 'nom_producto': 'COMISIÃ“N PAGOS DIGITALES SEGÃšN CONTRATO', 'categoria_producto': 'consu', 'cantidad': '1.0', 'valor_unitario': 16.81, 'precio_unitario': 19.84, 'descuento': 0.0, 'subtotal': 16.81, 'porcentaje_de_igv': '18.02', 'igv': 3.03, 'total': 19.84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16.809999999999999"/>
    <n v="19.84"/>
    <n v="0"/>
    <n v="16.809999999999999"/>
    <n v="18.02"/>
    <n v="3.03"/>
    <n v="19.84"/>
    <n v="1"/>
    <m/>
    <x v="1"/>
    <x v="1"/>
    <x v="0"/>
    <s v="SAMUEL CHUQUISTA"/>
    <x v="0"/>
    <s v="7012100 MercaderÃ­as-Venta Local-Terceros"/>
    <x v="3"/>
    <x v="22"/>
    <m/>
    <m/>
    <m/>
    <x v="0"/>
    <s v="CARDANO PRODUCCIONES S.A.C."/>
    <m/>
    <x v="219"/>
  </r>
  <r>
    <x v="3"/>
    <x v="193"/>
    <s v="COLABORATIVA S.A.C."/>
    <x v="15"/>
    <d v="2025-10-16T00:00:00"/>
    <x v="39"/>
    <m/>
    <n v="6"/>
    <n v="20609649039"/>
    <s v="[{'id_producto': '1', 'codigo_producto': '870', 'nom_producto': 'COMISIÃ“N VAOPE SEGÃšN CONTRATO', 'categoria_producto': 'consu', 'cantidad': '1.0', 'valor_unitario': 16.0, 'precio_unitario': 18.88, 'descuento': 0.0, 'subtotal': 16.0, 'porcentaje_de_igv': '18.00', 'igv': 2.88, 'total': 18.88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6"/>
    <n v="18.88"/>
    <n v="0"/>
    <n v="16"/>
    <n v="18"/>
    <n v="2.88"/>
    <n v="18.88"/>
    <n v="1"/>
    <m/>
    <x v="1"/>
    <x v="1"/>
    <x v="0"/>
    <s v="SAMUEL CHUQUISTA"/>
    <x v="0"/>
    <s v="7012100 MercaderÃ­as-Venta Local-Terceros"/>
    <x v="3"/>
    <x v="22"/>
    <m/>
    <m/>
    <m/>
    <x v="0"/>
    <s v="CARDANO PRODUCCIONES S.A.C."/>
    <m/>
    <x v="220"/>
  </r>
  <r>
    <x v="3"/>
    <x v="194"/>
    <s v="COLABORATIVA S.A.C."/>
    <x v="15"/>
    <d v="2025-10-16T00:00:00"/>
    <x v="40"/>
    <m/>
    <n v="6"/>
    <n v="20611587741"/>
    <s v="[{'id_producto': '1', 'codigo_producto': '877', 'nom_producto': 'COMISIÃ“N PAGOS DIGITALES SEGÃšN CONTRATO', 'categoria_producto': 'consu', 'cantidad': '1.0', 'valor_unitario': 11.44, 'precio_unitario': 13.5, 'descuento': 0.0, 'subtotal': 11.44, 'porcentaje_de_igv': '18.01', 'igv': 2.06, 'total': 13.5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11.44"/>
    <n v="13.5"/>
    <n v="0"/>
    <n v="11.44"/>
    <n v="18.010000000000002"/>
    <n v="2.06"/>
    <n v="13.5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221"/>
  </r>
  <r>
    <x v="3"/>
    <x v="195"/>
    <s v="COLABORATIVA S.A.C."/>
    <x v="15"/>
    <d v="2025-10-16T00:00:00"/>
    <x v="40"/>
    <m/>
    <n v="6"/>
    <n v="20611587741"/>
    <s v="[{'id_producto': '1', 'codigo_producto': '870', 'nom_producto': 'COMISIÃ“N VAOPE SEGÃšN CONTRATO', 'categoria_producto': 'consu', 'cantidad': '1.0', 'valor_unitario': 6.36, 'precio_unitario': 7.5, 'descuento': 0.0, 'subtotal': 6.36, 'porcentaje_de_igv': '17.92', 'igv': 1.14, 'total': 7.5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6.36"/>
    <n v="7.5"/>
    <n v="0"/>
    <n v="6.36"/>
    <n v="17.920000000000002"/>
    <n v="1.1399999999999999"/>
    <n v="7.5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222"/>
  </r>
  <r>
    <x v="3"/>
    <x v="196"/>
    <s v="COLABORATIVA S.A.C."/>
    <x v="15"/>
    <d v="2025-10-16T00:00:00"/>
    <x v="37"/>
    <s v="Cliente"/>
    <n v="6"/>
    <n v="20608627422"/>
    <s v="[{'id_producto': '1', 'codigo_producto': '877', 'nom_producto': 'COMISIÃ“N PAGOS DIGITALES SEGÃšN CONTRATO', 'categoria_producto': 'consu', 'cantidad': '1.0', 'valor_unitario': 41.1, 'precio_unitario': 48.5, 'descuento': 0.0, 'subtotal': 41.1, 'porcentaje_de_igv': '18.00', 'igv': 7.4, 'total': 48.5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41.1"/>
    <n v="48.5"/>
    <n v="0"/>
    <n v="41.1"/>
    <n v="18"/>
    <n v="7.4"/>
    <n v="48.5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223"/>
  </r>
  <r>
    <x v="3"/>
    <x v="197"/>
    <s v="COLABORATIVA S.A.C."/>
    <x v="15"/>
    <d v="2025-10-16T00:00:00"/>
    <x v="37"/>
    <s v="Cliente"/>
    <n v="6"/>
    <n v="20608627422"/>
    <s v="[{'id_producto': '1', 'codigo_producto': '870', 'nom_producto': 'COMISIÃ“N VAOPE SEGÃšN CONTRATO', 'categoria_producto': 'consu', 'cantidad': '1.0', 'valor_unitario': 27.46, 'precio_unitario': 32.4, 'descuento': 0.0, 'subtotal': 27.46, 'porcentaje_de_igv': '17.99', 'igv': 4.94, 'total': 32.4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27.46"/>
    <n v="32.4"/>
    <n v="0"/>
    <n v="27.46"/>
    <n v="17.989999999999998"/>
    <n v="4.9400000000000004"/>
    <n v="32.4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224"/>
  </r>
  <r>
    <x v="4"/>
    <x v="198"/>
    <s v="COLABORATIVA S.A.C."/>
    <x v="15"/>
    <d v="2025-10-16T00:00:00"/>
    <x v="51"/>
    <m/>
    <n v="1"/>
    <n v="48129748"/>
    <s v="[{'id_producto': '1', 'codigo_producto': '877', 'nom_producto': 'COMISIÃ“N PAGOS DIGITALES SEGÃšN CONTRATO', 'categoria_producto': 'consu', 'cantidad': '1.0', 'valor_unitario': 34.32, 'precio_unitario': 40.5, 'descuento': 0.0, 'subtotal': 34.32, 'porcentaje_de_igv': '18.01', 'igv': 6.18, 'total': 40.5, 'moneda': '1', 'tipo_de_cambio': '', 'id_estado': 'not_paid', 'nombre_estado': 'Sin pagar', 'evento': {'id_evento': '', 'nom_evento': '', 'Fecha_hora_ini_event': '', 'Fecha_hora_fin_event': '', 'id_organizador': '', 'nom_organizador': 'MARIA ALICIA CORONADO MALUQUI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34.32"/>
    <n v="40.5"/>
    <n v="0"/>
    <n v="34.32"/>
    <n v="18.010000000000002"/>
    <n v="6.18"/>
    <n v="40.5"/>
    <n v="1"/>
    <m/>
    <x v="1"/>
    <x v="1"/>
    <x v="0"/>
    <s v="SAMUEL CHUQUISTA"/>
    <x v="0"/>
    <s v="7012100 MercaderÃ­as-Venta Local-Terceros"/>
    <x v="3"/>
    <x v="22"/>
    <m/>
    <m/>
    <m/>
    <x v="0"/>
    <s v="MARIA ALICIA CORONADO MALUQUIS"/>
    <m/>
    <x v="225"/>
  </r>
  <r>
    <x v="4"/>
    <x v="199"/>
    <s v="COLABORATIVA S.A.C."/>
    <x v="15"/>
    <d v="2025-10-16T00:00:00"/>
    <x v="51"/>
    <m/>
    <n v="1"/>
    <n v="48129748"/>
    <s v="[{'id_producto': '1', 'codigo_producto': '870', 'nom_producto': 'COMISIÃ“N VAOPE SEGÃšN CONTRATO', 'categoria_producto': 'consu', 'cantidad': '1.0', 'valor_unitario': 19.07, 'precio_unitario': 22.5, 'descuento': 0.0, 'subtotal': 19.07, 'porcentaje_de_igv': '17.99', 'igv': 3.43, 'total': 22.5, 'moneda': '1', 'tipo_de_cambio': '', 'id_estado': 'not_paid', 'nombre_estado': 'Sin pagar', 'evento': {'id_evento': '', 'nom_evento': '', 'Fecha_hora_ini_event': '', 'Fecha_hora_fin_event': '', 'id_organizador': '', 'nom_organizador': 'MARIA ALICIA CORONADO MALUQUI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9.07"/>
    <n v="22.5"/>
    <n v="0"/>
    <n v="19.07"/>
    <n v="17.989999999999998"/>
    <n v="3.43"/>
    <n v="22.5"/>
    <n v="1"/>
    <m/>
    <x v="1"/>
    <x v="1"/>
    <x v="0"/>
    <s v="SAMUEL CHUQUISTA"/>
    <x v="0"/>
    <s v="7012100 MercaderÃ­as-Venta Local-Terceros"/>
    <x v="3"/>
    <x v="22"/>
    <m/>
    <m/>
    <m/>
    <x v="0"/>
    <s v="MARIA ALICIA CORONADO MALUQUIS"/>
    <m/>
    <x v="226"/>
  </r>
  <r>
    <x v="4"/>
    <x v="200"/>
    <s v="COLABORATIVA S.A.C."/>
    <x v="15"/>
    <d v="2025-10-16T00:00:00"/>
    <x v="52"/>
    <m/>
    <n v="1"/>
    <n v="72459498"/>
    <s v="[{'id_producto': '1', 'codigo_producto': '877', 'nom_producto': 'COMISIÃ“N PAGOS DIGITALES SEGÃšN CONTRATO', 'categoria_producto': 'consu', 'cantidad': '1.0', 'valor_unitario': 240.25, 'precio_unitario': 283.5, 'descuento': 0.0, 'subtotal': 240.25, 'porcentaje_de_igv': '18.00', 'igv': 43.25, 'total': 283.5, 'moneda': '1', 'tipo_de_cambio': '', 'id_estado': 'not_paid', 'nombre_estado': 'Sin pagar', 'evento': {'id_evento': '', 'nom_evento': '', 'Fecha_hora_ini_event': '', 'Fecha_hora_fin_event': '', 'id_organizador': '', 'nom_organizador': 'ORLANDO ALDAIR POMACAJA CARV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240.25"/>
    <n v="283.5"/>
    <n v="0"/>
    <n v="240.25"/>
    <n v="18"/>
    <n v="43.25"/>
    <n v="283.5"/>
    <n v="1"/>
    <m/>
    <x v="1"/>
    <x v="1"/>
    <x v="0"/>
    <s v="SAMUEL CHUQUISTA"/>
    <x v="0"/>
    <s v="7012100 MercaderÃ­as-Venta Local-Terceros"/>
    <x v="3"/>
    <x v="22"/>
    <m/>
    <m/>
    <m/>
    <x v="0"/>
    <s v="ORLANDO ALDAIR POMACAJA CARVO"/>
    <m/>
    <x v="227"/>
  </r>
  <r>
    <x v="4"/>
    <x v="201"/>
    <s v="COLABORATIVA S.A.C."/>
    <x v="15"/>
    <d v="2025-10-16T00:00:00"/>
    <x v="52"/>
    <m/>
    <n v="1"/>
    <n v="72459498"/>
    <s v="[{'id_producto': '1', 'codigo_producto': '870', 'nom_producto': 'COMISIÃ“N VAOPE SEGÃšN CONTRATO', 'categoria_producto': 'consu', 'cantidad': '1.0', 'valor_unitario': 133.47, 'precio_unitario': 157.5, 'descuento': 0.0, 'subtotal': 133.47, 'porcentaje_de_igv': '18.00', 'igv': 24.03, 'total': 157.5, 'moneda': '1', 'tipo_de_cambio': '', 'id_estado': 'not_paid', 'nombre_estado': 'Sin pagar', 'evento': {'id_evento': '', 'nom_evento': '', 'Fecha_hora_ini_event': '', 'Fecha_hora_fin_event': '', 'id_organizador': '', 'nom_organizador': 'ORLANDO ALDAIR POMACAJA CARV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33.47"/>
    <n v="157.5"/>
    <n v="0"/>
    <n v="133.47"/>
    <n v="18"/>
    <n v="24.03"/>
    <n v="157.5"/>
    <n v="1"/>
    <m/>
    <x v="1"/>
    <x v="1"/>
    <x v="0"/>
    <s v="SAMUEL CHUQUISTA"/>
    <x v="0"/>
    <s v="7012100 MercaderÃ­as-Venta Local-Terceros"/>
    <x v="3"/>
    <x v="22"/>
    <m/>
    <m/>
    <m/>
    <x v="0"/>
    <s v="ORLANDO ALDAIR POMACAJA CARVO"/>
    <m/>
    <x v="228"/>
  </r>
  <r>
    <x v="4"/>
    <x v="202"/>
    <s v="COLABORATIVA S.A.C."/>
    <x v="15"/>
    <d v="2025-10-16T00:00:00"/>
    <x v="53"/>
    <m/>
    <n v="1"/>
    <n v="74630652"/>
    <s v="[{'id_producto': '1', 'codigo_producto': '877', 'nom_producto': 'COMISIÃ“N PAGOS DIGITALES SEGÃšN CONTRATO', 'categoria_producto': 'consu', 'cantidad': '1.0', 'valor_unitario': 1346.2, 'precio_unitario': 1588.52, 'descuento': 0.0, 'subtotal': 1346.2, 'porcentaje_de_igv': '18.00', 'igv': 242.32, 'total': 1588.52, 'moneda': '1', 'tipo_de_cambio': '', 'id_estado': 'not_paid', 'nombre_estado': 'Sin pagar', 'evento': {'id_evento': '', 'nom_evento': '', 'Fecha_hora_ini_event': '', 'Fecha_hora_fin_event': '', 'id_organizador': '', 'nom_organizador': 'NAHOMY TRILCE CHAMORRO TOR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1346.2"/>
    <n v="1588.52"/>
    <n v="0"/>
    <n v="1346.2"/>
    <n v="18"/>
    <n v="242.32"/>
    <n v="1588.52"/>
    <n v="1"/>
    <m/>
    <x v="1"/>
    <x v="1"/>
    <x v="0"/>
    <s v="SAMUEL CHUQUISTA"/>
    <x v="0"/>
    <s v="7012100 MercaderÃ­as-Venta Local-Terceros"/>
    <x v="3"/>
    <x v="22"/>
    <m/>
    <m/>
    <m/>
    <x v="0"/>
    <s v="NAHOMY TRILCE CHAMORRO TORRES"/>
    <m/>
    <x v="229"/>
  </r>
  <r>
    <x v="4"/>
    <x v="203"/>
    <s v="COLABORATIVA S.A.C."/>
    <x v="15"/>
    <d v="2025-10-16T00:00:00"/>
    <x v="53"/>
    <m/>
    <n v="1"/>
    <n v="74630652"/>
    <s v="[{'id_producto': '1', 'codigo_producto': '870', 'nom_producto': 'COMISIÃ“N VAOPE SEGÃšN CONTRATO', 'categoria_producto': 'consu', 'cantidad': '1.0', 'valor_unitario': 824.87, 'precio_unitario': 973.35, 'descuento': 0.0, 'subtotal': 824.87, 'porcentaje_de_igv': '18.00', 'igv': 148.48, 'total': 973.35, 'moneda': '1', 'tipo_de_cambio': '', 'id_estado': 'not_paid', 'nombre_estado': 'Sin pagar', 'evento': {'id_evento': '', 'nom_evento': '', 'Fecha_hora_ini_event': '', 'Fecha_hora_fin_event': '', 'id_organizador': '', 'nom_organizador': 'NAHOMY TRILCE CHAMORRO TOR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824.87"/>
    <n v="973.35"/>
    <n v="0"/>
    <n v="824.87"/>
    <n v="18"/>
    <n v="148.47999999999999"/>
    <n v="973.35"/>
    <n v="1"/>
    <m/>
    <x v="1"/>
    <x v="1"/>
    <x v="0"/>
    <s v="SAMUEL CHUQUISTA"/>
    <x v="0"/>
    <s v="7012100 MercaderÃ­as-Venta Local-Terceros"/>
    <x v="3"/>
    <x v="22"/>
    <m/>
    <m/>
    <m/>
    <x v="0"/>
    <s v="NAHOMY TRILCE CHAMORRO TORRES"/>
    <m/>
    <x v="230"/>
  </r>
  <r>
    <x v="3"/>
    <x v="204"/>
    <s v="COLABORATIVA S.A.C."/>
    <x v="15"/>
    <d v="2025-10-16T00:00:00"/>
    <x v="54"/>
    <m/>
    <n v="6"/>
    <n v="20600937988"/>
    <s v="[{'id_producto': '1', 'codigo_producto': '877', 'nom_producto': 'COMISIÃ“N PAGOS DIGITALES SEGÃšN CONTRATO', 'categoria_producto': 'consu', 'cantidad': '1.0', 'valor_unitario': 274.92, 'precio_unitario': 324.4, 'descuento': 0.0, 'subtotal': 274.92, 'porcentaje_de_igv': '18.00', 'igv': 49.48, 'total': 324.4, 'moneda': '1', 'tipo_de_cambio': '', 'id_estado': 'not_paid', 'nombre_estado': 'Sin pagar', 'evento': {'id_evento': '', 'nom_evento': '', 'Fecha_hora_ini_event': '', 'Fecha_hora_fin_event': '', 'id_organizador': '', 'nom_organizador': 'EMPRESA PROMOTORA DE EVENTOS MAGDA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274.92"/>
    <n v="324.39999999999998"/>
    <n v="0"/>
    <n v="274.92"/>
    <n v="18"/>
    <n v="49.48"/>
    <n v="324.39999999999998"/>
    <n v="1"/>
    <m/>
    <x v="1"/>
    <x v="1"/>
    <x v="0"/>
    <s v="SAMUEL CHUQUISTA"/>
    <x v="0"/>
    <s v="7012100 MercaderÃ­as-Venta Local-Terceros"/>
    <x v="3"/>
    <x v="22"/>
    <m/>
    <m/>
    <m/>
    <x v="0"/>
    <s v="EMPRESA PROMOTORA DE EVENTOS MAGDA PERU S.A.C."/>
    <m/>
    <x v="231"/>
  </r>
  <r>
    <x v="3"/>
    <x v="205"/>
    <s v="COLABORATIVA S.A.C."/>
    <x v="15"/>
    <d v="2025-10-16T00:00:00"/>
    <x v="54"/>
    <m/>
    <n v="6"/>
    <n v="20600937988"/>
    <s v="[{'id_producto': '1', 'codigo_producto': '870', 'nom_producto': 'COMISIÃ“N VAOPE SEGÃšN CONTRATO', 'categoria_producto': 'consu', 'cantidad': '1.0', 'valor_unitario': 159.29, 'precio_unitario': 187.96, 'descuento': 0.0, 'subtotal': 159.29, 'porcentaje_de_igv': '18.00', 'igv': 28.67, 'total': 187.96, 'moneda': '1', 'tipo_de_cambio': '', 'id_estado': 'not_paid', 'nombre_estado': 'Sin pagar', 'evento': {'id_evento': '', 'nom_evento': '', 'Fecha_hora_ini_event': '', 'Fecha_hora_fin_event': '', 'id_organizador': '', 'nom_organizador': 'EMPRESA PROMOTORA DE EVENTOS MAGDA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59.29"/>
    <n v="187.96"/>
    <n v="0"/>
    <n v="159.29"/>
    <n v="18"/>
    <n v="28.67"/>
    <n v="187.96"/>
    <n v="1"/>
    <m/>
    <x v="1"/>
    <x v="1"/>
    <x v="0"/>
    <s v="SAMUEL CHUQUISTA"/>
    <x v="0"/>
    <s v="7012100 MercaderÃ­as-Venta Local-Terceros"/>
    <x v="3"/>
    <x v="22"/>
    <m/>
    <m/>
    <m/>
    <x v="0"/>
    <s v="EMPRESA PROMOTORA DE EVENTOS MAGDA PERU S.A.C."/>
    <m/>
    <x v="232"/>
  </r>
  <r>
    <x v="4"/>
    <x v="206"/>
    <s v="COLABORATIVA S.A.C."/>
    <x v="15"/>
    <d v="2025-10-16T00:00:00"/>
    <x v="55"/>
    <m/>
    <n v="1"/>
    <n v="43374645"/>
    <s v="[{'id_producto': '1', 'codigo_producto': '871', 'nom_producto': 'COMISIÃ“N PAGOS DIGITALES SEGÃšN CONTRATO 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'', 'nom_organizador': 'JOHEL EDWIN RICALDI ARI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26"/>
    <x v="35"/>
    <s v="consu"/>
    <n v="1"/>
    <n v="96.1"/>
    <n v="113.4"/>
    <n v="0"/>
    <n v="96.1"/>
    <n v="18"/>
    <n v="17.3"/>
    <n v="113.4"/>
    <n v="1"/>
    <m/>
    <x v="1"/>
    <x v="1"/>
    <x v="0"/>
    <s v="SAMUEL CHUQUISTA"/>
    <x v="0"/>
    <s v="7012100 MercaderÃ­as-Venta Local-Terceros"/>
    <x v="3"/>
    <x v="22"/>
    <m/>
    <m/>
    <m/>
    <x v="0"/>
    <s v="JOHEL EDWIN RICALDI ARIAS"/>
    <m/>
    <x v="233"/>
  </r>
  <r>
    <x v="4"/>
    <x v="207"/>
    <s v="COLABORATIVA S.A.C."/>
    <x v="15"/>
    <d v="2025-10-16T00:00:00"/>
    <x v="55"/>
    <m/>
    <n v="1"/>
    <n v="43374645"/>
    <s v="[{'id_producto': '1', 'codigo_producto': '870', 'nom_producto': 'COMISIÃ“N VAOPE SEGÃšN CONTRATO', 'categoria_producto': 'consu', 'cantidad': '1.0', 'valor_unitario': 95.97, 'precio_unitario': 113.24, 'descuento': 0.0, 'subtotal': 95.97, 'porcentaje_de_igv': '18.00', 'igv': 17.27, 'total': 113.24, 'moneda': '1', 'tipo_de_cambio': '', 'id_estado': 'not_paid', 'nombre_estado': 'Sin pagar', 'evento': {'id_evento': '', 'nom_evento': '', 'Fecha_hora_ini_event': '', 'Fecha_hora_fin_event': '', 'id_organizador': '', 'nom_organizador': 'JOHEL EDWIN RICALDI ARI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95.97"/>
    <n v="113.24"/>
    <n v="0"/>
    <n v="95.97"/>
    <n v="18"/>
    <n v="17.27"/>
    <n v="113.24"/>
    <n v="1"/>
    <m/>
    <x v="1"/>
    <x v="1"/>
    <x v="0"/>
    <s v="SAMUEL CHUQUISTA"/>
    <x v="0"/>
    <s v="7012100 MercaderÃ­as-Venta Local-Terceros"/>
    <x v="3"/>
    <x v="22"/>
    <m/>
    <m/>
    <m/>
    <x v="0"/>
    <s v="JOHEL EDWIN RICALDI ARIAS"/>
    <m/>
    <x v="234"/>
  </r>
  <r>
    <x v="3"/>
    <x v="208"/>
    <s v="COLABORATIVA S.A.C."/>
    <x v="15"/>
    <d v="2025-10-16T00:00:00"/>
    <x v="56"/>
    <m/>
    <n v="6"/>
    <n v="20526252200"/>
    <s v="[{'id_producto': '1', 'codigo_producto': '877', 'nom_producto': 'COMISIÃ“N PAGOS DIGITALES SEGÃšN CONTRATO', 'categoria_producto': 'consu', 'cantidad': '1.0', 'valor_unitario': 967.12, 'precio_unitario': 1141.2, 'descuento': 0.0, 'subtotal': 967.12, 'porcentaje_de_igv': '18.00', 'igv': 174.08, 'total': 1141.2, 'moneda': '1', 'tipo_de_cambio': '', 'id_estado': 'not_paid', 'nombre_estado': 'Sin pagar', 'evento': {'id_evento': '', 'nom_evento': '', 'Fecha_hora_ini_event': '', 'Fecha_hora_fin_event': '', 'id_organizador': '', 'nom_organizador': '3A BUSINESS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967.12"/>
    <n v="1141.2"/>
    <n v="0"/>
    <n v="967.12"/>
    <n v="18"/>
    <n v="174.08"/>
    <n v="1141.2"/>
    <n v="1"/>
    <m/>
    <x v="1"/>
    <x v="1"/>
    <x v="0"/>
    <s v="SAMUEL CHUQUISTA"/>
    <x v="0"/>
    <s v="7012100 MercaderÃ­as-Venta Local-Terceros"/>
    <x v="3"/>
    <x v="22"/>
    <m/>
    <m/>
    <m/>
    <x v="0"/>
    <s v="3A BUSINESS EMPRESA INDIVIDUAL DE RESPONSABILIDAD LIMITADA"/>
    <m/>
    <x v="235"/>
  </r>
  <r>
    <x v="3"/>
    <x v="209"/>
    <s v="COLABORATIVA S.A.C."/>
    <x v="15"/>
    <d v="2025-10-16T00:00:00"/>
    <x v="56"/>
    <m/>
    <n v="6"/>
    <n v="20526252200"/>
    <s v="[{'id_producto': '1', 'codigo_producto': '870', 'nom_producto': 'COMISIÃ“N VAOPE SEGÃšN CONTRATO', 'categoria_producto': 'consu', 'cantidad': '1.0', 'valor_unitario': 777.2, 'precio_unitario': 917.1, 'descuento': 0.0, 'subtotal': 777.2, 'porcentaje_de_igv': '18.00', 'igv': 139.9, 'total': 917.1, 'moneda': '1', 'tipo_de_cambio': '', 'id_estado': 'not_paid', 'nombre_estado': 'Sin pagar', 'evento': {'id_evento': '', 'nom_evento': '', 'Fecha_hora_ini_event': '', 'Fecha_hora_fin_event': '', 'id_organizador': '', 'nom_organizador': '3A BUSINESS EMPRESA INDIVIDUAL DE RESPONSABILIDAD LIMIT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777.2"/>
    <n v="917.1"/>
    <n v="0"/>
    <n v="777.2"/>
    <n v="18"/>
    <n v="139.9"/>
    <n v="917.1"/>
    <n v="1"/>
    <m/>
    <x v="1"/>
    <x v="1"/>
    <x v="0"/>
    <s v="SAMUEL CHUQUISTA"/>
    <x v="0"/>
    <s v="7012100 MercaderÃ­as-Venta Local-Terceros"/>
    <x v="3"/>
    <x v="22"/>
    <m/>
    <m/>
    <m/>
    <x v="0"/>
    <s v="3A BUSINESS EMPRESA INDIVIDUAL DE RESPONSABILIDAD LIMITADA"/>
    <m/>
    <x v="236"/>
  </r>
  <r>
    <x v="3"/>
    <x v="210"/>
    <s v="COLABORATIVA S.A.C."/>
    <x v="15"/>
    <d v="2025-10-16T00:00:00"/>
    <x v="57"/>
    <m/>
    <n v="6"/>
    <n v="20611616261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JC SAN MARTIN EN SU SALS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0"/>
    <s v="JC SAN MARTIN EN SU SALSA E.I.R.L."/>
    <m/>
    <x v="237"/>
  </r>
  <r>
    <x v="3"/>
    <x v="211"/>
    <s v="COLABORATIVA S.A.C."/>
    <x v="15"/>
    <d v="2025-10-16T00:00:00"/>
    <x v="57"/>
    <m/>
    <n v="6"/>
    <n v="20611616261"/>
    <s v="[{'id_producto': '1', 'codigo_producto': '877', 'nom_producto': 'COMISIÃ“N PAGOS DIGITALES SEGÃšN CONTRATO', 'categoria_producto': 'consu', 'cantidad': '1.0', 'valor_unitario': 276.53, 'precio_unitario': 326.3, 'descuento': 0.0, 'subtotal': 276.53, 'porcentaje_de_igv': '18.00', 'igv': 49.77, 'total': 326.3, 'moneda': '1', 'tipo_de_cambio': '', 'id_estado': 'not_paid', 'nombre_estado': 'Sin pagar', 'evento': {'id_evento': '', 'nom_evento': '', 'Fecha_hora_ini_event': '', 'Fecha_hora_fin_event': '', 'id_organizador': '', 'nom_organizador': 'JC SAN MARTIN EN SU SALS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276.52999999999997"/>
    <n v="326.3"/>
    <n v="0"/>
    <n v="276.52999999999997"/>
    <n v="18"/>
    <n v="49.77"/>
    <n v="326.3"/>
    <n v="1"/>
    <m/>
    <x v="1"/>
    <x v="1"/>
    <x v="0"/>
    <s v="SAMUEL CHUQUISTA"/>
    <x v="0"/>
    <s v="7012100 MercaderÃ­as-Venta Local-Terceros"/>
    <x v="3"/>
    <x v="22"/>
    <m/>
    <m/>
    <m/>
    <x v="0"/>
    <s v="JC SAN MARTIN EN SU SALSA E.I.R.L."/>
    <m/>
    <x v="238"/>
  </r>
  <r>
    <x v="3"/>
    <x v="212"/>
    <s v="COLABORATIVA S.A.C."/>
    <x v="15"/>
    <d v="2025-10-16T00:00:00"/>
    <x v="57"/>
    <m/>
    <n v="6"/>
    <n v="20611616261"/>
    <s v="[{'id_producto': '1', 'codigo_producto': '870', 'nom_producto': 'COMISIÃ“N VAOPE SEGÃšN CONTRATO', 'categoria_producto': 'consu', 'cantidad': '1.0', 'valor_unitario': 177.63, 'precio_unitario': 209.6, 'descuento': 0.0, 'subtotal': 177.63, 'porcentaje_de_igv': '18.00', 'igv': 31.97, 'total': 209.6, 'moneda': '1', 'tipo_de_cambio': '', 'id_estado': 'not_paid', 'nombre_estado': 'Sin pagar', 'evento': {'id_evento': '', 'nom_evento': '', 'Fecha_hora_ini_event': '', 'Fecha_hora_fin_event': '', 'id_organizador': '', 'nom_organizador': 'JC SAN MARTIN EN SU SALSA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77.63"/>
    <n v="209.6"/>
    <n v="0"/>
    <n v="177.63"/>
    <n v="18"/>
    <n v="31.97"/>
    <n v="209.6"/>
    <n v="1"/>
    <m/>
    <x v="1"/>
    <x v="1"/>
    <x v="0"/>
    <s v="SAMUEL CHUQUISTA"/>
    <x v="0"/>
    <s v="7012100 MercaderÃ­as-Venta Local-Terceros"/>
    <x v="3"/>
    <x v="22"/>
    <m/>
    <m/>
    <m/>
    <x v="0"/>
    <s v="JC SAN MARTIN EN SU SALSA E.I.R.L."/>
    <m/>
    <x v="239"/>
  </r>
  <r>
    <x v="2"/>
    <x v="213"/>
    <s v="COLABORATIVA S.A.C."/>
    <x v="15"/>
    <d v="2025-10-16T00:00:00"/>
    <x v="16"/>
    <m/>
    <n v="6"/>
    <n v="20611066971"/>
    <s v="[{'id_producto': '1', 'codigo_producto': '946', 'nom_producto': 'ENTRADAS IMPRESAS FULL COLOR GENERALARMONIA 10 EN YAPATERA 22 DE ENE Y HUAMACHUCO 25 DE ENE, BRAZALETES VIP Y PERSONAL DELIVERY', 'categoria_producto': 'consu', 'cantidad': '1.0', 'valor_unitario': 2080.0, 'precio_unitario': 2454.4, 'descuento': 0.0, 'subtotal': 2080.0, 'porcentaje_de_igv': '18.00', 'igv': 374.4, 'total': 2454.4, 'moneda': '1', 'tipo_de_cambio': '', 'id_estado': 'not_paid', 'nombre_estado': 'Sin pagar', 'evento': {'id_evento': '', 'nom_evento': '', 'Fecha_hora_ini_event': '', 'Fecha_hora_fin_event': '', 'id_organizador': '', 'nom_organizador': 'PERUVIAN PRODUCTIONS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"/>
    <x v="66"/>
    <x v="74"/>
    <s v="consu"/>
    <n v="1"/>
    <n v="2080"/>
    <n v="2454.4"/>
    <n v="0"/>
    <n v="2080"/>
    <n v="18"/>
    <n v="374.4"/>
    <n v="2454.4"/>
    <n v="1"/>
    <m/>
    <x v="1"/>
    <x v="1"/>
    <x v="0"/>
    <s v="SAMUEL CHUQUISTA"/>
    <x v="0"/>
    <s v="7012100 MercaderÃ­as-Venta Local-Terceros"/>
    <x v="2"/>
    <x v="22"/>
    <m/>
    <m/>
    <m/>
    <x v="0"/>
    <s v="PERUVIAN PRODUCTIONS SOCIEDAD ANONIMA CERRADA"/>
    <m/>
    <x v="240"/>
  </r>
  <r>
    <x v="2"/>
    <x v="214"/>
    <s v="COLABORATIVA S.A.C."/>
    <x v="16"/>
    <d v="2025-10-16T00:00:00"/>
    <x v="14"/>
    <m/>
    <n v="6"/>
    <n v="20611018925"/>
    <s v="[{'id_producto': '1', 'codigo_producto': '945', 'nom_producto': 'ENTRADAS IMPRESAS FULL COLOR GENERAL -CORAZÃ“N SERRANO CHANCAY - 26/01, BRAZALETES VIP Y PERSONAL DELIVERY 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7T00:00:00"/>
    <m/>
    <m/>
    <m/>
    <m/>
    <m/>
    <n v="1"/>
    <x v="67"/>
    <x v="75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241"/>
  </r>
  <r>
    <x v="2"/>
    <x v="215"/>
    <s v="COLABORATIVA S.A.C."/>
    <x v="17"/>
    <d v="2025-10-16T00:00:00"/>
    <x v="14"/>
    <m/>
    <n v="6"/>
    <n v="20611018925"/>
    <s v="[{'id_producto': '1', 'codigo_producto': '944', 'nom_producto': 'ENTRADAS IMPRESAS FULL COLOR GENERAL -CORAZÃ“N SERRANO YAPATERA - 24/01 Y PERSONAL DELIVERY', 'categoria_producto': 'consu', 'cantidad': '1.0', 'valor_unitario': 910.0, 'precio_unitario': 1073.8, 'descuento': 0.0, 'subtotal': 910.0, 'porcentaje_de_igv': '18.00', 'igv': 163.8, 'total': 1073.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68"/>
    <x v="76"/>
    <s v="consu"/>
    <n v="1"/>
    <n v="910"/>
    <n v="1073.8"/>
    <n v="0"/>
    <n v="910"/>
    <n v="18"/>
    <n v="163.80000000000001"/>
    <n v="1073.8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242"/>
  </r>
  <r>
    <x v="4"/>
    <x v="216"/>
    <s v="COLABORATIVA S.A.C."/>
    <x v="17"/>
    <d v="2025-10-16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1181.29, 'precio_unitario': 1393.92, 'descuento': 0.0, 'subtotal': 1181.29, 'porcentaje_de_igv': '18.00', 'igv': 212.63, 'total': 1393.92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7"/>
    <x v="26"/>
    <s v="consu"/>
    <n v="1"/>
    <n v="1181.29"/>
    <n v="1393.92"/>
    <n v="0"/>
    <n v="1181.29"/>
    <n v="18"/>
    <n v="212.63"/>
    <n v="1393.92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243"/>
  </r>
  <r>
    <x v="4"/>
    <x v="217"/>
    <s v="COLABORATIVA S.A.C."/>
    <x v="17"/>
    <d v="2025-10-16T00:00:00"/>
    <x v="21"/>
    <m/>
    <n v="1"/>
    <n v="19941551"/>
    <s v="[{'id_producto': '1', 'codigo_producto': '939', 'nom_producto': 'COMISIÃ“N VAOPE SEGUN CONTRATO - EULALIA PEREZ', 'categoria_producto': 'consu', 'cantidad': '1.0', 'valor_unitario': 1028.46, 'precio_unitario': 1213.58, 'descuento': 0.0, 'subtotal': 1028.46, 'porcentaje_de_igv': '18.00', 'igv': 185.12, 'total': 1213.58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69"/>
    <x v="77"/>
    <s v="consu"/>
    <n v="1"/>
    <n v="1028.46"/>
    <n v="1213.58"/>
    <n v="0"/>
    <n v="1028.46"/>
    <n v="18"/>
    <n v="185.12"/>
    <n v="1213.58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244"/>
  </r>
  <r>
    <x v="4"/>
    <x v="218"/>
    <s v="COLABORATIVA S.A.C."/>
    <x v="17"/>
    <d v="2025-10-16T00:00:00"/>
    <x v="22"/>
    <m/>
    <n v="1"/>
    <n v="19889371"/>
    <s v="[{'id_producto': '1', 'codigo_producto': '942', 'nom_producto': 'COMISIÃ“N PAGOS DIGITALES SEGUN CONTRATO - JULIO MACH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0"/>
    <x v="78"/>
    <s v="consu"/>
    <n v="1"/>
    <n v="602.70000000000005"/>
    <n v="711.19"/>
    <n v="0"/>
    <n v="602.70000000000005"/>
    <n v="18"/>
    <n v="108.49"/>
    <n v="711.19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245"/>
  </r>
  <r>
    <x v="4"/>
    <x v="219"/>
    <s v="COLABORATIVA S.A.C."/>
    <x v="17"/>
    <d v="2025-10-16T00:00:00"/>
    <x v="22"/>
    <m/>
    <n v="1"/>
    <n v="19889371"/>
    <s v="[{'id_producto': '1', 'codigo_producto': '937', 'nom_producto': 'COMISIÃ“N VAOPE SEGUN CONTRATO - JULIO MACH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1"/>
    <x v="30"/>
    <s v="consu"/>
    <n v="1"/>
    <n v="524.72"/>
    <n v="619.16999999999996"/>
    <n v="0"/>
    <n v="524.72"/>
    <n v="18"/>
    <n v="94.45"/>
    <n v="619.16999999999996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246"/>
  </r>
  <r>
    <x v="4"/>
    <x v="220"/>
    <s v="COLABORATIVA S.A.C."/>
    <x v="17"/>
    <d v="2025-10-16T00:00:00"/>
    <x v="23"/>
    <m/>
    <n v="1"/>
    <n v="76561182"/>
    <s v="[{'id_producto': '1', 'codigo_producto': '936', 'nom_producto': 'COMISIÃ“N PAGOS DIGITALES SEGUN CONTRATO - YARIT ALANY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3"/>
    <x v="32"/>
    <s v="consu"/>
    <n v="1"/>
    <n v="602.70000000000005"/>
    <n v="711.19"/>
    <n v="0"/>
    <n v="602.70000000000005"/>
    <n v="18"/>
    <n v="108.49"/>
    <n v="711.19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247"/>
  </r>
  <r>
    <x v="4"/>
    <x v="221"/>
    <s v="COLABORATIVA S.A.C."/>
    <x v="17"/>
    <d v="2025-10-16T00:00:00"/>
    <x v="23"/>
    <m/>
    <n v="1"/>
    <n v="76561182"/>
    <s v="[{'id_producto': '1', 'codigo_producto': '935', 'nom_producto': 'COMISIÃ“N VAOPE SEGUN CONTRATO - YARIT ALANY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4"/>
    <x v="33"/>
    <s v="consu"/>
    <n v="1"/>
    <n v="524.72"/>
    <n v="619.16999999999996"/>
    <n v="0"/>
    <n v="524.72"/>
    <n v="18"/>
    <n v="94.45"/>
    <n v="619.16999999999996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248"/>
  </r>
  <r>
    <x v="4"/>
    <x v="222"/>
    <s v="COLABORATIVA S.A.C."/>
    <x v="17"/>
    <d v="2025-10-16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24.11, 'precio_unitario': 28.45, 'descuento': 0.0, 'subtotal': 24.11, 'porcentaje_de_igv': '18.00', 'igv': 4.34, 'total': 28.45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0"/>
    <x v="39"/>
    <s v="consu"/>
    <n v="1"/>
    <n v="24.11"/>
    <n v="28.45"/>
    <n v="0"/>
    <n v="24.11"/>
    <n v="18"/>
    <n v="4.34"/>
    <n v="28.45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249"/>
  </r>
  <r>
    <x v="4"/>
    <x v="223"/>
    <s v="COLABORATIVA S.A.C."/>
    <x v="17"/>
    <d v="2025-10-16T00:00:00"/>
    <x v="29"/>
    <s v="Cliente"/>
    <n v="1"/>
    <n v="73241854"/>
    <s v="[{'id_producto': '1', 'codigo_producto': '943', 'nom_producto': 'COMISIÃ“N VAOPE SEGUN CONTRATO - PIERO MACHA ', 'categoria_producto': 'consu', 'cantidad': '1.0', 'valor_unitario': 20.99, 'precio_unitario': 24.77, 'descuento': 0.0, 'subtotal': 20.99, 'porcentaje_de_igv': '18.01', 'igv': 3.78, 'total': 24.77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1"/>
    <x v="79"/>
    <s v="consu"/>
    <n v="1"/>
    <n v="20.99"/>
    <n v="24.77"/>
    <n v="0"/>
    <n v="20.99"/>
    <n v="18.010000000000002"/>
    <n v="3.78"/>
    <n v="24.77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250"/>
  </r>
  <r>
    <x v="4"/>
    <x v="224"/>
    <s v="COLABORATIVA S.A.C."/>
    <x v="17"/>
    <d v="2025-10-16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1029.36, 'precio_unitario': 1214.64, 'descuento': 0.0, 'subtotal': 1029.36, 'porcentaje_de_igv': '18.00', 'igv': 185.28, 'total': 1214.64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7"/>
    <x v="26"/>
    <s v="consu"/>
    <n v="1"/>
    <n v="1029.3599999999999"/>
    <n v="1214.6400000000001"/>
    <n v="0"/>
    <n v="1029.3599999999999"/>
    <n v="18"/>
    <n v="185.28"/>
    <n v="1214.6400000000001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251"/>
  </r>
  <r>
    <x v="4"/>
    <x v="225"/>
    <s v="COLABORATIVA S.A.C."/>
    <x v="17"/>
    <d v="2025-10-16T00:00:00"/>
    <x v="21"/>
    <m/>
    <n v="1"/>
    <n v="19941551"/>
    <s v="[{'id_producto': '1', 'codigo_producto': '939', 'nom_producto': 'COMISIÃ“N VAOPE SEGUN CONTRATO - EULALIA PEREZ', 'categoria_producto': 'consu', 'cantidad': '1.0', 'valor_unitario': 886.52, 'precio_unitario': 1046.09, 'descuento': 0.0, 'subtotal': 886.52, 'porcentaje_de_igv': '18.00', 'igv': 159.57, 'total': 1046.09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69"/>
    <x v="77"/>
    <s v="consu"/>
    <n v="1"/>
    <n v="886.52"/>
    <n v="1046.0899999999999"/>
    <n v="0"/>
    <n v="886.52"/>
    <n v="18"/>
    <n v="159.57"/>
    <n v="1046.0899999999999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252"/>
  </r>
  <r>
    <x v="4"/>
    <x v="226"/>
    <s v="COLABORATIVA S.A.C."/>
    <x v="17"/>
    <d v="2025-10-16T00:00:00"/>
    <x v="22"/>
    <m/>
    <n v="1"/>
    <n v="19889371"/>
    <s v="[{'id_producto': '1', 'codigo_producto': '942', 'nom_producto': 'COMISIÃ“N PAGOS DIGITALES SEGUN CONTRATO - JULIO MACHA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0"/>
    <x v="78"/>
    <s v="consu"/>
    <n v="1"/>
    <n v="525.17999999999995"/>
    <n v="619.71"/>
    <n v="0"/>
    <n v="525.17999999999995"/>
    <n v="18"/>
    <n v="94.53"/>
    <n v="619.71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253"/>
  </r>
  <r>
    <x v="4"/>
    <x v="227"/>
    <s v="COLABORATIVA S.A.C."/>
    <x v="17"/>
    <d v="2025-10-16T00:00:00"/>
    <x v="22"/>
    <m/>
    <n v="1"/>
    <n v="19889371"/>
    <s v="[{'id_producto': '1', 'codigo_producto': '937', 'nom_producto': 'COMISIÃ“N VAOPE SEGUN CONTRATO - JULIO MACH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1"/>
    <x v="30"/>
    <s v="consu"/>
    <n v="1"/>
    <n v="452.31"/>
    <n v="533.72"/>
    <n v="0"/>
    <n v="452.31"/>
    <n v="18"/>
    <n v="81.41"/>
    <n v="533.72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254"/>
  </r>
  <r>
    <x v="4"/>
    <x v="228"/>
    <s v="COLABORATIVA S.A.C."/>
    <x v="17"/>
    <d v="2025-10-16T00:00:00"/>
    <x v="23"/>
    <m/>
    <n v="1"/>
    <n v="76561182"/>
    <s v="[{'id_producto': '1', 'codigo_producto': '941', 'nom_producto': 'COMISIÃ“N PAGOS DIGITALES SEGUN CONTRATO - YARIT ALANYA 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2"/>
    <x v="80"/>
    <s v="consu"/>
    <n v="1"/>
    <n v="525.17999999999995"/>
    <n v="619.71"/>
    <n v="0"/>
    <n v="525.17999999999995"/>
    <n v="18"/>
    <n v="94.53"/>
    <n v="619.71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255"/>
  </r>
  <r>
    <x v="4"/>
    <x v="229"/>
    <s v="COLABORATIVA S.A.C."/>
    <x v="17"/>
    <d v="2025-10-16T00:00:00"/>
    <x v="23"/>
    <m/>
    <n v="1"/>
    <n v="76561182"/>
    <s v="[{'id_producto': '1', 'codigo_producto': '935', 'nom_producto': 'COMISIÃ“N VAOPE SEGUN CONTRATO - YARIT ALANY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4"/>
    <x v="33"/>
    <s v="consu"/>
    <n v="1"/>
    <n v="452.31"/>
    <n v="533.72"/>
    <n v="0"/>
    <n v="452.31"/>
    <n v="18"/>
    <n v="81.41"/>
    <n v="533.72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256"/>
  </r>
  <r>
    <x v="4"/>
    <x v="230"/>
    <s v="COLABORATIVA S.A.C."/>
    <x v="17"/>
    <d v="2025-10-16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21.01, 'precio_unitario': 24.79, 'descuento': 0.0, 'subtotal': 21.01, 'porcentaje_de_igv': '17.99', 'igv': 3.78, 'total': 24.79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0"/>
    <x v="39"/>
    <s v="consu"/>
    <n v="1"/>
    <n v="21.01"/>
    <n v="24.79"/>
    <n v="0"/>
    <n v="21.01"/>
    <n v="17.989999999999998"/>
    <n v="3.78"/>
    <n v="24.79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257"/>
  </r>
  <r>
    <x v="4"/>
    <x v="231"/>
    <s v="COLABORATIVA S.A.C."/>
    <x v="17"/>
    <d v="2025-10-16T00:00:00"/>
    <x v="29"/>
    <s v="Cliente"/>
    <n v="1"/>
    <n v="73241854"/>
    <s v="[{'id_producto': '1', 'codigo_producto': '933', 'nom_producto': 'COMISIÃ“N VAOPE SEGUN CONTRATO - PIERO MACHA', 'categoria_producto': 'consu', 'cantidad': '1.0', 'valor_unitario': 18.09, 'precio_unitario': 21.35, 'descuento': 0.0, 'subtotal': 18.09, 'porcentaje_de_igv': '18.02', 'igv': 3.26, 'total': 21.35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1"/>
    <x v="40"/>
    <s v="consu"/>
    <n v="1"/>
    <n v="18.09"/>
    <n v="21.35"/>
    <n v="0"/>
    <n v="18.09"/>
    <n v="18.02"/>
    <n v="3.26"/>
    <n v="21.35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258"/>
  </r>
  <r>
    <x v="4"/>
    <x v="232"/>
    <s v="COLABORATIVA S.A.C."/>
    <x v="17"/>
    <d v="2025-10-16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293.38, 'precio_unitario': 346.19, 'descuento': 0.0, 'subtotal': 293.38, 'porcentaje_de_igv': '18.00', 'igv': 52.81, 'total': 346.19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7"/>
    <x v="26"/>
    <s v="consu"/>
    <n v="1"/>
    <n v="293.38"/>
    <n v="346.19"/>
    <n v="0"/>
    <n v="293.38"/>
    <n v="18"/>
    <n v="52.81"/>
    <n v="346.19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259"/>
  </r>
  <r>
    <x v="4"/>
    <x v="233"/>
    <s v="COLABORATIVA S.A.C."/>
    <x v="17"/>
    <d v="2025-10-16T00:00:00"/>
    <x v="21"/>
    <m/>
    <n v="1"/>
    <n v="19941551"/>
    <s v="[{'id_producto': '1', 'codigo_producto': '939', 'nom_producto': 'COMISIÃ“N VAOPE SEGUN CONTRATO - EULALIA PEREZ', 'categoria_producto': 'consu', 'cantidad': '1.0', 'valor_unitario': 248.53, 'precio_unitario': 293.26, 'descuento': 0.0, 'subtotal': 248.53, 'porcentaje_de_igv': '18.00', 'igv': 44.73, 'total': 293.26, 'moneda': '1', 'tipo_de_cambio': '', 'id_estado': 'not_paid', 'nombre_estado': 'Sin pagar', 'evento': {'id_evento': '', 'nom_evento': '', 'Fecha_hora_ini_event': '', 'Fecha_hora_fin_event': '', 'id_organizador': '', 'nom_organizador': 'EULALIA GAUDENCIA PEREZ CARHUAMAC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69"/>
    <x v="77"/>
    <s v="consu"/>
    <n v="1"/>
    <n v="248.53"/>
    <n v="293.26"/>
    <n v="0"/>
    <n v="248.53"/>
    <n v="18"/>
    <n v="44.73"/>
    <n v="293.26"/>
    <n v="1"/>
    <m/>
    <x v="1"/>
    <x v="1"/>
    <x v="0"/>
    <s v="SAMUEL CHUQUISTA"/>
    <x v="0"/>
    <s v="7012100 MercaderÃ­as-Venta Local-Terceros"/>
    <x v="3"/>
    <x v="22"/>
    <m/>
    <m/>
    <m/>
    <x v="0"/>
    <s v="EULALIA GAUDENCIA PEREZ CARHUAMACA"/>
    <m/>
    <x v="260"/>
  </r>
  <r>
    <x v="4"/>
    <x v="234"/>
    <s v="COLABORATIVA S.A.C."/>
    <x v="17"/>
    <d v="2025-10-16T00:00:00"/>
    <x v="22"/>
    <m/>
    <n v="1"/>
    <n v="19889371"/>
    <s v="[{'id_producto': '1', 'codigo_producto': '938', 'nom_producto': 'COMISIÃ“N PAGOS DIGITALES SEGUN CONTRATO - JULIO MACHA 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0"/>
    <x v="29"/>
    <s v="consu"/>
    <n v="1"/>
    <n v="149.69"/>
    <n v="176.63"/>
    <n v="0"/>
    <n v="149.69"/>
    <n v="18"/>
    <n v="26.94"/>
    <n v="176.63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261"/>
  </r>
  <r>
    <x v="4"/>
    <x v="235"/>
    <s v="COLABORATIVA S.A.C."/>
    <x v="17"/>
    <d v="2025-10-16T00:00:00"/>
    <x v="22"/>
    <m/>
    <n v="1"/>
    <n v="19889371"/>
    <s v="[{'id_producto': '1', 'codigo_producto': '937', 'nom_producto': 'COMISIÃ“N VAOPE SEGUN CONTRATO - JULIO MACH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'', 'nom_organizador': 'JULIO MACHA MUNIV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1"/>
    <x v="30"/>
    <s v="consu"/>
    <n v="1"/>
    <n v="126.8"/>
    <n v="149.62"/>
    <n v="0"/>
    <n v="126.8"/>
    <n v="18"/>
    <n v="22.82"/>
    <n v="149.62"/>
    <n v="1"/>
    <m/>
    <x v="1"/>
    <x v="1"/>
    <x v="0"/>
    <s v="SAMUEL CHUQUISTA"/>
    <x v="0"/>
    <s v="7012100 MercaderÃ­as-Venta Local-Terceros"/>
    <x v="3"/>
    <x v="22"/>
    <m/>
    <m/>
    <m/>
    <x v="0"/>
    <s v="JULIO MACHA MUNIVE"/>
    <m/>
    <x v="262"/>
  </r>
  <r>
    <x v="4"/>
    <x v="236"/>
    <s v="COLABORATIVA S.A.C."/>
    <x v="17"/>
    <d v="2025-10-16T00:00:00"/>
    <x v="23"/>
    <m/>
    <n v="1"/>
    <n v="76561182"/>
    <s v="[{'id_producto': '1', 'codigo_producto': '936', 'nom_producto': 'COMISIÃ“N PAGOS DIGITALES SEGUN CONTRATO - YARIT ALANYA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3"/>
    <x v="32"/>
    <s v="consu"/>
    <n v="1"/>
    <n v="149.69"/>
    <n v="176.63"/>
    <n v="0"/>
    <n v="149.69"/>
    <n v="18"/>
    <n v="26.94"/>
    <n v="176.63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263"/>
  </r>
  <r>
    <x v="4"/>
    <x v="237"/>
    <s v="COLABORATIVA S.A.C."/>
    <x v="17"/>
    <d v="2025-10-16T00:00:00"/>
    <x v="23"/>
    <m/>
    <n v="1"/>
    <n v="76561182"/>
    <s v="[{'id_producto': '1', 'codigo_producto': '935', 'nom_producto': 'COMISIÃ“N VAOPE SEGUN CONTRATO - YARIT ALANY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'', 'nom_organizador': 'YARIT ZARI ALANY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4"/>
    <x v="33"/>
    <s v="consu"/>
    <n v="1"/>
    <n v="126.8"/>
    <n v="149.62"/>
    <n v="0"/>
    <n v="126.8"/>
    <n v="18"/>
    <n v="22.82"/>
    <n v="149.62"/>
    <n v="1"/>
    <m/>
    <x v="1"/>
    <x v="1"/>
    <x v="0"/>
    <s v="SAMUEL CHUQUISTA"/>
    <x v="0"/>
    <s v="7012100 MercaderÃ­as-Venta Local-Terceros"/>
    <x v="3"/>
    <x v="22"/>
    <m/>
    <m/>
    <m/>
    <x v="0"/>
    <s v="YARIT ZARI ALANYA PEREZ"/>
    <m/>
    <x v="264"/>
  </r>
  <r>
    <x v="4"/>
    <x v="238"/>
    <s v="COLABORATIVA S.A.C."/>
    <x v="17"/>
    <d v="2025-10-16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5.99, 'precio_unitario': 7.07, 'descuento': 0.0, 'subtotal': 5.99, 'porcentaje_de_igv': '18.03', 'igv': 1.08, 'total': 7.07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0"/>
    <x v="39"/>
    <s v="consu"/>
    <n v="1"/>
    <n v="5.99"/>
    <n v="7.07"/>
    <n v="0"/>
    <n v="5.99"/>
    <n v="18.03"/>
    <n v="1.08"/>
    <n v="7.07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265"/>
  </r>
  <r>
    <x v="4"/>
    <x v="239"/>
    <s v="COLABORATIVA S.A.C."/>
    <x v="17"/>
    <d v="2025-10-16T00:00:00"/>
    <x v="29"/>
    <s v="Cliente"/>
    <n v="1"/>
    <n v="73241854"/>
    <s v="[{'id_producto': '1', 'codigo_producto': '933', 'nom_producto': 'COMISIÃ“N VAOPE SEGUN CONTRATO - PIERO MACHA', 'categoria_producto': 'consu', 'cantidad': '1.0', 'valor_unitario': 5.07, 'precio_unitario': 5.98, 'descuento': 0.0, 'subtotal': 5.07, 'porcentaje_de_igv': '17.95', 'igv': 0.91, 'total': 5.98, 'moneda': '1', 'tipo_de_cambio': '', 'id_estado': 'not_paid', 'nombre_estado': 'Sin pagar', 'evento': {'id_evento': '', 'nom_evento': '', 'Fecha_hora_ini_event': '', 'Fecha_hora_fin_event': '', 'id_organizador': '', 'nom_organizador': 'Piero Macha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1"/>
    <x v="40"/>
    <s v="consu"/>
    <n v="1"/>
    <n v="5.07"/>
    <n v="5.98"/>
    <n v="0"/>
    <n v="5.07"/>
    <n v="17.95"/>
    <n v="0.91"/>
    <n v="5.98"/>
    <n v="1"/>
    <m/>
    <x v="1"/>
    <x v="1"/>
    <x v="0"/>
    <s v="SAMUEL CHUQUISTA"/>
    <x v="0"/>
    <s v="7012100 MercaderÃ­as-Venta Local-Terceros"/>
    <x v="3"/>
    <x v="22"/>
    <m/>
    <m/>
    <m/>
    <x v="0"/>
    <s v="Piero Macha Perez"/>
    <m/>
    <x v="266"/>
  </r>
  <r>
    <x v="3"/>
    <x v="240"/>
    <s v="COLABORATIVA S.A.C."/>
    <x v="17"/>
    <d v="2025-10-16T00:00:00"/>
    <x v="58"/>
    <m/>
    <n v="6"/>
    <n v="20612849251"/>
    <s v="[{'id_producto': '1', 'codigo_producto': '874', 'nom_producto': 'COMISION CORTESIA', 'categoria_producto': 'consu', 'cantidad': '1.0', 'valor_unitario': 25.35, 'precio_unitario': 29.91, 'descuento': 0.0, 'subtotal': 25.35, 'porcentaje_de_igv': '17.99', 'igv': 4.56, 'total': 29.91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25.35"/>
    <n v="29.91"/>
    <n v="0"/>
    <n v="25.35"/>
    <n v="17.989999999999998"/>
    <n v="4.5599999999999996"/>
    <n v="29.91"/>
    <n v="1"/>
    <m/>
    <x v="1"/>
    <x v="1"/>
    <x v="0"/>
    <s v="SAMUEL CHUQUISTA"/>
    <x v="0"/>
    <s v="7012100 MercaderÃ­as-Venta Local-Terceros"/>
    <x v="3"/>
    <x v="22"/>
    <m/>
    <m/>
    <m/>
    <x v="0"/>
    <s v="JESSMIR PRODUCCIONES S.A.C."/>
    <m/>
    <x v="267"/>
  </r>
  <r>
    <x v="3"/>
    <x v="241"/>
    <s v="COLABORATIVA S.A.C."/>
    <x v="17"/>
    <d v="2025-10-16T00:00:00"/>
    <x v="58"/>
    <m/>
    <n v="6"/>
    <n v="20612849251"/>
    <s v="[{'id_producto': '1', 'codigo_producto': '932', 'nom_producto': 'FEE ADMINISTRATIVO - Fee por adelanto a agua marina 2 (Inc IGV) 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23T00:00:00"/>
    <m/>
    <m/>
    <m/>
    <m/>
    <m/>
    <n v="1"/>
    <x v="73"/>
    <x v="8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0"/>
    <s v="JESSMIR PRODUCCIONES S.A.C."/>
    <m/>
    <x v="268"/>
  </r>
  <r>
    <x v="3"/>
    <x v="242"/>
    <s v="COLABORATIVA S.A.C."/>
    <x v="17"/>
    <d v="2025-10-16T00:00:00"/>
    <x v="58"/>
    <m/>
    <n v="6"/>
    <n v="20612849251"/>
    <s v="[{'id_producto': '1', 'codigo_producto': '931', 'nom_producto': 'FEE ADMINISTRATIVO - Fee por adelanto a agua marina (Inc IGV)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23T00:00:00"/>
    <m/>
    <m/>
    <m/>
    <m/>
    <m/>
    <n v="1"/>
    <x v="74"/>
    <x v="82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0"/>
    <s v="JESSMIR PRODUCCIONES S.A.C."/>
    <m/>
    <x v="269"/>
  </r>
  <r>
    <x v="3"/>
    <x v="243"/>
    <s v="COLABORATIVA S.A.C."/>
    <x v="17"/>
    <d v="2025-10-16T00:00:00"/>
    <x v="58"/>
    <m/>
    <n v="6"/>
    <n v="20612849251"/>
    <s v="[{'id_producto': '1', 'codigo_producto': '877', 'nom_producto': 'COMISIÃ“N PAGOS DIGITALES SEGÃšN CONTRATO', 'categoria_producto': 'consu', 'cantidad': '1.0', 'valor_unitario': 6508.39, 'precio_unitario': 7679.9, 'descuento': 0.0, 'subtotal': 6508.39, 'porcentaje_de_igv': '18.00', 'igv': 1171.51, 'total': 7679.9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6508.39"/>
    <n v="7679.9"/>
    <n v="0"/>
    <n v="6508.39"/>
    <n v="18"/>
    <n v="1171.51"/>
    <n v="7679.9"/>
    <n v="1"/>
    <m/>
    <x v="1"/>
    <x v="1"/>
    <x v="0"/>
    <s v="SAMUEL CHUQUISTA"/>
    <x v="0"/>
    <s v="7012100 MercaderÃ­as-Venta Local-Terceros"/>
    <x v="3"/>
    <x v="22"/>
    <m/>
    <m/>
    <m/>
    <x v="0"/>
    <s v="JESSMIR PRODUCCIONES S.A.C."/>
    <m/>
    <x v="270"/>
  </r>
  <r>
    <x v="3"/>
    <x v="244"/>
    <s v="COLABORATIVA S.A.C."/>
    <x v="17"/>
    <d v="2025-10-16T00:00:00"/>
    <x v="58"/>
    <m/>
    <n v="6"/>
    <n v="20612849251"/>
    <s v="[{'id_producto': '1', 'codigo_producto': '870', 'nom_producto': 'COMISIÃ“N VAOPE SEGÃšN CONTRATO', 'categoria_producto': 'consu', 'cantidad': '1.0', 'valor_unitario': 5640.85, 'precio_unitario': 6656.2, 'descuento': 0.0, 'subtotal': 5640.85, 'porcentaje_de_igv': '18.00', 'igv': 1015.35, 'total': 6656.2, 'moneda': '1', 'tipo_de_cambio': '', 'id_estado': 'not_paid', 'nombre_estado': 'Sin pagar', 'evento': {'id_evento': '', 'nom_evento': '', 'Fecha_hora_ini_event': '', 'Fecha_hora_fin_event': '', 'id_organizador': '', 'nom_organizador': 'JESSMIR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5640.85"/>
    <n v="6656.2"/>
    <n v="0"/>
    <n v="5640.85"/>
    <n v="18"/>
    <n v="1015.35"/>
    <n v="6656.2"/>
    <n v="1"/>
    <m/>
    <x v="1"/>
    <x v="1"/>
    <x v="0"/>
    <s v="SAMUEL CHUQUISTA"/>
    <x v="0"/>
    <s v="7012100 MercaderÃ­as-Venta Local-Terceros"/>
    <x v="3"/>
    <x v="22"/>
    <m/>
    <m/>
    <m/>
    <x v="0"/>
    <s v="JESSMIR PRODUCCIONES S.A.C."/>
    <m/>
    <x v="271"/>
  </r>
  <r>
    <x v="3"/>
    <x v="245"/>
    <s v="COLABORATIVA S.A.C."/>
    <x v="17"/>
    <d v="2025-10-16T00:00:00"/>
    <x v="20"/>
    <s v="Cliente"/>
    <n v="6"/>
    <n v="20602855733"/>
    <s v="[{'id_producto': '1', 'codigo_producto': '877', 'nom_producto': 'COMISIÃ“N PAGOS DIGITALES SEGÃšN CONTRATO', 'categoria_producto': 'consu', 'cantidad': '1.0', 'valor_unitario': 170.0, 'precio_unitario': 200.6, 'descuento': 0.0, 'subtotal': 170.0, 'porcentaje_de_igv': '18.00', 'igv': 30.6, 'total': 200.6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170"/>
    <n v="200.6"/>
    <n v="0"/>
    <n v="170"/>
    <n v="18"/>
    <n v="30.6"/>
    <n v="200.6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272"/>
  </r>
  <r>
    <x v="3"/>
    <x v="246"/>
    <s v="COLABORATIVA S.A.C."/>
    <x v="17"/>
    <d v="2025-10-16T00:00:00"/>
    <x v="20"/>
    <s v="Cliente"/>
    <n v="6"/>
    <n v="20602855733"/>
    <s v="[{'id_producto': '1', 'codigo_producto': '870', 'nom_producto': 'COMISIÃ“N VAOPE SEGÃšN CONTRATO', 'categoria_producto': 'consu', 'cantidad': '1.0', 'valor_unitario': 187.63, 'precio_unitario': 221.4, 'descuento': 0.0, 'subtotal': 187.63, 'porcentaje_de_igv': '18.00', 'igv': 33.77, 'total': 221.4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87.63"/>
    <n v="221.4"/>
    <n v="0"/>
    <n v="187.63"/>
    <n v="18"/>
    <n v="33.770000000000003"/>
    <n v="221.4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273"/>
  </r>
  <r>
    <x v="3"/>
    <x v="247"/>
    <s v="COLABORATIVA S.A.C."/>
    <x v="17"/>
    <d v="2025-10-16T00:00:00"/>
    <x v="37"/>
    <s v="Cliente"/>
    <n v="6"/>
    <n v="20608627422"/>
    <s v="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274"/>
  </r>
  <r>
    <x v="3"/>
    <x v="248"/>
    <s v="COLABORATIVA S.A.C."/>
    <x v="17"/>
    <d v="2025-10-16T00:00:00"/>
    <x v="37"/>
    <s v="Cliente"/>
    <n v="6"/>
    <n v="20608627422"/>
    <s v="[{'id_producto': '1', 'codigo_producto': '877', 'nom_producto': 'COMISIÃ“N PAGOS DIGITALES SEGÃšN CONTRATO', 'categoria_producto': 'consu', 'cantidad': '1.0', 'valor_unitario': 400.93, 'precio_unitario': 473.1, 'descuento': 0.0, 'subtotal': 400.93, 'porcentaje_de_igv': '18.00', 'igv': 72.17, 'total': 473.1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400.93"/>
    <n v="473.1"/>
    <n v="0"/>
    <n v="400.93"/>
    <n v="18"/>
    <n v="72.17"/>
    <n v="473.1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275"/>
  </r>
  <r>
    <x v="3"/>
    <x v="249"/>
    <s v="COLABORATIVA S.A.C."/>
    <x v="17"/>
    <d v="2025-10-16T00:00:00"/>
    <x v="37"/>
    <s v="Cliente"/>
    <n v="6"/>
    <n v="20608627422"/>
    <s v="[{'id_producto': '1', 'codigo_producto': '870', 'nom_producto': 'COMISIÃ“N VAOPE SEGÃšN CONTRATO', 'categoria_producto': 'consu', 'cantidad': '1.0', 'valor_unitario': 289.32, 'precio_unitario': 341.4, 'descuento': 0.0, 'subtotal': 289.32, 'porcentaje_de_igv': '18.00', 'igv': 52.08, 'total': 341.4, 'moneda': '1', 'tipo_de_cambio': '', 'id_estado': 'not_paid', 'nombre_estado': 'Sin pagar', 'evento': {'id_evento': '', 'nom_evento': '', 'Fecha_hora_ini_event': '', 'Fecha_hora_fin_event': '', 'id_organizador': '', 'nom_organizador': 'NEGOCIACIONES Y PRODUCCIONES VEGA S.A.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89.32"/>
    <n v="341.4"/>
    <n v="0"/>
    <n v="289.32"/>
    <n v="18"/>
    <n v="52.08"/>
    <n v="341.4"/>
    <n v="1"/>
    <m/>
    <x v="1"/>
    <x v="1"/>
    <x v="0"/>
    <s v="SAMUEL CHUQUISTA"/>
    <x v="0"/>
    <s v="7012100 MercaderÃ­as-Venta Local-Terceros"/>
    <x v="3"/>
    <x v="22"/>
    <m/>
    <m/>
    <m/>
    <x v="0"/>
    <s v="NEGOCIACIONES Y PRODUCCIONES VEGA S.A.C"/>
    <m/>
    <x v="276"/>
  </r>
  <r>
    <x v="3"/>
    <x v="250"/>
    <s v="COLABORATIVA S.A.C."/>
    <x v="17"/>
    <d v="2025-10-16T00:00:00"/>
    <x v="33"/>
    <m/>
    <n v="6"/>
    <n v="20609584719"/>
    <s v="[{'id_producto': '1', 'codigo_producto': '877', 'nom_producto': 'COMISIÃ“N PAGOS DIGITALES SEGÃšN CONTRATO', 'categoria_producto': 'consu', 'cantidad': '1.0', 'valor_unitario': 106.95, 'precio_unitario': 126.2, 'descuento': 0.0, 'subtotal': 106.95, 'porcentaje_de_igv': '18.00', 'igv': 19.25, 'total': 126.2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106.95"/>
    <n v="126.2"/>
    <n v="0"/>
    <n v="106.95"/>
    <n v="18"/>
    <n v="19.25"/>
    <n v="126.2"/>
    <n v="1"/>
    <m/>
    <x v="1"/>
    <x v="1"/>
    <x v="0"/>
    <s v="SAMUEL CHUQUISTA"/>
    <x v="0"/>
    <s v="7012100 MercaderÃ­as-Venta Local-Terceros"/>
    <x v="3"/>
    <x v="22"/>
    <m/>
    <m/>
    <m/>
    <x v="0"/>
    <s v="SEVAFRA SAC"/>
    <m/>
    <x v="277"/>
  </r>
  <r>
    <x v="3"/>
    <x v="251"/>
    <s v="COLABORATIVA S.A.C."/>
    <x v="17"/>
    <d v="2025-10-16T00:00:00"/>
    <x v="33"/>
    <m/>
    <n v="6"/>
    <n v="20609584719"/>
    <s v="[{'id_producto': '1', 'codigo_producto': '870', 'nom_producto': 'COMISIÃ“N VAOPE SEGÃšN CONTRATO', 'categoria_producto': 'consu', 'cantidad': '1.0', 'valor_unitario': 66.69, 'precio_unitario': 78.7, 'descuento': 0.0, 'subtotal': 66.69, 'porcentaje_de_igv': '18.01', 'igv': 12.01, 'total': 78.7, 'moneda': '1', 'tipo_de_cambio': '', 'id_estado': 'not_paid', 'nombre_estado': 'Sin pagar', 'evento': {'id_evento': '', 'nom_evento': '', 'Fecha_hora_ini_event': '', 'Fecha_hora_fin_event': '', 'id_organizador': '', 'nom_organizador': 'SEVAFRA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66.69"/>
    <n v="78.7"/>
    <n v="0"/>
    <n v="66.69"/>
    <n v="18.010000000000002"/>
    <n v="12.01"/>
    <n v="78.7"/>
    <n v="1"/>
    <m/>
    <x v="1"/>
    <x v="1"/>
    <x v="0"/>
    <s v="SAMUEL CHUQUISTA"/>
    <x v="0"/>
    <s v="7012100 MercaderÃ­as-Venta Local-Terceros"/>
    <x v="3"/>
    <x v="22"/>
    <m/>
    <m/>
    <m/>
    <x v="0"/>
    <s v="SEVAFRA SAC"/>
    <m/>
    <x v="278"/>
  </r>
  <r>
    <x v="3"/>
    <x v="252"/>
    <s v="COLABORATIVA S.A.C."/>
    <x v="17"/>
    <d v="2025-10-16T00:00:00"/>
    <x v="35"/>
    <m/>
    <n v="6"/>
    <n v="20516587874"/>
    <s v="[{'id_producto': '1', 'codigo_producto': '877', 'nom_producto': 'COMISIÃ“N PAGOS DIGITALES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54.75"/>
    <n v="64.599999999999994"/>
    <n v="0"/>
    <n v="54.75"/>
    <n v="17.989999999999998"/>
    <n v="9.85"/>
    <n v="64.599999999999994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279"/>
  </r>
  <r>
    <x v="3"/>
    <x v="253"/>
    <s v="COLABORATIVA S.A.C."/>
    <x v="17"/>
    <d v="2025-10-16T00:00:00"/>
    <x v="35"/>
    <m/>
    <n v="6"/>
    <n v="20516587874"/>
    <s v="[{'id_producto': '1', 'codigo_producto': '870', 'nom_producto': 'COMISIÃ“N VAOPE SEGÃšN CONTRATO', 'categoria_producto': 'consu', 'cantidad': '1.0', 'valor_unitario': 33.22, 'precio_unitario': 39.2, 'descuento': 0.0, 'subtotal': 33.22, 'porcentaje_de_igv': '18.00', 'igv': 5.98, 'total': 39.2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3.22"/>
    <n v="39.200000000000003"/>
    <n v="0"/>
    <n v="33.22"/>
    <n v="18"/>
    <n v="5.98"/>
    <n v="39.200000000000003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280"/>
  </r>
  <r>
    <x v="3"/>
    <x v="254"/>
    <s v="COLABORATIVA S.A.C."/>
    <x v="17"/>
    <d v="2025-10-16T00:00:00"/>
    <x v="59"/>
    <m/>
    <n v="6"/>
    <n v="10165565784"/>
    <s v="[{'id_producto': '1', 'codigo_producto': '877', 'nom_producto': 'COMISIÃ“N PAGOS DIGITALES SEGÃšN CONTRATO', 'categoria_producto': 'consu', 'cantidad': '1.0', 'valor_unitario': 97.37, 'precio_unitario': 114.9, 'descuento': 0.0, 'subtotal': 97.37, 'porcentaje_de_igv': '18.00', 'igv': 17.53, 'total': 114.9, 'moneda': '1', 'tipo_de_cambio': '', 'id_estado': 'not_paid', 'nombre_estado': 'Sin pagar', 'evento': {'id_evento': '', 'nom_evento': '', 'Fecha_hora_ini_event': '', 'Fecha_hora_fin_event': '', 'id_organizador': '', 'nom_organizador': 'FENCO GORDILLO MAXIM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97.37"/>
    <n v="114.9"/>
    <n v="0"/>
    <n v="97.37"/>
    <n v="18"/>
    <n v="17.53"/>
    <n v="114.9"/>
    <n v="1"/>
    <m/>
    <x v="1"/>
    <x v="1"/>
    <x v="0"/>
    <s v="SAMUEL CHUQUISTA"/>
    <x v="0"/>
    <s v="7012100 MercaderÃ­as-Venta Local-Terceros"/>
    <x v="3"/>
    <x v="22"/>
    <m/>
    <m/>
    <m/>
    <x v="0"/>
    <s v="FENCO GORDILLO MAXIMO"/>
    <m/>
    <x v="281"/>
  </r>
  <r>
    <x v="3"/>
    <x v="255"/>
    <s v="COLABORATIVA S.A.C."/>
    <x v="17"/>
    <d v="2025-10-16T00:00:00"/>
    <x v="59"/>
    <m/>
    <n v="6"/>
    <n v="10165565784"/>
    <s v="[{'id_producto': '1', 'codigo_producto': '870', 'nom_producto': 'COMISIÃ“N VAOPE SEGÃšN CONTRATO', 'categoria_producto': 'consu', 'cantidad': '1.0', 'valor_unitario': 59.07, 'precio_unitario': 69.7, 'descuento': 0.0, 'subtotal': 59.07, 'porcentaje_de_igv': '18.00', 'igv': 10.63, 'total': 69.7, 'moneda': '1', 'tipo_de_cambio': '', 'id_estado': 'not_paid', 'nombre_estado': 'Sin pagar', 'evento': {'id_evento': '', 'nom_evento': '', 'Fecha_hora_ini_event': '', 'Fecha_hora_fin_event': '', 'id_organizador': '', 'nom_organizador': 'FENCO GORDILLO MAXIM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59.07"/>
    <n v="69.7"/>
    <n v="0"/>
    <n v="59.07"/>
    <n v="18"/>
    <n v="10.63"/>
    <n v="69.7"/>
    <n v="1"/>
    <m/>
    <x v="1"/>
    <x v="1"/>
    <x v="0"/>
    <s v="SAMUEL CHUQUISTA"/>
    <x v="0"/>
    <s v="7012100 MercaderÃ­as-Venta Local-Terceros"/>
    <x v="3"/>
    <x v="22"/>
    <m/>
    <m/>
    <m/>
    <x v="0"/>
    <s v="FENCO GORDILLO MAXIMO"/>
    <m/>
    <x v="282"/>
  </r>
  <r>
    <x v="3"/>
    <x v="256"/>
    <s v="COLABORATIVA S.A.C."/>
    <x v="17"/>
    <d v="2025-10-16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83"/>
  </r>
  <r>
    <x v="3"/>
    <x v="257"/>
    <s v="COLABORATIVA S.A.C."/>
    <x v="17"/>
    <d v="2025-10-16T00:00:00"/>
    <x v="28"/>
    <m/>
    <n v="6"/>
    <n v="20611890746"/>
    <s v="[{'id_producto': '1', 'codigo_producto': '930', 'nom_producto': 'ENTRADAS IMPRESAS - ORDEN DE VENTA NÂ°541\n * LA UNICA TROPICAL EN CHEPEN - 20 DE ENERO - I - P / 2,000 FULL COLOR GENERAL / 1,000 BRAZALETES VIP (S/1,652.00)\n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5"/>
    <x v="83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84"/>
  </r>
  <r>
    <x v="3"/>
    <x v="258"/>
    <s v="COLABORATIVA S.A.C."/>
    <x v="17"/>
    <d v="2025-10-16T00:00:00"/>
    <x v="28"/>
    <m/>
    <n v="6"/>
    <n v="20611890746"/>
    <s v="[{'id_producto': '1', 'codigo_producto': '929', 'nom_producto': 'ENTRADAS IMPRESAS - ORDEN DE VENTA NÂ°537\n * La Ãšnica Tropical en Ilo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6"/>
    <x v="84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85"/>
  </r>
  <r>
    <x v="3"/>
    <x v="259"/>
    <s v="COLABORATIVA S.A.C."/>
    <x v="17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3754.15, 'precio_unitario': 4429.9, 'descuento': 0.0, 'subtotal': 3754.15, 'porcentaje_de_igv': '18.00', 'igv': 675.75, 'total': 4429.9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3754.15"/>
    <n v="4429.8999999999996"/>
    <n v="0"/>
    <n v="3754.15"/>
    <n v="18"/>
    <n v="675.75"/>
    <n v="4429.8999999999996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86"/>
  </r>
  <r>
    <x v="3"/>
    <x v="260"/>
    <s v="COLABORATIVA S.A.C."/>
    <x v="17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288.14, 'precio_unitario': 340.0, 'descuento': 0.0, 'subtotal': 288.14, 'porcentaje_de_igv': '18.00', 'igv': 51.86, 'total': 340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88.14"/>
    <n v="340"/>
    <n v="0"/>
    <n v="288.14"/>
    <n v="18"/>
    <n v="51.86"/>
    <n v="340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87"/>
  </r>
  <r>
    <x v="3"/>
    <x v="261"/>
    <s v="COLABORATIVA S.A.C."/>
    <x v="17"/>
    <d v="2025-10-16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88"/>
  </r>
  <r>
    <x v="3"/>
    <x v="262"/>
    <s v="COLABORATIVA S.A.C."/>
    <x v="17"/>
    <d v="2025-10-16T00:00:00"/>
    <x v="28"/>
    <m/>
    <n v="6"/>
    <n v="20611890746"/>
    <s v="[{'id_producto': '1', 'codigo_producto': '928', 'nom_producto': 'ENTRADAS IMPRESAS - ORDEN DE VENTA NÂ°538\n * La Ãšnica Tropical en Tacna / 3,000 FULL COLOR GENERAL / 2,000 BRAZALETES VIP (S/2,832.00)', 'categoria_producto': 'consu', 'cantidad': '1.0', 'valor_unitario': 2400.0, 'precio_unitario': 2832.0, 'descuento': 0.0, 'subtotal': 2400.0, 'porcentaje_de_igv': '18.00', 'igv': 432.0, 'total': 283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7"/>
    <x v="85"/>
    <s v="consu"/>
    <n v="1"/>
    <n v="2400"/>
    <n v="2832"/>
    <n v="0"/>
    <n v="2400"/>
    <n v="18"/>
    <n v="432"/>
    <n v="2832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89"/>
  </r>
  <r>
    <x v="3"/>
    <x v="263"/>
    <s v="COLABORATIVA S.A.C."/>
    <x v="17"/>
    <d v="2025-10-16T00:00:00"/>
    <x v="28"/>
    <m/>
    <n v="6"/>
    <n v="20611890746"/>
    <s v="[{'id_producto': '1', 'codigo_producto': '927', 'nom_producto': 'ENTRADAS IMPRESAS - ORDEN DE VENTA NÂ°517\n * LA UNICA TROPICAL - CIUDAD DE DIOS - 06 DE ENERO - I - P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8"/>
    <x v="86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90"/>
  </r>
  <r>
    <x v="3"/>
    <x v="264"/>
    <s v="COLABORATIVA S.A.C."/>
    <x v="17"/>
    <d v="2025-10-16T00:00:00"/>
    <x v="28"/>
    <m/>
    <n v="6"/>
    <n v="20611890746"/>
    <s v="[{'id_producto': '1', 'codigo_producto': '926', 'nom_producto': 'ENTRADAS IMPRESAS - ORDEN DE VENTA NÂ°516\n * LA UNICA TROPICAL CARTAVIO - 03 DE ENERO - I - P 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9"/>
    <x v="87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91"/>
  </r>
  <r>
    <x v="3"/>
    <x v="265"/>
    <s v="COLABORATIVA S.A.C."/>
    <x v="17"/>
    <d v="2025-10-16T00:00:00"/>
    <x v="28"/>
    <m/>
    <n v="6"/>
    <n v="20611890746"/>
    <s v="[{'id_producto': '1', 'codigo_producto': '925', 'nom_producto': 'ENTRADAS IMPRESAS - ORDEN DE VENTA NÂ°515\n * La Ãšnica Tropical en Talara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0"/>
    <x v="88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92"/>
  </r>
  <r>
    <x v="3"/>
    <x v="266"/>
    <s v="COLABORATIVA S.A.C."/>
    <x v="17"/>
    <d v="2025-10-16T00:00:00"/>
    <x v="28"/>
    <m/>
    <n v="6"/>
    <n v="20611890746"/>
    <s v="[{'id_producto': '1', 'codigo_producto': '924', 'nom_producto': 'ENTRADAS IMPRESAS - ORDEN DE VENTA NÂ°513\n * LA UNICA TROPICAL COLAN - 05 DE ENERO - I - P / 5,000 FULL COLOR GENERAL / 1,000 BRAZALETES VIP (S/2,596.00)\n', 'categoria_producto': 'consu', 'cantidad': '1.0', 'valor_unitario': 2200.0, 'precio_unitario': 2596.0, 'descuento': 0.0, 'subtotal': 2200.0, 'porcentaje_de_igv': '18.00', 'igv': 396.0, 'total': 259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1"/>
    <x v="89"/>
    <s v="consu"/>
    <n v="1"/>
    <n v="2200"/>
    <n v="2596"/>
    <n v="0"/>
    <n v="2200"/>
    <n v="18"/>
    <n v="396"/>
    <n v="2596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293"/>
  </r>
  <r>
    <x v="3"/>
    <x v="267"/>
    <s v="COLABORATIVA S.A.C."/>
    <x v="17"/>
    <d v="2025-10-16T00:00:00"/>
    <x v="28"/>
    <m/>
    <n v="6"/>
    <n v="20611890746"/>
    <s v="[{'id_producto': '1', 'codigo_producto': '871', 'nom_producto': 'COMISIÃ“N PAGOS DIGITALES SEGÃšN CONTRATO ', 'categoria_producto': 'consu', 'cantidad': '1.0', 'valor_unitario': 5158.56, 'precio_unitario': 6087.1, 'descuento': 0.0, 'subtotal': 5158.56, 'porcentaje_de_igv': '18.00', 'igv': 928.54, 'total': 6087.1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6"/>
    <x v="35"/>
    <s v="consu"/>
    <n v="1"/>
    <n v="5158.5600000000004"/>
    <n v="6087.1"/>
    <n v="0"/>
    <n v="5158.5600000000004"/>
    <n v="18"/>
    <n v="928.54"/>
    <n v="6087.1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94"/>
  </r>
  <r>
    <x v="3"/>
    <x v="268"/>
    <s v="COLABORATIVA S.A.C."/>
    <x v="17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3246.44, 'precio_unitario': 3830.8, 'descuento': 0.0, 'subtotal': 3246.44, 'porcentaje_de_igv': '18.00', 'igv': 584.36, 'total': 3830.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246.44"/>
    <n v="3830.8"/>
    <n v="0"/>
    <n v="3246.44"/>
    <n v="18"/>
    <n v="584.36"/>
    <n v="3830.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295"/>
  </r>
  <r>
    <x v="3"/>
    <x v="269"/>
    <s v="COLABORATIVA S.A.C."/>
    <x v="17"/>
    <d v="2025-10-16T00:00:00"/>
    <x v="40"/>
    <m/>
    <n v="6"/>
    <n v="20611587741"/>
    <s v="[{'id_producto': '1', 'codigo_producto': '877', 'nom_producto': 'COMISIÃ“N PAGOS DIGITALES SEGÃšN CONTRATO', 'categoria_producto': 'consu', 'cantidad': '1.0', 'valor_unitario': 25.34, 'precio_unitario': 29.9, 'descuento': 0.0, 'subtotal': 25.34, 'porcentaje_de_igv': '18.00', 'igv': 4.56, 'total': 29.9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5.34"/>
    <n v="29.9"/>
    <n v="0"/>
    <n v="25.34"/>
    <n v="18"/>
    <n v="4.5599999999999996"/>
    <n v="29.9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296"/>
  </r>
  <r>
    <x v="3"/>
    <x v="270"/>
    <s v="COLABORATIVA S.A.C."/>
    <x v="17"/>
    <d v="2025-10-16T00:00:00"/>
    <x v="40"/>
    <m/>
    <n v="6"/>
    <n v="20611587741"/>
    <s v="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8.05"/>
    <n v="21.3"/>
    <n v="0"/>
    <n v="18.05"/>
    <n v="18.010000000000002"/>
    <n v="3.25"/>
    <n v="21.3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297"/>
  </r>
  <r>
    <x v="4"/>
    <x v="271"/>
    <s v="COLABORATIVA S.A.C."/>
    <x v="17"/>
    <d v="2025-10-16T00:00:00"/>
    <x v="10"/>
    <s v="Cliente"/>
    <n v="1"/>
    <n v="43908595"/>
    <s v="[{'id_producto': '1', 'codigo_producto': '992', 'nom_producto': 'COMISION CORTESIA - DELIVERY', 'categoria_producto': 'consu', 'cantidad': '1.0', 'valor_unitario': 65.0, 'precio_unitario': 76.7, 'descuento': 0.0, 'subtotal': 65.0, 'porcentaje_de_igv': '18.00', 'igv': 11.7, 'total': 76.7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41"/>
    <x v="9"/>
    <s v="consu"/>
    <n v="1"/>
    <n v="65"/>
    <n v="76.7"/>
    <n v="0"/>
    <n v="65"/>
    <n v="18"/>
    <n v="11.7"/>
    <n v="76.7"/>
    <n v="1"/>
    <m/>
    <x v="1"/>
    <x v="1"/>
    <x v="0"/>
    <s v="SAMUEL CHUQUISTA"/>
    <x v="0"/>
    <s v="7012100 MercaderÃ­as-Venta Local-Terceros"/>
    <x v="3"/>
    <x v="22"/>
    <m/>
    <m/>
    <m/>
    <x v="0"/>
    <s v="JESUS MANUEL COTRINA CORPUS"/>
    <m/>
    <x v="298"/>
  </r>
  <r>
    <x v="4"/>
    <x v="272"/>
    <s v="COLABORATIVA S.A.C."/>
    <x v="17"/>
    <d v="2025-10-16T00:00:00"/>
    <x v="60"/>
    <m/>
    <n v="1"/>
    <n v="76443681"/>
    <s v="[{'id_producto': '1', 'codigo_producto': '877', 'nom_producto': 'COMISIÃ“N PAGOS DIGITALES SEGÃšN CONTRATO', 'categoria_producto': 'consu', 'cantidad': '1.0', 'valor_unitario': 46.78, 'precio_unitario': 55.2, 'descuento': 0.0, 'subtotal': 46.78, 'porcentaje_de_igv': '18.00', 'igv': 8.42, 'total': 55.2, 'moneda': '1', 'tipo_de_cambio': '', 'id_estado': 'not_paid', 'nombre_estado': 'Sin pagar', 'evento': {'id_evento': '', 'nom_evento': '', 'Fecha_hora_ini_event': '', 'Fecha_hora_fin_event': '', 'id_organizador': '', 'nom_organizador': 'JHONATHAN CALDERON QUISP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46.78"/>
    <n v="55.2"/>
    <n v="0"/>
    <n v="46.78"/>
    <n v="18"/>
    <n v="8.42"/>
    <n v="55.2"/>
    <n v="1"/>
    <m/>
    <x v="1"/>
    <x v="1"/>
    <x v="0"/>
    <s v="SAMUEL CHUQUISTA"/>
    <x v="0"/>
    <s v="7012100 MercaderÃ­as-Venta Local-Terceros"/>
    <x v="3"/>
    <x v="22"/>
    <m/>
    <m/>
    <m/>
    <x v="0"/>
    <s v="JHONATHAN CALDERON QUISPE"/>
    <m/>
    <x v="299"/>
  </r>
  <r>
    <x v="4"/>
    <x v="273"/>
    <s v="COLABORATIVA S.A.C."/>
    <x v="17"/>
    <d v="2025-10-16T00:00:00"/>
    <x v="60"/>
    <m/>
    <n v="1"/>
    <n v="76443681"/>
    <s v="[{'id_producto': '1', 'codigo_producto': '870', 'nom_producto': 'COMISIÃ“N VAOPE SEGÃšN CONTRATO', 'categoria_producto': 'consu', 'cantidad': '1.0', 'valor_unitario': 32.88, 'precio_unitario': 38.8, 'descuento': 0.0, 'subtotal': 32.88, 'porcentaje_de_igv': '18.00', 'igv': 5.92, 'total': 38.8, 'moneda': '1', 'tipo_de_cambio': '', 'id_estado': 'not_paid', 'nombre_estado': 'Sin pagar', 'evento': {'id_evento': '', 'nom_evento': '', 'Fecha_hora_ini_event': '', 'Fecha_hora_fin_event': '', 'id_organizador': '', 'nom_organizador': 'JHONATHAN CALDERON QUISPE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2.880000000000003"/>
    <n v="38.799999999999997"/>
    <n v="0"/>
    <n v="32.880000000000003"/>
    <n v="18"/>
    <n v="5.92"/>
    <n v="38.799999999999997"/>
    <n v="1"/>
    <m/>
    <x v="1"/>
    <x v="1"/>
    <x v="0"/>
    <s v="SAMUEL CHUQUISTA"/>
    <x v="0"/>
    <s v="7012100 MercaderÃ­as-Venta Local-Terceros"/>
    <x v="3"/>
    <x v="22"/>
    <m/>
    <m/>
    <m/>
    <x v="0"/>
    <s v="JHONATHAN CALDERON QUISPE"/>
    <m/>
    <x v="300"/>
  </r>
  <r>
    <x v="4"/>
    <x v="274"/>
    <s v="COLABORATIVA S.A.C."/>
    <x v="17"/>
    <d v="2025-10-16T00:00:00"/>
    <x v="10"/>
    <s v="Cliente"/>
    <n v="1"/>
    <n v="43908595"/>
    <s v="[{'id_producto': '1', 'codigo_producto': '923', 'nom_producto': 'ENTRADAS IMPRESAS - ORDEN DE VENTA NÂ°550\n â€¢? ?FIESTA BLANCA HUACHO - ZAPEROKO 31 DE DICIEMBRE - I - P/ 500 BRAZALETES VIP/ 500 BRAZALETES PLATINUM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2"/>
    <x v="90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0"/>
    <s v="JESUS MANUEL COTRINA CORPUS"/>
    <m/>
    <x v="301"/>
  </r>
  <r>
    <x v="4"/>
    <x v="275"/>
    <s v="COLABORATIVA S.A.C."/>
    <x v="17"/>
    <d v="2025-10-16T00:00:00"/>
    <x v="10"/>
    <s v="Cliente"/>
    <n v="1"/>
    <n v="43908595"/>
    <s v="[{'id_producto': '1', 'codigo_producto': '922', 'nom_producto': 'ENTRADAS IMPRESAS - ORDEN DE VENTA NÂ°528\n * Marama en Explanada Bahua en Barranca/ 500 BRAZALETES VIP/ 200 BRAZALETES GENERAL / 300 BRAZALETES BOX (S/778.80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3"/>
    <x v="91"/>
    <s v="consu"/>
    <n v="1"/>
    <n v="660"/>
    <n v="778.8"/>
    <n v="0"/>
    <n v="660"/>
    <n v="18"/>
    <n v="118.8"/>
    <n v="778.8"/>
    <n v="1"/>
    <m/>
    <x v="1"/>
    <x v="1"/>
    <x v="0"/>
    <s v="SAMUEL CHUQUISTA"/>
    <x v="0"/>
    <s v="7012100 MercaderÃ­as-Venta Local-Terceros"/>
    <x v="2"/>
    <x v="22"/>
    <m/>
    <m/>
    <m/>
    <x v="0"/>
    <s v="JESUS MANUEL COTRINA CORPUS"/>
    <m/>
    <x v="302"/>
  </r>
  <r>
    <x v="4"/>
    <x v="276"/>
    <s v="COLABORATIVA S.A.C."/>
    <x v="17"/>
    <d v="2025-10-16T00:00:00"/>
    <x v="10"/>
    <s v="Cliente"/>
    <n v="1"/>
    <n v="43908595"/>
    <s v="[{'id_producto': '1', 'codigo_producto': '877', 'nom_producto': 'COMISIÃ“N PAGOS DIGITALES SEGÃšN CONTRATO', 'categoria_producto': 'consu', 'cantidad': '1.0', 'valor_unitario': 281.61, 'precio_unitario': 332.3, 'descuento': 0.0, 'subtotal': 281.61, 'porcentaje_de_igv': '18.00', 'igv': 50.69, 'total': 332.3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81.61"/>
    <n v="332.3"/>
    <n v="0"/>
    <n v="281.61"/>
    <n v="18"/>
    <n v="50.69"/>
    <n v="332.3"/>
    <n v="1"/>
    <m/>
    <x v="1"/>
    <x v="1"/>
    <x v="0"/>
    <s v="SAMUEL CHUQUISTA"/>
    <x v="0"/>
    <s v="7012100 MercaderÃ­as-Venta Local-Terceros"/>
    <x v="3"/>
    <x v="22"/>
    <m/>
    <m/>
    <m/>
    <x v="0"/>
    <s v="JESUS MANUEL COTRINA CORPUS"/>
    <m/>
    <x v="303"/>
  </r>
  <r>
    <x v="4"/>
    <x v="277"/>
    <s v="COLABORATIVA S.A.C."/>
    <x v="17"/>
    <d v="2025-10-16T00:00:00"/>
    <x v="10"/>
    <s v="Cliente"/>
    <n v="1"/>
    <n v="43908595"/>
    <s v="[{'id_producto': '1', 'codigo_producto': '870', 'nom_producto': 'COMISIÃ“N VAOPE SEGÃšN CONTRATO', 'categoria_producto': 'consu', 'cantidad': '1.0', 'valor_unitario': 238.98, 'precio_unitario': 282.0, 'descuento': 0.0, 'subtotal': 238.98, 'porcentaje_de_igv': '18.00', 'igv': 43.02, 'total': 282.0, 'moneda': '1', 'tipo_de_cambio': '', 'id_estado': 'not_paid', 'nombre_estado': 'Sin pagar', 'evento': {'id_evento': '', 'nom_evento': '', 'Fecha_hora_ini_event': '', 'Fecha_hora_fin_event': '', 'id_organizador': '', 'nom_organizador': 'JESUS MANUEL COTRINA CORPU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38.98"/>
    <n v="282"/>
    <n v="0"/>
    <n v="238.98"/>
    <n v="18"/>
    <n v="43.02"/>
    <n v="282"/>
    <n v="1"/>
    <m/>
    <x v="1"/>
    <x v="1"/>
    <x v="0"/>
    <s v="SAMUEL CHUQUISTA"/>
    <x v="0"/>
    <s v="7012100 MercaderÃ­as-Venta Local-Terceros"/>
    <x v="3"/>
    <x v="22"/>
    <m/>
    <m/>
    <m/>
    <x v="0"/>
    <s v="JESUS MANUEL COTRINA CORPUS"/>
    <m/>
    <x v="304"/>
  </r>
  <r>
    <x v="3"/>
    <x v="278"/>
    <s v="COLABORATIVA S.A.C."/>
    <x v="17"/>
    <d v="2025-10-16T00:00:00"/>
    <x v="30"/>
    <s v="Cliente"/>
    <n v="6"/>
    <n v="20296011356"/>
    <s v="[{'id_producto': '1', 'codigo_producto': '921', 'nom_producto': 'PERSONAL - Servicio de 04 validadores (Inc IGV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3T00:00:00"/>
    <m/>
    <m/>
    <m/>
    <m/>
    <m/>
    <n v="1"/>
    <x v="32"/>
    <x v="41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6"/>
    <x v="22"/>
    <m/>
    <m/>
    <m/>
    <x v="0"/>
    <s v="COMPLEJO TURISTICO EL REMANSO SAC"/>
    <m/>
    <x v="305"/>
  </r>
  <r>
    <x v="3"/>
    <x v="279"/>
    <s v="COLABORATIVA S.A.C."/>
    <x v="17"/>
    <d v="2025-10-16T00:00:00"/>
    <x v="30"/>
    <s v="Cliente"/>
    <n v="6"/>
    <n v="20296011356"/>
    <s v="[{'id_producto': '1', 'codigo_producto': '920', 'nom_producto': 'ENTRADAS IMPRESAS - * Duelo de Divas con Pamela Franco, Marisol y Brunella Torpoco en El Remanso de Comas / 2,000 FULL COLOR GENERAL ADULTO / 500 FULL COLOR GENERAL NIÃ‘OS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4"/>
    <x v="92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2"/>
    <x v="22"/>
    <m/>
    <m/>
    <m/>
    <x v="0"/>
    <s v="COMPLEJO TURISTICO EL REMANSO SAC"/>
    <m/>
    <x v="306"/>
  </r>
  <r>
    <x v="3"/>
    <x v="280"/>
    <s v="COLABORATIVA S.A.C."/>
    <x v="17"/>
    <d v="2025-10-16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3384.15, 'precio_unitario': 3993.3, 'descuento': 0.0, 'subtotal': 3384.15, 'porcentaje_de_igv': '18.00', 'igv': 609.15, 'total': 3993.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3384.15"/>
    <n v="3993.3"/>
    <n v="0"/>
    <n v="3384.15"/>
    <n v="18"/>
    <n v="609.15"/>
    <n v="3993.3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307"/>
  </r>
  <r>
    <x v="3"/>
    <x v="281"/>
    <s v="COLABORATIVA S.A.C."/>
    <x v="17"/>
    <d v="2025-10-16T00:00:00"/>
    <x v="30"/>
    <s v="Cliente"/>
    <n v="6"/>
    <n v="20296011356"/>
    <s v="[{'id_producto': '1', 'codigo_producto': '870', 'nom_producto': 'COMISIÃ“N VAOPE SEGÃšN CONTRATO', 'categoria_producto': 'consu', 'cantidad': '1.0', 'valor_unitario': 1669.75, 'precio_unitario': 1970.3, 'descuento': 0.0, 'subtotal': 1669.75, 'porcentaje_de_igv': '18.00', 'igv': 300.55, 'total': 1970.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669.75"/>
    <n v="1970.3"/>
    <n v="0"/>
    <n v="1669.75"/>
    <n v="18"/>
    <n v="300.55"/>
    <n v="1970.3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308"/>
  </r>
  <r>
    <x v="4"/>
    <x v="282"/>
    <s v="COLABORATIVA S.A.C."/>
    <x v="17"/>
    <d v="2025-10-16T00:00:00"/>
    <x v="61"/>
    <m/>
    <n v="1"/>
    <n v="17850400"/>
    <s v="[{'id_producto': '1', 'codigo_producto': '871', 'nom_producto': 'COMISIÃ“N PAGOS DIGITALES SEGÃšN CONTRATO ', 'categoria_producto': 'consu', 'cantidad': '1.0', 'valor_unitario': 19.41, 'precio_unitario': 22.9, 'descuento': 0.0, 'subtotal': 19.41, 'porcentaje_de_igv': '17.98', 'igv': 3.49, 'total': 22.9, 'moneda': '1', 'tipo_de_cambio': '', 'id_estado': 'not_paid', 'nombre_estado': 'Sin pagar', 'evento': {'id_evento': '', 'nom_evento': '', 'Fecha_hora_ini_event': '', 'Fecha_hora_fin_event': '', 'id_organizador': '', 'nom_organizador': 'JORGE NIKITA GALLO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6"/>
    <x v="35"/>
    <s v="consu"/>
    <n v="1"/>
    <n v="19.41"/>
    <n v="22.9"/>
    <n v="0"/>
    <n v="19.41"/>
    <n v="17.98"/>
    <n v="3.49"/>
    <n v="22.9"/>
    <n v="1"/>
    <m/>
    <x v="1"/>
    <x v="1"/>
    <x v="0"/>
    <s v="SAMUEL CHUQUISTA"/>
    <x v="0"/>
    <s v="7012100 MercaderÃ­as-Venta Local-Terceros"/>
    <x v="3"/>
    <x v="22"/>
    <m/>
    <m/>
    <m/>
    <x v="0"/>
    <s v="JORGE NIKITA GALLO PEREZ"/>
    <m/>
    <x v="309"/>
  </r>
  <r>
    <x v="4"/>
    <x v="283"/>
    <s v="COLABORATIVA S.A.C."/>
    <x v="17"/>
    <d v="2025-10-16T00:00:00"/>
    <x v="61"/>
    <m/>
    <n v="1"/>
    <n v="17850400"/>
    <s v="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'', 'nom_organizador': 'JORGE NIKITA GALLO PERE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2.2"/>
    <n v="14.4"/>
    <n v="0"/>
    <n v="12.2"/>
    <n v="18.03"/>
    <n v="2.2000000000000002"/>
    <n v="14.4"/>
    <n v="1"/>
    <m/>
    <x v="1"/>
    <x v="1"/>
    <x v="0"/>
    <s v="SAMUEL CHUQUISTA"/>
    <x v="0"/>
    <s v="7012100 MercaderÃ­as-Venta Local-Terceros"/>
    <x v="3"/>
    <x v="22"/>
    <m/>
    <m/>
    <m/>
    <x v="0"/>
    <s v="JORGE NIKITA GALLO PEREZ"/>
    <m/>
    <x v="310"/>
  </r>
  <r>
    <x v="3"/>
    <x v="284"/>
    <s v="COLABORATIVA S.A.C."/>
    <x v="17"/>
    <d v="2025-10-16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11"/>
  </r>
  <r>
    <x v="3"/>
    <x v="285"/>
    <s v="COLABORATIVA S.A.C."/>
    <x v="17"/>
    <d v="2025-10-16T00:00:00"/>
    <x v="28"/>
    <m/>
    <n v="6"/>
    <n v="20611890746"/>
    <s v="[{'id_producto': '1', 'codigo_producto': '919', 'nom_producto': 'ENTRADAS IMPRESAS - ORDEN DE VENTA NÂ°540\n * La Ãšnica Tropical en MejÃ­a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5"/>
    <x v="93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12"/>
  </r>
  <r>
    <x v="3"/>
    <x v="286"/>
    <s v="COLABORATIVA S.A.C."/>
    <x v="17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2372.24, 'precio_unitario': 2799.24, 'descuento': 0.0, 'subtotal': 2372.24, 'porcentaje_de_igv': '18.00', 'igv': 427.0, 'total': 2799.24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372.2399999999998"/>
    <n v="2799.24"/>
    <n v="0"/>
    <n v="2372.2399999999998"/>
    <n v="18"/>
    <n v="427"/>
    <n v="2799.24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13"/>
  </r>
  <r>
    <x v="3"/>
    <x v="287"/>
    <s v="COLABORATIVA S.A.C."/>
    <x v="17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1467.44, 'precio_unitario': 1731.58, 'descuento': 0.0, 'subtotal': 1467.44, 'porcentaje_de_igv': '18.00', 'igv': 264.14, 'total': 1731.5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467.44"/>
    <n v="1731.58"/>
    <n v="0"/>
    <n v="1467.44"/>
    <n v="18"/>
    <n v="264.14"/>
    <n v="1731.5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14"/>
  </r>
  <r>
    <x v="3"/>
    <x v="288"/>
    <s v="COLABORATIVA S.A.C."/>
    <x v="17"/>
    <d v="2025-10-16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15"/>
  </r>
  <r>
    <x v="3"/>
    <x v="289"/>
    <s v="COLABORATIVA S.A.C."/>
    <x v="17"/>
    <d v="2025-10-16T00:00:00"/>
    <x v="28"/>
    <m/>
    <n v="6"/>
    <n v="20611890746"/>
    <s v="[{'id_producto': '1', 'codigo_producto': '918', 'nom_producto': 'ENTRADAS IMPRESAS - ORDEN DE VENTA NÂ°539\n * La Ãšnica Tropical en CamanÃ¡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6"/>
    <x v="94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16"/>
  </r>
  <r>
    <x v="3"/>
    <x v="290"/>
    <s v="COLABORATIVA S.A.C."/>
    <x v="17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2382.31, 'precio_unitario': 2811.12, 'descuento': 0.0, 'subtotal': 2382.31, 'porcentaje_de_igv': '18.00', 'igv': 428.81, 'total': 2811.12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382.31"/>
    <n v="2811.12"/>
    <n v="0"/>
    <n v="2382.31"/>
    <n v="18"/>
    <n v="428.81"/>
    <n v="2811.12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17"/>
  </r>
  <r>
    <x v="3"/>
    <x v="291"/>
    <s v="COLABORATIVA S.A.C."/>
    <x v="17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1468.68, 'precio_unitario': 1733.04, 'descuento': 0.0, 'subtotal': 1468.68, 'porcentaje_de_igv': '18.00', 'igv': 264.36, 'total': 1733.04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468.68"/>
    <n v="1733.04"/>
    <n v="0"/>
    <n v="1468.68"/>
    <n v="18"/>
    <n v="264.36"/>
    <n v="1733.04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18"/>
  </r>
  <r>
    <x v="3"/>
    <x v="292"/>
    <s v="COLABORATIVA S.A.C."/>
    <x v="17"/>
    <d v="2025-10-16T00:00:00"/>
    <x v="39"/>
    <m/>
    <n v="6"/>
    <n v="20609649039"/>
    <s v="[{'id_producto': '1', 'codigo_producto': '877', 'nom_producto': 'COMISIÃ“N PAGOS DIGITALES SEGÃšN CONTRATO', 'categoria_producto': 'consu', 'cantidad': '1.0', 'valor_unitario': 22.0, 'precio_unitario': 25.96, 'descuento': 0.0, 'subtotal': 22.0, 'porcentaje_de_igv': '18.00', 'igv': 3.96, 'total': 25.96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2"/>
    <n v="25.96"/>
    <n v="0"/>
    <n v="22"/>
    <n v="18"/>
    <n v="3.96"/>
    <n v="25.96"/>
    <n v="1"/>
    <m/>
    <x v="1"/>
    <x v="1"/>
    <x v="0"/>
    <s v="SAMUEL CHUQUISTA"/>
    <x v="0"/>
    <s v="7012100 MercaderÃ­as-Venta Local-Terceros"/>
    <x v="3"/>
    <x v="22"/>
    <m/>
    <m/>
    <m/>
    <x v="0"/>
    <s v="CARDANO PRODUCCIONES S.A.C."/>
    <m/>
    <x v="319"/>
  </r>
  <r>
    <x v="3"/>
    <x v="293"/>
    <s v="COLABORATIVA S.A.C."/>
    <x v="17"/>
    <d v="2025-10-16T00:00:00"/>
    <x v="39"/>
    <m/>
    <n v="6"/>
    <n v="20609649039"/>
    <s v="[{'id_producto': '1', 'codigo_producto': '870', 'nom_producto': 'COMISIÃ“N VAOPE SEGÃšN CONTRATO', 'categoria_producto': 'consu', 'cantidad': '1.0', 'valor_unitario': 20.5, 'precio_unitario': 24.19, 'descuento': 0.0, 'subtotal': 20.5, 'porcentaje_de_igv': '18.00', 'igv': 3.69, 'total': 24.19, 'moneda': '1', 'tipo_de_cambio': '', 'id_estado': 'not_paid', 'nombre_estado': 'Sin pagar', 'evento': {'id_evento': '', 'nom_evento': '', 'Fecha_hora_ini_event': '', 'Fecha_hora_fin_event': '', 'id_organizador': '', 'nom_organizador': 'CARDANO PRODUCC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0.5"/>
    <n v="24.19"/>
    <n v="0"/>
    <n v="20.5"/>
    <n v="18"/>
    <n v="3.69"/>
    <n v="24.19"/>
    <n v="1"/>
    <m/>
    <x v="1"/>
    <x v="1"/>
    <x v="0"/>
    <s v="SAMUEL CHUQUISTA"/>
    <x v="0"/>
    <s v="7012100 MercaderÃ­as-Venta Local-Terceros"/>
    <x v="3"/>
    <x v="22"/>
    <m/>
    <m/>
    <m/>
    <x v="0"/>
    <s v="CARDANO PRODUCCIONES S.A.C."/>
    <m/>
    <x v="320"/>
  </r>
  <r>
    <x v="3"/>
    <x v="294"/>
    <s v="COLABORATIVA S.A.C."/>
    <x v="17"/>
    <d v="2025-10-16T00:00:00"/>
    <x v="62"/>
    <m/>
    <n v="6"/>
    <n v="20606865199"/>
    <s v="[{'id_producto': '1', 'codigo_producto': '871', 'nom_producto': 'COMISIÃ“N PAGOS DIGITALES SEGÃšN CONTRATO ', 'categoria_producto': 'consu', 'cantidad': '1.0', 'valor_unitario': 52.29, 'precio_unitario': 61.7, 'descuento': 0.0, 'subtotal': 52.29, 'porcentaje_de_igv': '18.00', 'igv': 9.41, 'total': 61.7, 'moneda': '1', 'tipo_de_cambio': '', 'id_estado': 'not_paid', 'nombre_estado': 'Sin pagar', 'evento': {'id_evento': '', 'nom_evento': '', 'Fecha_hora_ini_event': '', 'Fecha_hora_fin_event': '', 'id_organizador': '', 'nom_organizador': 'M.C.A. SERVICIOS INDUSTRIAL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6"/>
    <x v="35"/>
    <s v="consu"/>
    <n v="1"/>
    <n v="52.29"/>
    <n v="61.7"/>
    <n v="0"/>
    <n v="52.29"/>
    <n v="18"/>
    <n v="9.41"/>
    <n v="61.7"/>
    <n v="1"/>
    <m/>
    <x v="1"/>
    <x v="1"/>
    <x v="0"/>
    <s v="SAMUEL CHUQUISTA"/>
    <x v="0"/>
    <s v="7012100 MercaderÃ­as-Venta Local-Terceros"/>
    <x v="3"/>
    <x v="22"/>
    <m/>
    <m/>
    <m/>
    <x v="0"/>
    <s v="M.C.A. SERVICIOS INDUSTRIALES E.I.R.L."/>
    <m/>
    <x v="321"/>
  </r>
  <r>
    <x v="3"/>
    <x v="295"/>
    <s v="COLABORATIVA S.A.C."/>
    <x v="17"/>
    <d v="2025-10-16T00:00:00"/>
    <x v="62"/>
    <m/>
    <n v="6"/>
    <n v="20606865199"/>
    <s v="[{'id_producto': '1', 'codigo_producto': '870', 'nom_producto': 'COMISIÃ“N VAOPE SEGÃšN CONTRATO', 'categoria_producto': 'consu', 'cantidad': '1.0', 'valor_unitario': 32.2, 'precio_unitario': 38.0, 'descuento': 0.0, 'subtotal': 32.2, 'porcentaje_de_igv': '18.01', 'igv': 5.8, 'total': 38.0, 'moneda': '1', 'tipo_de_cambio': '', 'id_estado': 'not_paid', 'nombre_estado': 'Sin pagar', 'evento': {'id_evento': '', 'nom_evento': '', 'Fecha_hora_ini_event': '', 'Fecha_hora_fin_event': '', 'id_organizador': '', 'nom_organizador': 'M.C.A. SERVICIOS INDUSTRIALES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2.200000000000003"/>
    <n v="38"/>
    <n v="0"/>
    <n v="32.200000000000003"/>
    <n v="18.010000000000002"/>
    <n v="5.8"/>
    <n v="38"/>
    <n v="1"/>
    <m/>
    <x v="1"/>
    <x v="1"/>
    <x v="0"/>
    <s v="SAMUEL CHUQUISTA"/>
    <x v="0"/>
    <s v="7012100 MercaderÃ­as-Venta Local-Terceros"/>
    <x v="3"/>
    <x v="22"/>
    <m/>
    <m/>
    <m/>
    <x v="0"/>
    <s v="M.C.A. SERVICIOS INDUSTRIALES E.I.R.L."/>
    <m/>
    <x v="322"/>
  </r>
  <r>
    <x v="2"/>
    <x v="296"/>
    <s v="COLABORATIVA S.A.C."/>
    <x v="18"/>
    <d v="2025-10-16T00:00:00"/>
    <x v="63"/>
    <m/>
    <n v="6"/>
    <n v="20609670518"/>
    <s v="[{'id_producto': '1', 'codigo_producto': '917', 'nom_producto': 'BRAZALETES STICKERS SIN ZONA - CARNABRAVAZO - 09 DE MARZO - I - P Y 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'', 'nom_organizador': 'FIESTAS BRAVAS GROUP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87"/>
    <x v="95"/>
    <s v="consu"/>
    <n v="1"/>
    <n v="1230"/>
    <n v="1451.4"/>
    <n v="0"/>
    <n v="1230"/>
    <n v="18"/>
    <n v="221.4"/>
    <n v="1451.4"/>
    <n v="1"/>
    <m/>
    <x v="1"/>
    <x v="1"/>
    <x v="0"/>
    <s v="SAMUEL CHUQUISTA"/>
    <x v="0"/>
    <s v="7012100 MercaderÃ­as-Venta Local-Terceros"/>
    <x v="2"/>
    <x v="22"/>
    <m/>
    <m/>
    <m/>
    <x v="0"/>
    <s v="FIESTAS BRAVAS GROUP S.A.C."/>
    <m/>
    <x v="323"/>
  </r>
  <r>
    <x v="2"/>
    <x v="297"/>
    <s v="COLABORATIVA S.A.C."/>
    <x v="18"/>
    <d v="2025-10-16T00:00:00"/>
    <x v="14"/>
    <m/>
    <n v="6"/>
    <n v="20611018925"/>
    <s v="[{'id_producto': '1', 'codigo_producto': '916', 'nom_producto': 'ENTRADAS IMPRESAS FULL COLOR -CORAZON SERRANO PAITA- 20/01 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88"/>
    <x v="96"/>
    <s v="consu"/>
    <n v="1"/>
    <n v="720"/>
    <n v="849.6"/>
    <n v="0"/>
    <n v="720"/>
    <n v="18"/>
    <n v="129.6"/>
    <n v="849.6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324"/>
  </r>
  <r>
    <x v="2"/>
    <x v="298"/>
    <s v="COLABORATIVA S.A.C."/>
    <x v="18"/>
    <d v="2025-10-16T00:00:00"/>
    <x v="14"/>
    <m/>
    <n v="6"/>
    <n v="20611018925"/>
    <s v="[{'id_producto': '1', 'codigo_producto': '915', 'nom_producto': 'ENTRADAS IMPRESAS FULL COLOR - CORAZON SERRANO VICE- 19/01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89"/>
    <x v="97"/>
    <s v="consu"/>
    <n v="1"/>
    <n v="720"/>
    <n v="849.6"/>
    <n v="0"/>
    <n v="720"/>
    <n v="18"/>
    <n v="129.6"/>
    <n v="849.6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325"/>
  </r>
  <r>
    <x v="2"/>
    <x v="299"/>
    <s v="COLABORATIVA S.A.C."/>
    <x v="18"/>
    <d v="2025-10-16T00:00:00"/>
    <x v="14"/>
    <m/>
    <n v="6"/>
    <n v="20611018925"/>
    <s v="[{'id_producto': '1', 'codigo_producto': '914', 'nom_producto': 'ENTRADAS IMPRESAS FULL COLOR -CORAZON SERRANO PARACHIQUE- 17/01 Y PERSONAL DELIVERY', 'categoria_producto': 'consu', 'cantidad': '1.0', 'valor_unitario': 209.66, 'precio_unitario': 247.4, 'descuento': 0.0, 'subtotal': 209.66, 'porcentaje_de_igv': '18.00', 'igv': 37.74, 'total': 247.4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90"/>
    <x v="98"/>
    <s v="consu"/>
    <n v="1"/>
    <n v="209.66"/>
    <n v="247.4"/>
    <n v="0"/>
    <n v="209.66"/>
    <n v="18"/>
    <n v="37.74"/>
    <n v="247.4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326"/>
  </r>
  <r>
    <x v="4"/>
    <x v="300"/>
    <s v="COLABORATIVA S.A.C."/>
    <x v="19"/>
    <d v="2025-10-16T00:00:00"/>
    <x v="64"/>
    <m/>
    <n v="1"/>
    <n v="47929429"/>
    <s v="[{'id_producto': '1', 'codigo_producto': '877', 'nom_producto': 'COMISIÃ“N PAGOS DIGITALES SEGÃšN CONTRATO', 'categoria_producto': 'consu', 'cantidad': '1.0', 'valor_unitario': 109.83, 'precio_unitario': 129.6, 'descuento': 0.0, 'subtotal': 109.83, 'porcentaje_de_igv': '18.00', 'igv': 19.77, 'total': 129.6, 'moneda': '1', 'tipo_de_cambio': '', 'id_estado': 'not_paid', 'nombre_estado': 'Sin pagar', 'evento': {'id_evento': '', 'nom_evento': '', 'Fecha_hora_ini_event': '', 'Fecha_hora_fin_event': '', 'id_organizador': '', 'nom_organizador': 'GEINER DAVID QUIROZ GIL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109.83"/>
    <n v="129.6"/>
    <n v="0"/>
    <n v="109.83"/>
    <n v="18"/>
    <n v="19.77"/>
    <n v="129.6"/>
    <n v="1"/>
    <m/>
    <x v="1"/>
    <x v="1"/>
    <x v="0"/>
    <s v="SAMUEL CHUQUISTA"/>
    <x v="0"/>
    <s v="7012100 MercaderÃ­as-Venta Local-Terceros"/>
    <x v="3"/>
    <x v="22"/>
    <m/>
    <m/>
    <m/>
    <x v="0"/>
    <s v="GEINER DAVID QUIROZ GIL_x000a_"/>
    <m/>
    <x v="327"/>
  </r>
  <r>
    <x v="4"/>
    <x v="301"/>
    <s v="COLABORATIVA S.A.C."/>
    <x v="19"/>
    <d v="2025-10-16T00:00:00"/>
    <x v="64"/>
    <m/>
    <n v="1"/>
    <n v="47929429"/>
    <s v="[{'id_producto': '1', 'codigo_producto': '878', 'nom_producto': 'COMISIÃ“N VAOPE SEGÃšN CONTRATO ', 'categoria_producto': 'consu', 'cantidad': '1.0', 'valor_unitario': 61.02, 'precio_unitario': 72.0, 'descuento': 0.0, 'subtotal': 61.02, 'porcentaje_de_igv': '17.99', 'igv': 10.98, 'total': 72.0, 'moneda': '1', 'tipo_de_cambio': '', 'id_estado': 'not_paid', 'nombre_estado': 'Sin pagar', 'evento': {'id_evento': '', 'nom_evento': '', 'Fecha_hora_ini_event': '', 'Fecha_hora_fin_event': '', 'id_organizador': '', 'nom_organizador': 'GEINER DAVID QUIROZ GIL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51"/>
    <x v="59"/>
    <s v="consu"/>
    <n v="1"/>
    <n v="61.02"/>
    <n v="72"/>
    <n v="0"/>
    <n v="61.02"/>
    <n v="17.989999999999998"/>
    <n v="10.98"/>
    <n v="72"/>
    <n v="1"/>
    <m/>
    <x v="1"/>
    <x v="1"/>
    <x v="0"/>
    <s v="SAMUEL CHUQUISTA"/>
    <x v="0"/>
    <s v="7012100 MercaderÃ­as-Venta Local-Terceros"/>
    <x v="3"/>
    <x v="22"/>
    <m/>
    <m/>
    <m/>
    <x v="0"/>
    <s v="GEINER DAVID QUIROZ GIL_x000a_"/>
    <m/>
    <x v="328"/>
  </r>
  <r>
    <x v="3"/>
    <x v="302"/>
    <s v="COLABORATIVA S.A.C."/>
    <x v="19"/>
    <d v="2025-10-16T00:00:00"/>
    <x v="30"/>
    <s v="Cliente"/>
    <n v="6"/>
    <n v="20296011356"/>
    <s v="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15T00:00:00"/>
    <m/>
    <m/>
    <m/>
    <m/>
    <m/>
    <n v="1"/>
    <x v="62"/>
    <x v="70"/>
    <s v="consu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6"/>
    <x v="22"/>
    <m/>
    <m/>
    <m/>
    <x v="0"/>
    <s v="COMPLEJO TURISTICO EL REMANSO SAC"/>
    <m/>
    <x v="329"/>
  </r>
  <r>
    <x v="3"/>
    <x v="303"/>
    <s v="COLABORATIVA S.A.C."/>
    <x v="19"/>
    <d v="2025-10-16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933.64, 'precio_unitario': 1101.7, 'descuento': 0.0, 'subtotal': 933.64, 'porcentaje_de_igv': '18.00', 'igv': 168.06, 'total': 1101.7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933.64"/>
    <n v="1101.7"/>
    <n v="0"/>
    <n v="933.64"/>
    <n v="18"/>
    <n v="168.06"/>
    <n v="1101.7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330"/>
  </r>
  <r>
    <x v="3"/>
    <x v="304"/>
    <s v="COLABORATIVA S.A.C."/>
    <x v="19"/>
    <d v="2025-10-16T00:00:00"/>
    <x v="30"/>
    <s v="Cliente"/>
    <n v="6"/>
    <n v="20296011356"/>
    <s v="[{'id_producto': '1', 'codigo_producto': '870', 'nom_producto': 'COMISIÃ“N VAOPE SEGÃšN CONTRATO', 'categoria_producto': 'consu', 'cantidad': '1.0', 'valor_unitario': 364.66, 'precio_unitario': 430.3, 'descuento': 0.0, 'subtotal': 364.66, 'porcentaje_de_igv': '18.00', 'igv': 65.64, 'total': 430.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4"/>
    <x v="1"/>
    <s v="consu"/>
    <n v="1"/>
    <n v="364.66"/>
    <n v="430.3"/>
    <n v="0"/>
    <n v="364.66"/>
    <n v="18"/>
    <n v="65.64"/>
    <n v="430.3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331"/>
  </r>
  <r>
    <x v="3"/>
    <x v="305"/>
    <s v="COLABORATIVA S.A.C."/>
    <x v="19"/>
    <d v="2025-10-16T00:00:00"/>
    <x v="35"/>
    <m/>
    <n v="6"/>
    <n v="20516587874"/>
    <s v="[{'id_producto': '1', 'codigo_producto': '874', 'nom_producto': 'COMISION CORTESIA', 'categoria_producto': 'consu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27"/>
    <x v="36"/>
    <s v="consu"/>
    <n v="1"/>
    <n v="7.5"/>
    <n v="8.85"/>
    <n v="0"/>
    <n v="7.5"/>
    <n v="18"/>
    <n v="1.35"/>
    <n v="8.85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332"/>
  </r>
  <r>
    <x v="3"/>
    <x v="306"/>
    <s v="COLABORATIVA S.A.C."/>
    <x v="19"/>
    <d v="2025-10-16T00:00:00"/>
    <x v="35"/>
    <m/>
    <n v="6"/>
    <n v="20516587874"/>
    <s v="[{'id_producto': '1', 'codigo_producto': '877', 'nom_producto': 'COMISIÃ“N PAGOS DIGITALES SEGÃšN CONTRATO', 'categoria_producto': 'consu', 'cantidad': '1.0', 'valor_unitario': 95.0, 'precio_unitario': 112.1, 'descuento': 0.0, 'subtotal': 95.0, 'porcentaje_de_igv': '18.00', 'igv': 17.1, 'total': 112.1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95"/>
    <n v="112.1"/>
    <n v="0"/>
    <n v="95"/>
    <n v="18"/>
    <n v="17.100000000000001"/>
    <n v="112.1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333"/>
  </r>
  <r>
    <x v="3"/>
    <x v="307"/>
    <s v="COLABORATIVA S.A.C."/>
    <x v="19"/>
    <d v="2025-10-16T00:00:00"/>
    <x v="35"/>
    <m/>
    <n v="6"/>
    <n v="20516587874"/>
    <s v="[{'id_producto': '1', 'codigo_producto': '870', 'nom_producto': 'COMISIÃ“N VAOPE SEGÃšN CONTRATO', 'categoria_producto': 'consu', 'cantidad': '1.0', 'valor_unitario': 56.69, 'precio_unitario': 66.9, 'descuento': 0.0, 'subtotal': 56.69, 'porcentaje_de_igv': '18.01', 'igv': 10.21, 'total': 66.9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4"/>
    <x v="1"/>
    <s v="consu"/>
    <n v="1"/>
    <n v="56.69"/>
    <n v="66.900000000000006"/>
    <n v="0"/>
    <n v="56.69"/>
    <n v="18.010000000000002"/>
    <n v="10.210000000000001"/>
    <n v="66.900000000000006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334"/>
  </r>
  <r>
    <x v="4"/>
    <x v="308"/>
    <s v="COLABORATIVA S.A.C."/>
    <x v="19"/>
    <d v="2025-10-16T00:00:00"/>
    <x v="38"/>
    <m/>
    <n v="1"/>
    <n v="45273802"/>
    <s v="[{'id_producto': '1', 'codigo_producto': '877', 'nom_producto': 'COMISIÃ“N PAGOS DIGITALES SEGÃšN CONTRATO', 'categoria_producto': 'consu', 'cantidad': '1.0', 'valor_unitario': 518.81, 'precio_unitario': 612.2, 'descuento': 0.0, 'subtotal': 518.81, 'porcentaje_de_igv': '18.00', 'igv': 93.39, 'total': 612.2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518.80999999999995"/>
    <n v="612.20000000000005"/>
    <n v="0"/>
    <n v="518.80999999999995"/>
    <n v="18"/>
    <n v="93.39"/>
    <n v="612.20000000000005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335"/>
  </r>
  <r>
    <x v="4"/>
    <x v="309"/>
    <s v="COLABORATIVA S.A.C."/>
    <x v="19"/>
    <d v="2025-10-16T00:00:00"/>
    <x v="38"/>
    <m/>
    <n v="1"/>
    <n v="45273802"/>
    <s v="[{'id_producto': '1', 'codigo_producto': '870', 'nom_producto': 'COMISIÃ“N VAOPE SEGÃšN CONTRATO', 'categoria_producto': 'consu', 'cantidad': '1.0', 'valor_unitario': 511.53, 'precio_unitario': 603.6, 'descuento': 0.0, 'subtotal': 511.53, 'porcentaje_de_igv': '18.00', 'igv': 92.07, 'total': 603.6, 'moneda': '1', 'tipo_de_cambio': '', 'id_estado': 'not_paid', 'nombre_estado': 'Sin pagar', 'evento': {'id_evento': '', 'nom_evento': '', 'Fecha_hora_ini_event': '', 'Fecha_hora_fin_event': '', 'id_organizador': '', 'nom_organizador': 'JAVIER ABEL SANCHEZ NUNTO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4"/>
    <x v="1"/>
    <s v="consu"/>
    <n v="1"/>
    <n v="511.53"/>
    <n v="603.6"/>
    <n v="0"/>
    <n v="511.53"/>
    <n v="18"/>
    <n v="92.07"/>
    <n v="603.6"/>
    <n v="1"/>
    <m/>
    <x v="1"/>
    <x v="1"/>
    <x v="0"/>
    <s v="SAMUEL CHUQUISTA"/>
    <x v="0"/>
    <s v="7012100 MercaderÃ­as-Venta Local-Terceros"/>
    <x v="3"/>
    <x v="22"/>
    <m/>
    <m/>
    <m/>
    <x v="0"/>
    <s v="JAVIER ABEL SANCHEZ NUNTON"/>
    <m/>
    <x v="336"/>
  </r>
  <r>
    <x v="2"/>
    <x v="310"/>
    <s v="COLABORATIVA S.A.C."/>
    <x v="20"/>
    <d v="2025-10-16T00:00:00"/>
    <x v="14"/>
    <m/>
    <n v="6"/>
    <n v="20611018925"/>
    <s v="[{'id_producto': '1', 'codigo_producto': '912', 'nom_producto': 'BRAZALETES VIP-CORAZON SERRANO SAN JUAN DE BIGOTE- 11/01, ENTRADAS IMPRESAS FULL COLOR, PERSONAL DELIVERY', 'categoria_producto': 'consu', 'cantidad': '1.0', 'valor_unitario': 976.5, 'precio_unitario': 1152.27, 'descuento': 0.0, 'subtotal': 976.5, 'porcentaje_de_igv': '18.00', 'igv': 175.77, 'total': 1152.27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9T00:00:00"/>
    <m/>
    <m/>
    <m/>
    <m/>
    <m/>
    <n v="1"/>
    <x v="91"/>
    <x v="99"/>
    <s v="consu"/>
    <n v="1"/>
    <n v="976.5"/>
    <n v="1152.27"/>
    <n v="0"/>
    <n v="976.5"/>
    <n v="18"/>
    <n v="175.77"/>
    <n v="1152.27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337"/>
  </r>
  <r>
    <x v="2"/>
    <x v="311"/>
    <s v="COLABORATIVA S.A.C."/>
    <x v="20"/>
    <d v="2025-10-16T00:00:00"/>
    <x v="14"/>
    <m/>
    <n v="6"/>
    <n v="20611018925"/>
    <s v="[{'id_producto': '1', 'codigo_producto': '911', 'nom_producto': 'BRAZALETES vip- CORAZON SERRANO CRUCETA - 10/01 Y ENTRADAS IMPRESAS FULL COLOR', 'categoria_producto': 'consu', 'cantidad': '1.0', 'valor_unitario': 970.0, 'precio_unitario': 1144.6, 'descuento': 0.0, 'subtotal': 970.0, 'porcentaje_de_igv': '18.00', 'igv': 174.6, 'total': 1144.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9T00:00:00"/>
    <m/>
    <m/>
    <m/>
    <m/>
    <m/>
    <n v="1"/>
    <x v="92"/>
    <x v="100"/>
    <s v="consu"/>
    <n v="1"/>
    <n v="970"/>
    <n v="1144.5999999999999"/>
    <n v="0"/>
    <n v="970"/>
    <n v="18"/>
    <n v="174.6"/>
    <n v="1144.5999999999999"/>
    <n v="1"/>
    <m/>
    <x v="1"/>
    <x v="1"/>
    <x v="0"/>
    <s v="SAMUEL CHUQUISTA"/>
    <x v="0"/>
    <s v="7012100 MercaderÃ­as-Venta Local-Terceros"/>
    <x v="2"/>
    <x v="22"/>
    <m/>
    <m/>
    <m/>
    <x v="0"/>
    <s v="G &amp; N MUSIC S.A.C."/>
    <m/>
    <x v="338"/>
  </r>
  <r>
    <x v="3"/>
    <x v="312"/>
    <s v="COLABORATIVA S.A.C."/>
    <x v="21"/>
    <d v="2025-10-16T00:00:00"/>
    <x v="1"/>
    <s v="Cliente"/>
    <n v="6"/>
    <n v="20608361074"/>
    <s v="[{'id_producto': '1', 'codigo_producto': '910', 'nom_producto': 'COMISION CORTESIA - JP PRODUCCIONES GENERALES SAC', 'categoria_producto': 'consu', 'cantidad': '1.0', 'valor_unitario': 44.97, 'precio_unitario': 53.07, 'descuento': 0.0, 'subtotal': 44.97, 'porcentaje_de_igv': '18.01', 'igv': 8.1, 'total': 53.07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3"/>
    <x v="101"/>
    <s v="consu"/>
    <n v="1"/>
    <n v="44.97"/>
    <n v="53.07"/>
    <n v="0"/>
    <n v="44.97"/>
    <n v="18.010000000000002"/>
    <n v="8.1"/>
    <n v="53.07"/>
    <n v="1"/>
    <m/>
    <x v="1"/>
    <x v="1"/>
    <x v="0"/>
    <s v="SAMUEL CHUQUISTA"/>
    <x v="0"/>
    <s v="7012100 MercaderÃ­as-Venta Local-Terceros"/>
    <x v="3"/>
    <x v="22"/>
    <m/>
    <m/>
    <m/>
    <x v="0"/>
    <s v="JP Producciones Generales EIRL"/>
    <m/>
    <x v="339"/>
  </r>
  <r>
    <x v="3"/>
    <x v="313"/>
    <s v="COLABORATIVA S.A.C."/>
    <x v="21"/>
    <d v="2025-10-16T00:00:00"/>
    <x v="1"/>
    <s v="Cliente"/>
    <n v="6"/>
    <n v="20608361074"/>
    <s v="[{'id_producto': '1', 'codigo_producto': '909', 'nom_producto': 'PERSONAL - VALIDADORES- JP PRODUCCIONES GENERALES SAC', 'categoria_producto': 'consu', 'cantidad': '1.0', 'valor_unitario': 210.0, 'precio_unitario': 247.8, 'descuento': 0.0, 'subtotal': 210.0, 'porcentaje_de_igv': '18.00', 'igv': 37.8, 'total': 247.8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94"/>
    <x v="102"/>
    <s v="consu"/>
    <n v="1"/>
    <n v="210"/>
    <n v="247.8"/>
    <n v="0"/>
    <n v="210"/>
    <n v="18"/>
    <n v="37.799999999999997"/>
    <n v="247.8"/>
    <n v="1"/>
    <m/>
    <x v="1"/>
    <x v="1"/>
    <x v="0"/>
    <s v="SAMUEL CHUQUISTA"/>
    <x v="0"/>
    <s v="7012100 MercaderÃ­as-Venta Local-Terceros"/>
    <x v="6"/>
    <x v="22"/>
    <m/>
    <m/>
    <m/>
    <x v="0"/>
    <s v="JP Producciones Generales EIRL"/>
    <m/>
    <x v="340"/>
  </r>
  <r>
    <x v="3"/>
    <x v="314"/>
    <s v="COLABORATIVA S.A.C."/>
    <x v="21"/>
    <d v="2025-10-16T00:00:00"/>
    <x v="1"/>
    <s v="Cliente"/>
    <n v="6"/>
    <n v="20608361074"/>
    <s v="[{'id_producto': '1', 'codigo_producto': '908', 'nom_producto': 'COMISIÃ“N PAGOS DIGITALES SEGUN CONTRATO - JP PRODUCCIONES GENERALES SAC', 'categoria_producto': 'consu', 'cantidad': '1.0', 'valor_unitario': 2551.03, 'precio_unitario': 3010.21, 'descuento': 0.0, 'subtotal': 2551.03, 'porcentaje_de_igv': '18.00', 'igv': 459.18, 'total': 3010.2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5"/>
    <x v="103"/>
    <s v="consu"/>
    <n v="1"/>
    <n v="2551.0300000000002"/>
    <n v="3010.21"/>
    <n v="0"/>
    <n v="2551.0300000000002"/>
    <n v="18"/>
    <n v="459.18"/>
    <n v="3010.21"/>
    <n v="1"/>
    <m/>
    <x v="1"/>
    <x v="1"/>
    <x v="0"/>
    <s v="SAMUEL CHUQUISTA"/>
    <x v="0"/>
    <s v="7012100 MercaderÃ­as-Venta Local-Terceros"/>
    <x v="3"/>
    <x v="22"/>
    <m/>
    <m/>
    <m/>
    <x v="0"/>
    <s v="JP Producciones Generales EIRL"/>
    <m/>
    <x v="341"/>
  </r>
  <r>
    <x v="3"/>
    <x v="315"/>
    <s v="COLABORATIVA S.A.C."/>
    <x v="21"/>
    <d v="2025-10-16T00:00:00"/>
    <x v="1"/>
    <s v="Cliente"/>
    <n v="6"/>
    <n v="20608361074"/>
    <s v="[{'id_producto': '1', 'codigo_producto': '907', 'nom_producto': 'COMISIÃ“N VAOPE SEGUN CONTRATO - JP PRODUCCIONES GENERALES SAC', 'categoria_producto': 'consu', 'cantidad': '1.0', 'valor_unitario': 1594.55, 'precio_unitario': 1881.57, 'descuento': 0.0, 'subtotal': 1594.55, 'porcentaje_de_igv': '18.00', 'igv': 287.02, 'total': 1881.57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6"/>
    <x v="104"/>
    <s v="consu"/>
    <n v="1"/>
    <n v="1594.55"/>
    <n v="1881.57"/>
    <n v="0"/>
    <n v="1594.55"/>
    <n v="18"/>
    <n v="287.02"/>
    <n v="1881.57"/>
    <n v="1"/>
    <m/>
    <x v="1"/>
    <x v="1"/>
    <x v="0"/>
    <s v="SAMUEL CHUQUISTA"/>
    <x v="0"/>
    <s v="7012100 MercaderÃ­as-Venta Local-Terceros"/>
    <x v="3"/>
    <x v="22"/>
    <m/>
    <m/>
    <m/>
    <x v="0"/>
    <s v="JP Producciones Generales EIRL"/>
    <m/>
    <x v="342"/>
  </r>
  <r>
    <x v="3"/>
    <x v="316"/>
    <s v="COLABORATIVA S.A.C."/>
    <x v="21"/>
    <d v="2025-10-16T00:00:00"/>
    <x v="14"/>
    <m/>
    <n v="6"/>
    <n v="20611018925"/>
    <s v="[{'id_producto': '1', 'codigo_producto': '906', 'nom_producto': 'COMISION CORTESIA - G&amp;N MUSIC SAC', 'categoria_producto': 'consu', 'cantidad': '1.0', 'valor_unitario': 83.53, 'precio_unitario': 98.56, 'descuento': 0.0, 'subtotal': 83.53, 'porcentaje_de_igv': '17.99', 'igv': 15.03, 'total': 98.56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7"/>
    <x v="105"/>
    <s v="consu"/>
    <n v="1"/>
    <n v="83.53"/>
    <n v="98.56"/>
    <n v="0"/>
    <n v="83.53"/>
    <n v="17.989999999999998"/>
    <n v="15.03"/>
    <n v="98.56"/>
    <n v="1"/>
    <m/>
    <x v="1"/>
    <x v="1"/>
    <x v="0"/>
    <s v="SAMUEL CHUQUISTA"/>
    <x v="0"/>
    <s v="7012100 MercaderÃ­as-Venta Local-Terceros"/>
    <x v="3"/>
    <x v="22"/>
    <m/>
    <m/>
    <m/>
    <x v="0"/>
    <s v="G &amp; N MUSIC S.A.C."/>
    <m/>
    <x v="343"/>
  </r>
  <r>
    <x v="3"/>
    <x v="317"/>
    <s v="COLABORATIVA S.A.C."/>
    <x v="21"/>
    <d v="2025-10-16T00:00:00"/>
    <x v="14"/>
    <m/>
    <n v="6"/>
    <n v="20611018925"/>
    <s v="[{'id_producto': '1', 'codigo_producto': '905', 'nom_producto': 'COMISIÃ“N PAGOS DIGITALES SEGUN CONTRATO - G&amp;N MUSIC SAC ', 'categoria_producto': 'consu', 'cantidad': '1.0', 'valor_unitario': 4737.62, 'precio_unitario': 5590.39, 'descuento': 0.0, 'subtotal': 4737.62, 'porcentaje_de_igv': '18.00', 'igv': 852.77, 'total': 5590.39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8"/>
    <x v="106"/>
    <s v="consu"/>
    <n v="1"/>
    <n v="4737.62"/>
    <n v="5590.39"/>
    <n v="0"/>
    <n v="4737.62"/>
    <n v="18"/>
    <n v="852.77"/>
    <n v="5590.39"/>
    <n v="1"/>
    <m/>
    <x v="1"/>
    <x v="1"/>
    <x v="0"/>
    <s v="SAMUEL CHUQUISTA"/>
    <x v="0"/>
    <s v="7012100 MercaderÃ­as-Venta Local-Terceros"/>
    <x v="3"/>
    <x v="22"/>
    <m/>
    <m/>
    <m/>
    <x v="0"/>
    <s v="G &amp; N MUSIC S.A.C."/>
    <m/>
    <x v="344"/>
  </r>
  <r>
    <x v="3"/>
    <x v="318"/>
    <s v="COLABORATIVA S.A.C."/>
    <x v="21"/>
    <d v="2025-10-16T00:00:00"/>
    <x v="14"/>
    <m/>
    <n v="6"/>
    <n v="20611018925"/>
    <s v="[{'id_producto': '1', 'codigo_producto': '904', 'nom_producto': 'COMISIÃ“N VAOPE SEGUN CONTRATO - G&amp;N MUSIC SAC', 'categoria_producto': 'consu', 'cantidad': '1.0', 'valor_unitario': 2961.31, 'precio_unitario': 3494.34, 'descuento': 0.0, 'subtotal': 2961.31, 'porcentaje_de_igv': '18.00', 'igv': 533.03, 'total': 3494.34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9"/>
    <x v="107"/>
    <s v="consu"/>
    <n v="1"/>
    <n v="2961.31"/>
    <n v="3494.34"/>
    <n v="0"/>
    <n v="2961.31"/>
    <n v="18"/>
    <n v="533.03"/>
    <n v="3494.34"/>
    <n v="1"/>
    <m/>
    <x v="1"/>
    <x v="1"/>
    <x v="0"/>
    <s v="SAMUEL CHUQUISTA"/>
    <x v="0"/>
    <s v="7012100 MercaderÃ­as-Venta Local-Terceros"/>
    <x v="3"/>
    <x v="22"/>
    <m/>
    <m/>
    <m/>
    <x v="0"/>
    <s v="G &amp; N MUSIC S.A.C."/>
    <m/>
    <x v="345"/>
  </r>
  <r>
    <x v="3"/>
    <x v="319"/>
    <s v="COLABORATIVA S.A.C."/>
    <x v="21"/>
    <d v="2025-10-16T00:00:00"/>
    <x v="14"/>
    <m/>
    <n v="6"/>
    <n v="20611018925"/>
    <s v="[{'id_producto': '1', 'codigo_producto': '903', 'nom_producto': 'PERSONAL - Servicio de 04 validadores (Inc IGV) ', 'categoria_producto': 'consu', 'cantidad': '1.0', 'valor_unitario': 390.0, 'precio_unitario': 460.2, 'descuento': 0.0, 'subtotal': 390.0, 'porcentaje_de_igv': '18.00', 'igv': 70.2, 'total': 460.2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100"/>
    <x v="108"/>
    <s v="consu"/>
    <n v="1"/>
    <n v="390"/>
    <n v="460.2"/>
    <n v="0"/>
    <n v="390"/>
    <n v="18"/>
    <n v="70.2"/>
    <n v="460.2"/>
    <n v="1"/>
    <m/>
    <x v="1"/>
    <x v="1"/>
    <x v="0"/>
    <s v="SAMUEL CHUQUISTA"/>
    <x v="0"/>
    <s v="7012100 MercaderÃ­as-Venta Local-Terceros"/>
    <x v="6"/>
    <x v="22"/>
    <m/>
    <m/>
    <m/>
    <x v="0"/>
    <s v="G &amp; N MUSIC S.A.C."/>
    <m/>
    <x v="346"/>
  </r>
  <r>
    <x v="3"/>
    <x v="320"/>
    <s v="COLABORATIVA S.A.C."/>
    <x v="21"/>
    <d v="2025-10-16T00:00:00"/>
    <x v="65"/>
    <m/>
    <n v="6"/>
    <n v="20604570451"/>
    <s v="[{'id_producto': '1', 'codigo_producto': '877', 'nom_producto': 'COMISIÃ“N PAGOS DIGITALES SEGÃšN CONTRATO', 'categoria_producto': 'consu', 'cantidad': '1.0', 'valor_unitario': 788.9, 'precio_unitario': 930.9, 'descuento': 0.0, 'subtotal': 788.9, 'porcentaje_de_igv': '18.00', 'igv': 142.0, 'total': 930.9, 'moneda': '1', 'tipo_de_cambio': '', 'id_estado': 'not_paid', 'nombre_estado': 'Sin pagar', 'evento': {'id_evento': '', 'nom_evento': '', 'Fecha_hora_ini_event': '', 'Fecha_hora_fin_event': '', 'id_organizador': '', 'nom_organizador': 'PROMOTORA Y SONIDO MUSICAL WC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788.9"/>
    <n v="930.9"/>
    <n v="0"/>
    <n v="788.9"/>
    <n v="18"/>
    <n v="142"/>
    <n v="930.9"/>
    <n v="1"/>
    <m/>
    <x v="1"/>
    <x v="1"/>
    <x v="0"/>
    <s v="SAMUEL CHUQUISTA"/>
    <x v="0"/>
    <s v="7012100 MercaderÃ­as-Venta Local-Terceros"/>
    <x v="3"/>
    <x v="22"/>
    <m/>
    <m/>
    <m/>
    <x v="0"/>
    <s v="PROMOTORA Y SONIDO MUSICAL WC E.I.R.L."/>
    <m/>
    <x v="347"/>
  </r>
  <r>
    <x v="3"/>
    <x v="321"/>
    <s v="COLABORATIVA S.A.C."/>
    <x v="21"/>
    <d v="2025-10-16T00:00:00"/>
    <x v="65"/>
    <m/>
    <n v="6"/>
    <n v="20604570451"/>
    <s v="[{'id_producto': '1', 'codigo_producto': '870', 'nom_producto': 'COMISIÃ“N VAOPE SEGÃšN CONTRATO', 'categoria_producto': 'consu', 'cantidad': '1.0', 'valor_unitario': 461.61, 'precio_unitario': 544.7, 'descuento': 0.0, 'subtotal': 461.61, 'porcentaje_de_igv': '18.00', 'igv': 83.09, 'total': 544.7, 'moneda': '1', 'tipo_de_cambio': '', 'id_estado': 'not_paid', 'nombre_estado': 'Sin pagar', 'evento': {'id_evento': '', 'nom_evento': '', 'Fecha_hora_ini_event': '', 'Fecha_hora_fin_event': '', 'id_organizador': '', 'nom_organizador': 'PROMOTORA Y SONIDO MUSICAL WC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461.61"/>
    <n v="544.70000000000005"/>
    <n v="0"/>
    <n v="461.61"/>
    <n v="18"/>
    <n v="83.09"/>
    <n v="544.70000000000005"/>
    <n v="1"/>
    <m/>
    <x v="1"/>
    <x v="1"/>
    <x v="0"/>
    <s v="SAMUEL CHUQUISTA"/>
    <x v="0"/>
    <s v="7012100 MercaderÃ­as-Venta Local-Terceros"/>
    <x v="3"/>
    <x v="22"/>
    <m/>
    <m/>
    <m/>
    <x v="0"/>
    <s v="PROMOTORA Y SONIDO MUSICAL WC E.I.R.L."/>
    <m/>
    <x v="348"/>
  </r>
  <r>
    <x v="4"/>
    <x v="322"/>
    <s v="COLABORATIVA S.A.C."/>
    <x v="21"/>
    <d v="2025-10-16T00:00:00"/>
    <x v="66"/>
    <s v="Cliente"/>
    <n v="1"/>
    <n v="9059888"/>
    <s v="[{'id_producto': '1', 'codigo_producto': '877', 'nom_producto': 'COMISIÃ“N PAGOS DIGITALES SEGÃšN CONTRATO', 'categoria_producto': 'consu', 'cantidad': '1.0', 'valor_unitario': 1599.66, 'precio_unitario': 1887.6, 'descuento': 0.0, 'subtotal': 1599.66, 'porcentaje_de_igv': '18.00', 'igv': 287.94, 'total': 1887.6, 'moneda': '1', 'tipo_de_cambio': '', 'id_estado': 'not_paid', 'nombre_estado': 'Sin pagar', 'evento': {'id_evento': '', 'nom_evento': '', 'Fecha_hora_ini_event': '', 'Fecha_hora_fin_event': '', 'id_organizador': '', 'nom_organizador': 'ALFREDO CALDERON MEDI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599.66"/>
    <n v="1887.6"/>
    <n v="0"/>
    <n v="1599.66"/>
    <n v="18"/>
    <n v="287.94"/>
    <n v="1887.6"/>
    <n v="1"/>
    <m/>
    <x v="1"/>
    <x v="1"/>
    <x v="0"/>
    <s v="SAMUEL CHUQUISTA"/>
    <x v="0"/>
    <s v="7012100 MercaderÃ­as-Venta Local-Terceros"/>
    <x v="3"/>
    <x v="22"/>
    <m/>
    <m/>
    <m/>
    <x v="0"/>
    <s v="ALFREDO CALDERON MEDINA"/>
    <m/>
    <x v="349"/>
  </r>
  <r>
    <x v="4"/>
    <x v="323"/>
    <s v="COLABORATIVA S.A.C."/>
    <x v="21"/>
    <d v="2025-10-16T00:00:00"/>
    <x v="66"/>
    <s v="Cliente"/>
    <n v="1"/>
    <n v="9059888"/>
    <s v="[{'id_producto': '1', 'codigo_producto': '870', 'nom_producto': 'COMISIÃ“N VAOPE SEGÃšN CONTRATO', 'categoria_producto': 'consu', 'cantidad': '1.0', 'valor_unitario': 947.12, 'precio_unitario': 1117.6, 'descuento': 0.0, 'subtotal': 947.12, 'porcentaje_de_igv': '18.00', 'igv': 170.48, 'total': 1117.6, 'moneda': '1', 'tipo_de_cambio': '', 'id_estado': 'not_paid', 'nombre_estado': 'Sin pagar', 'evento': {'id_evento': '', 'nom_evento': '', 'Fecha_hora_ini_event': '', 'Fecha_hora_fin_event': '', 'id_organizador': '', 'nom_organizador': 'ALFREDO CALDERON MEDIN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947.12"/>
    <n v="1117.5999999999999"/>
    <n v="0"/>
    <n v="947.12"/>
    <n v="18"/>
    <n v="170.48"/>
    <n v="1117.5999999999999"/>
    <n v="1"/>
    <m/>
    <x v="1"/>
    <x v="1"/>
    <x v="0"/>
    <s v="SAMUEL CHUQUISTA"/>
    <x v="0"/>
    <s v="7012100 MercaderÃ­as-Venta Local-Terceros"/>
    <x v="3"/>
    <x v="22"/>
    <m/>
    <m/>
    <m/>
    <x v="0"/>
    <s v="ALFREDO CALDERON MEDINA"/>
    <m/>
    <x v="350"/>
  </r>
  <r>
    <x v="3"/>
    <x v="324"/>
    <s v="COLABORATIVA S.A.C."/>
    <x v="21"/>
    <d v="2025-10-16T00:00:00"/>
    <x v="35"/>
    <m/>
    <n v="6"/>
    <n v="20516587874"/>
    <s v="[{'id_producto': '1', 'codigo_producto': '877', 'nom_producto': 'COMISIÃ“N PAGOS DIGITALES SEGÃšN CONTRATO', 'categoria_producto': 'consu', 'cantidad': '1.0', 'valor_unitario': 92.54, 'precio_unitario': 109.2, 'descuento': 0.0, 'subtotal': 92.54, 'porcentaje_de_igv': '18.00', 'igv': 16.66, 'total': 109.2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92.54"/>
    <n v="109.2"/>
    <n v="0"/>
    <n v="92.54"/>
    <n v="18"/>
    <n v="16.66"/>
    <n v="109.2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351"/>
  </r>
  <r>
    <x v="3"/>
    <x v="325"/>
    <s v="COLABORATIVA S.A.C."/>
    <x v="21"/>
    <d v="2025-10-16T00:00:00"/>
    <x v="35"/>
    <m/>
    <n v="6"/>
    <n v="20516587874"/>
    <s v="[{'id_producto': '1', 'codigo_producto': '870', 'nom_producto': 'COMISIÃ“N VAOPE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54.75"/>
    <n v="64.599999999999994"/>
    <n v="0"/>
    <n v="54.75"/>
    <n v="17.989999999999998"/>
    <n v="9.85"/>
    <n v="64.599999999999994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352"/>
  </r>
  <r>
    <x v="4"/>
    <x v="326"/>
    <s v="COLABORATIVA S.A.C."/>
    <x v="21"/>
    <d v="2025-10-16T00:00:00"/>
    <x v="67"/>
    <m/>
    <n v="1"/>
    <n v="43200314"/>
    <s v="[{'id_producto': '1', 'codigo_producto': '874', 'nom_producto': 'COMISION CORTESIA', 'categoria_producto': 'consu', 'cantidad': '1.0', 'valor_unitario': 15.0, 'precio_unitario': 17.7, 'descuento': 0.0, 'subtotal': 15.0, 'porcentaje_de_igv': '18.00', 'igv': 2.7, 'total': 17.7, 'moneda': '1', 'tipo_de_cambio': '', 'id_estado': 'not_paid', 'nombre_estado': 'Sin pagar', 'evento': {'id_evento': '', 'nom_evento': '', 'Fecha_hora_ini_event': '', 'Fecha_hora_fin_event': '', 'id_organizador': '', 'nom_organizador': 'ALAN GUILLERMO PAUCAR GAR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27"/>
    <x v="36"/>
    <s v="consu"/>
    <n v="1"/>
    <n v="15"/>
    <n v="17.7"/>
    <n v="0"/>
    <n v="15"/>
    <n v="18"/>
    <n v="2.7"/>
    <n v="17.7"/>
    <n v="1"/>
    <m/>
    <x v="1"/>
    <x v="1"/>
    <x v="0"/>
    <s v="SAMUEL CHUQUISTA"/>
    <x v="0"/>
    <s v="7012100 MercaderÃ­as-Venta Local-Terceros"/>
    <x v="3"/>
    <x v="22"/>
    <m/>
    <m/>
    <m/>
    <x v="0"/>
    <s v="ALAN GUILLERMO PAUCAR GARRO"/>
    <m/>
    <x v="353"/>
  </r>
  <r>
    <x v="4"/>
    <x v="327"/>
    <s v="COLABORATIVA S.A.C."/>
    <x v="21"/>
    <d v="2025-10-16T00:00:00"/>
    <x v="67"/>
    <m/>
    <n v="1"/>
    <n v="43200314"/>
    <s v="[{'id_producto': '1', 'codigo_producto': '877', 'nom_producto': 'COMISIÃ“N PAGOS DIGITALES SEGÃšN CONTRATO', 'categoria_producto': 'consu', 'cantidad': '1.0', 'valor_unitario': 530.17, 'precio_unitario': 625.6, 'descuento': 0.0, 'subtotal': 530.17, 'porcentaje_de_igv': '18.00', 'igv': 95.43, 'total': 625.6, 'moneda': '1', 'tipo_de_cambio': '', 'id_estado': 'not_paid', 'nombre_estado': 'Sin pagar', 'evento': {'id_evento': '', 'nom_evento': '', 'Fecha_hora_ini_event': '', 'Fecha_hora_fin_event': '', 'id_organizador': '', 'nom_organizador': 'ALAN GUILLERMO PAUCAR GAR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530.16999999999996"/>
    <n v="625.6"/>
    <n v="0"/>
    <n v="530.16999999999996"/>
    <n v="18"/>
    <n v="95.43"/>
    <n v="625.6"/>
    <n v="1"/>
    <m/>
    <x v="1"/>
    <x v="1"/>
    <x v="0"/>
    <s v="SAMUEL CHUQUISTA"/>
    <x v="0"/>
    <s v="7012100 MercaderÃ­as-Venta Local-Terceros"/>
    <x v="3"/>
    <x v="22"/>
    <m/>
    <m/>
    <m/>
    <x v="0"/>
    <s v="ALAN GUILLERMO PAUCAR GARRO"/>
    <m/>
    <x v="354"/>
  </r>
  <r>
    <x v="4"/>
    <x v="328"/>
    <s v="COLABORATIVA S.A.C."/>
    <x v="21"/>
    <d v="2025-10-16T00:00:00"/>
    <x v="67"/>
    <m/>
    <n v="1"/>
    <n v="43200314"/>
    <s v="[{'id_producto': '1', 'codigo_producto': '870', 'nom_producto': 'COMISIÃ“N VAOPE SEGÃšN CONTRATO', 'categoria_producto': 'consu', 'cantidad': '1.0', 'valor_unitario': 338.9, 'precio_unitario': 399.9, 'descuento': 0.0, 'subtotal': 338.9, 'porcentaje_de_igv': '18.00', 'igv': 61.0, 'total': 399.9, 'moneda': '1', 'tipo_de_cambio': '', 'id_estado': 'not_paid', 'nombre_estado': 'Sin pagar', 'evento': {'id_evento': '', 'nom_evento': '', 'Fecha_hora_ini_event': '', 'Fecha_hora_fin_event': '', 'id_organizador': '', 'nom_organizador': 'ALAN GUILLERMO PAUCAR GARR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338.9"/>
    <n v="399.9"/>
    <n v="0"/>
    <n v="338.9"/>
    <n v="18"/>
    <n v="61"/>
    <n v="399.9"/>
    <n v="1"/>
    <m/>
    <x v="1"/>
    <x v="1"/>
    <x v="0"/>
    <s v="SAMUEL CHUQUISTA"/>
    <x v="0"/>
    <s v="7012100 MercaderÃ­as-Venta Local-Terceros"/>
    <x v="3"/>
    <x v="22"/>
    <m/>
    <m/>
    <m/>
    <x v="0"/>
    <s v="ALAN GUILLERMO PAUCAR GARRO"/>
    <m/>
    <x v="355"/>
  </r>
  <r>
    <x v="4"/>
    <x v="329"/>
    <s v="COLABORATIVA S.A.C."/>
    <x v="21"/>
    <d v="2025-10-16T00:00:00"/>
    <x v="68"/>
    <m/>
    <n v="1"/>
    <n v="46851196"/>
    <s v="[{'id_producto': '1', 'codigo_producto': '877', 'nom_producto': 'COMISIÃ“N PAGOS DIGITALES SEGÃšN CONTRATO', 'categoria_producto': 'consu', 'cantidad': '1.0', 'valor_unitario': 1.44, 'precio_unitario': 1.7, 'descuento': 0.0, 'subtotal': 1.44, 'porcentaje_de_igv': '18.06', 'igv': 0.26, 'total': 1.7, 'moneda': '1', 'tipo_de_cambio': '', 'id_estado': 'not_paid', 'nombre_estado': 'Sin pagar', 'evento': {'id_evento': '', 'nom_evento': '', 'Fecha_hora_ini_event': '', 'Fecha_hora_fin_event': '', 'id_organizador': '', 'nom_organizador': 'EMILIANO MINCHOLA RIVER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.44"/>
    <n v="1.7"/>
    <n v="0"/>
    <n v="1.44"/>
    <n v="18.059999999999999"/>
    <n v="0.26"/>
    <n v="1.7"/>
    <n v="1"/>
    <m/>
    <x v="1"/>
    <x v="1"/>
    <x v="0"/>
    <s v="SAMUEL CHUQUISTA"/>
    <x v="0"/>
    <s v="7012100 MercaderÃ­as-Venta Local-Terceros"/>
    <x v="3"/>
    <x v="22"/>
    <m/>
    <m/>
    <m/>
    <x v="0"/>
    <s v="EMILIANO MINCHOLA RIVEROS"/>
    <m/>
    <x v="356"/>
  </r>
  <r>
    <x v="4"/>
    <x v="330"/>
    <s v="COLABORATIVA S.A.C."/>
    <x v="21"/>
    <d v="2025-10-16T00:00:00"/>
    <x v="68"/>
    <m/>
    <n v="1"/>
    <n v="46851196"/>
    <s v="[{'id_producto': '1', 'codigo_producto': '870', 'nom_producto': 'COMISIÃ“N VAOPE SEGÃšN CONTRATO', 'categoria_producto': 'consu', 'cantidad': '1.0', 'valor_unitario': 1.02, 'precio_unitario': 1.2, 'descuento': 0.0, 'subtotal': 1.02, 'porcentaje_de_igv': '17.65', 'igv': 0.18, 'total': 1.2, 'moneda': '1', 'tipo_de_cambio': '', 'id_estado': 'not_paid', 'nombre_estado': 'Sin pagar', 'evento': {'id_evento': '', 'nom_evento': '', 'Fecha_hora_ini_event': '', 'Fecha_hora_fin_event': '', 'id_organizador': '', 'nom_organizador': 'EMILIANO MINCHOLA RIVER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1.02"/>
    <n v="1.2"/>
    <n v="0"/>
    <n v="1.02"/>
    <n v="17.649999999999999"/>
    <n v="0.18"/>
    <n v="1.2"/>
    <n v="1"/>
    <m/>
    <x v="1"/>
    <x v="1"/>
    <x v="0"/>
    <s v="SAMUEL CHUQUISTA"/>
    <x v="0"/>
    <s v="7012100 MercaderÃ­as-Venta Local-Terceros"/>
    <x v="3"/>
    <x v="22"/>
    <m/>
    <m/>
    <m/>
    <x v="0"/>
    <s v="EMILIANO MINCHOLA RIVEROS"/>
    <m/>
    <x v="357"/>
  </r>
  <r>
    <x v="3"/>
    <x v="331"/>
    <s v="COLABORATIVA S.A.C."/>
    <x v="21"/>
    <d v="2025-10-16T00:00:00"/>
    <x v="30"/>
    <s v="Cliente"/>
    <n v="6"/>
    <n v="20296011356"/>
    <s v="[{'id_producto': '1', 'codigo_producto': '902', 'nom_producto': 'PERSONAL - SERVICIO DE 03 VALIDADORES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101"/>
    <x v="109"/>
    <s v="consu"/>
    <n v="1"/>
    <n v="450"/>
    <n v="531"/>
    <n v="0"/>
    <n v="450"/>
    <n v="18"/>
    <n v="81"/>
    <n v="531"/>
    <n v="1"/>
    <m/>
    <x v="1"/>
    <x v="1"/>
    <x v="0"/>
    <s v="SAMUEL CHUQUISTA"/>
    <x v="0"/>
    <s v="7012100 MercaderÃ­as-Venta Local-Terceros"/>
    <x v="6"/>
    <x v="22"/>
    <m/>
    <m/>
    <m/>
    <x v="0"/>
    <s v="COMPLEJO TURISTICO EL REMANSO SAC"/>
    <m/>
    <x v="358"/>
  </r>
  <r>
    <x v="3"/>
    <x v="332"/>
    <s v="COLABORATIVA S.A.C."/>
    <x v="21"/>
    <d v="2025-10-16T00:00:00"/>
    <x v="30"/>
    <s v="Cliente"/>
    <n v="6"/>
    <n v="20296011356"/>
    <s v="[{'id_producto': '1', 'codigo_producto': '901', 'nom_producto': 'ENTRADAS IMPRESAS - ORDEN DE VENTA NÂ°518  * Caribepiscinazo con CaribeÃ±os en El Remanso de Comas / 2,000 FULL COLOR GENERAL ADULTOS / 300 FULL COLOR GENERAL NIÃ‘OS (S/1,085.60) ', 'categoria_producto': 'consu', 'cantidad': '1.0', 'valor_unitario': 920.0, 'precio_unitario': 1085.6, 'descuento': 0.0, 'subtotal': 920.0, 'porcentaje_de_igv': '18.00', 'igv': 165.6, 'total': 1085.6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2"/>
    <x v="110"/>
    <s v="consu"/>
    <n v="1"/>
    <n v="920"/>
    <n v="1085.5999999999999"/>
    <n v="0"/>
    <n v="920"/>
    <n v="18"/>
    <n v="165.6"/>
    <n v="1085.5999999999999"/>
    <n v="1"/>
    <m/>
    <x v="1"/>
    <x v="1"/>
    <x v="0"/>
    <s v="SAMUEL CHUQUISTA"/>
    <x v="0"/>
    <s v="7012100 MercaderÃ­as-Venta Local-Terceros"/>
    <x v="2"/>
    <x v="22"/>
    <m/>
    <m/>
    <m/>
    <x v="0"/>
    <s v="COMPLEJO TURISTICO EL REMANSO SAC"/>
    <m/>
    <x v="359"/>
  </r>
  <r>
    <x v="3"/>
    <x v="333"/>
    <s v="COLABORATIVA S.A.C."/>
    <x v="21"/>
    <d v="2025-10-16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1200.42, 'precio_unitario': 1416.5, 'descuento': 0.0, 'subtotal': 1200.42, 'porcentaje_de_igv': '18.00', 'igv': 216.08, 'total': 1416.5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200.42"/>
    <n v="1416.5"/>
    <n v="0"/>
    <n v="1200.42"/>
    <n v="18"/>
    <n v="216.08"/>
    <n v="1416.5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360"/>
  </r>
  <r>
    <x v="3"/>
    <x v="334"/>
    <s v="COLABORATIVA S.A.C."/>
    <x v="21"/>
    <d v="2025-10-16T00:00:00"/>
    <x v="30"/>
    <s v="Cliente"/>
    <n v="6"/>
    <n v="20296011356"/>
    <s v="[{'id_producto': '1', 'codigo_producto': '878', 'nom_producto': 'COMISIÃ“N VAOPE SEGÃšN CONTRATO ', 'categoria_producto': 'consu', 'cantidad': '1.0', 'valor_unitario': 586.36, 'precio_unitario': 691.9, 'descuento': 0.0, 'subtotal': 586.36, 'porcentaje_de_igv': '18.00', 'igv': 105.54, 'total': 691.9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51"/>
    <x v="59"/>
    <s v="consu"/>
    <n v="1"/>
    <n v="586.36"/>
    <n v="691.9"/>
    <n v="0"/>
    <n v="586.36"/>
    <n v="18"/>
    <n v="105.54"/>
    <n v="691.9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361"/>
  </r>
  <r>
    <x v="3"/>
    <x v="335"/>
    <s v="COLABORATIVA S.A.C."/>
    <x v="21"/>
    <d v="2025-10-16T00:00:00"/>
    <x v="40"/>
    <m/>
    <n v="6"/>
    <n v="20611587741"/>
    <s v="[{'id_producto': '1', 'codigo_producto': '877', 'nom_producto': 'COMISIÃ“N PAGOS DIGITALES SEGÃšN CONTRATO', 'categoria_producto': 'consu', 'cantidad': '1.0', 'valor_unitario': 52.54, 'precio_unitario': 62.0, 'descuento': 0.0, 'subtotal': 52.54, 'porcentaje_de_igv': '18.01', 'igv': 9.46, 'total': 62.0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52.54"/>
    <n v="62"/>
    <n v="0"/>
    <n v="52.54"/>
    <n v="18.010000000000002"/>
    <n v="9.4600000000000009"/>
    <n v="62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362"/>
  </r>
  <r>
    <x v="3"/>
    <x v="336"/>
    <s v="COLABORATIVA S.A.C."/>
    <x v="21"/>
    <d v="2025-10-16T00:00:00"/>
    <x v="40"/>
    <m/>
    <n v="6"/>
    <n v="20611587741"/>
    <s v="[{'id_producto': '1', 'codigo_producto': '870', 'nom_producto': 'COMISIÃ“N VAOPE SEGÃšN CONTRATO', 'categoria_producto': 'consu', 'cantidad': '1.0', 'valor_unitario': 36.61, 'precio_unitario': 43.2, 'descuento': 0.0, 'subtotal': 36.61, 'porcentaje_de_igv': '18.00', 'igv': 6.59, 'total': 43.2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36.61"/>
    <n v="43.2"/>
    <n v="0"/>
    <n v="36.61"/>
    <n v="18"/>
    <n v="6.59"/>
    <n v="43.2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363"/>
  </r>
  <r>
    <x v="3"/>
    <x v="337"/>
    <s v="COLABORATIVA S.A.C."/>
    <x v="21"/>
    <d v="2025-10-16T00:00:00"/>
    <x v="28"/>
    <m/>
    <n v="6"/>
    <n v="20611890746"/>
    <s v="[{'id_producto': '1', 'codigo_producto': '900', 'nom_producto': 'PERSONAL - gasto envi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1-08T00:00:00"/>
    <m/>
    <m/>
    <m/>
    <m/>
    <m/>
    <n v="1"/>
    <x v="103"/>
    <x v="11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7"/>
    <x v="22"/>
    <m/>
    <m/>
    <m/>
    <x v="0"/>
    <s v="CONSORCIO CHUNGA &amp; ASOCIADOS S.A.C."/>
    <m/>
    <x v="364"/>
  </r>
  <r>
    <x v="3"/>
    <x v="338"/>
    <s v="COLABORATIVA S.A.C."/>
    <x v="21"/>
    <d v="2025-10-16T00:00:00"/>
    <x v="28"/>
    <m/>
    <n v="6"/>
    <n v="20611890746"/>
    <s v="[{'id_producto': '1', 'codigo_producto': '899', 'nom_producto': 'ENTRADAS IMPRESAS - ORDEN DE VENTA NÂ°505\n * La Ãšnica Tropical en Casa Cub Sullana / 3,000 FULL COLOR GENERAL / 1,000 BRAZALETES VIP (S/2,124.00)', 'categoria_producto': 'consu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4"/>
    <x v="112"/>
    <s v="consu"/>
    <n v="1"/>
    <n v="1800"/>
    <n v="2124"/>
    <n v="0"/>
    <n v="1800"/>
    <n v="18"/>
    <n v="324"/>
    <n v="212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65"/>
  </r>
  <r>
    <x v="3"/>
    <x v="339"/>
    <s v="COLABORATIVA S.A.C."/>
    <x v="21"/>
    <d v="2025-10-16T00:00:00"/>
    <x v="28"/>
    <m/>
    <n v="6"/>
    <n v="20611890746"/>
    <s v="[{'id_producto': '1', 'codigo_producto': '898', 'nom_producto': 'ENTRADAS IMPRESAS - ORDEN DE VENTA NÂ°493\n * FELIZ NAVIDAD SECHURA - I - P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5"/>
    <x v="113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66"/>
  </r>
  <r>
    <x v="3"/>
    <x v="340"/>
    <s v="COLABORATIVA S.A.C."/>
    <x v="21"/>
    <d v="2025-10-16T00:00:00"/>
    <x v="28"/>
    <m/>
    <n v="6"/>
    <n v="20611890746"/>
    <s v="[{'id_producto': '1', 'codigo_producto': '897', 'nom_producto': 'ENTRADAS IMPRESAS - ORDEN DE VENTA NÂ°500\n * LA UNICA TROPICAL - EL ALTO - PIURA - 30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6"/>
    <x v="114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67"/>
  </r>
  <r>
    <x v="3"/>
    <x v="341"/>
    <s v="COLABORATIVA S.A.C."/>
    <x v="21"/>
    <d v="2025-10-16T00:00:00"/>
    <x v="28"/>
    <m/>
    <n v="6"/>
    <n v="20611890746"/>
    <s v="[{'id_producto': '1', 'codigo_producto': '896', 'nom_producto': 'ENTRADAS IMPRESAS - ORDEN DE VENTA NÂ°501\n * LA UNICA TROPICAL - LA UNION - BAJO PIURA - 28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7"/>
    <x v="115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68"/>
  </r>
  <r>
    <x v="3"/>
    <x v="342"/>
    <s v="COLABORATIVA S.A.C."/>
    <x v="21"/>
    <d v="2025-10-16T00:00:00"/>
    <x v="28"/>
    <m/>
    <n v="6"/>
    <n v="20611890746"/>
    <s v="[{'id_producto': '1', 'codigo_producto': '895', 'nom_producto': 'ENTRADAS IMPRESAS - ORDEN DE VENTA NÂ°514\n * LA UNICA TROPICAL EN PLAZA NORTE - I - P / 2,000 FULL COLOR / 2,000 BRAZALETES VIP (S/2,360.00)', 'categoria_producto': 'consu', 'cantidad': '1.0', 'valor_unitario': 2000.0, 'precio_unitario': 2360.0, 'descuento': 0.0, 'subtotal': 2000.0, 'porcentaje_de_igv': '18.00', 'igv': 360.0, 'total': 2360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8"/>
    <x v="116"/>
    <s v="consu"/>
    <n v="1"/>
    <n v="2000"/>
    <n v="2360"/>
    <n v="0"/>
    <n v="2000"/>
    <n v="18"/>
    <n v="360"/>
    <n v="2360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69"/>
  </r>
  <r>
    <x v="3"/>
    <x v="343"/>
    <s v="COLABORATIVA S.A.C."/>
    <x v="21"/>
    <d v="2025-10-16T00:00:00"/>
    <x v="28"/>
    <m/>
    <n v="6"/>
    <n v="20611890746"/>
    <s v="[{'id_producto': '1', 'codigo_producto': '894', 'nom_producto': 'ENTRADAS IMPRESAS - ORDEN DE VENTA NÂ°512\n * La Ãšnica Tropical en Aqualandia de Piura - 2DO PEDIDO - 31/12 - I - P/ 2,000 BRAZALETES VIP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9"/>
    <x v="117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70"/>
  </r>
  <r>
    <x v="3"/>
    <x v="344"/>
    <s v="COLABORATIVA S.A.C."/>
    <x v="21"/>
    <d v="2025-10-16T00:00:00"/>
    <x v="28"/>
    <m/>
    <n v="6"/>
    <n v="20611890746"/>
    <s v="[{'id_producto': '1', 'codigo_producto': '893', 'nom_producto': 'ENTRADAS IMPRESAS - ORDEN DE VENTA NÂ°502 La Ãšnica Tropical en Aqualandia de Piura / 10,000 FULL COLOR GENERAL / 3,000 FULL COLOR NIÃ‘OS (S/6,136.00)', 'categoria_producto': 'consu', 'cantidad': '1.0', 'valor_unitario': 5200.0, 'precio_unitario': 6136.0, 'descuento': 0.0, 'subtotal': 5200.0, 'porcentaje_de_igv': '18.00', 'igv': 936.0, 'total': 6136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10"/>
    <x v="118"/>
    <s v="consu"/>
    <n v="1"/>
    <n v="5200"/>
    <n v="6136"/>
    <n v="0"/>
    <n v="5200"/>
    <n v="18"/>
    <n v="936"/>
    <n v="6136"/>
    <n v="1"/>
    <m/>
    <x v="1"/>
    <x v="1"/>
    <x v="0"/>
    <s v="SAMUEL CHUQUISTA"/>
    <x v="0"/>
    <s v="7012100 MercaderÃ­as-Venta Local-Terceros"/>
    <x v="2"/>
    <x v="22"/>
    <m/>
    <m/>
    <m/>
    <x v="0"/>
    <s v="CONSORCIO CHUNGA &amp; ASOCIADOS S.A.C."/>
    <m/>
    <x v="371"/>
  </r>
  <r>
    <x v="3"/>
    <x v="345"/>
    <s v="COLABORATIVA S.A.C."/>
    <x v="21"/>
    <d v="2025-10-16T00:00:00"/>
    <x v="28"/>
    <m/>
    <n v="6"/>
    <n v="20611890746"/>
    <s v="[{'id_producto': '1', 'codigo_producto': '877', 'nom_producto': 'COMISIÃ“N PAGOS DIGITALES SEGÃšN CONTRATO', 'categoria_producto': 'consu', 'cantidad': '1.0', 'valor_unitario': 3942.12, 'precio_unitario': 4651.7, 'descuento': 0.0, 'subtotal': 3942.12, 'porcentaje_de_igv': '18.00', 'igv': 709.58, 'total': 4651.7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3942.12"/>
    <n v="4651.7"/>
    <n v="0"/>
    <n v="3942.12"/>
    <n v="18"/>
    <n v="709.58"/>
    <n v="4651.7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72"/>
  </r>
  <r>
    <x v="3"/>
    <x v="346"/>
    <s v="COLABORATIVA S.A.C."/>
    <x v="21"/>
    <d v="2025-10-16T00:00:00"/>
    <x v="28"/>
    <m/>
    <n v="6"/>
    <n v="20611890746"/>
    <s v="[{'id_producto': '1', 'codigo_producto': '870', 'nom_producto': 'COMISIÃ“N VAOPE SEGÃšN CONTRATO', 'categoria_producto': 'consu', 'cantidad': '1.0', 'valor_unitario': 2244.07, 'precio_unitario': 2648.0, 'descuento': 0.0, 'subtotal': 2244.07, 'porcentaje_de_igv': '18.00', 'igv': 403.93, 'total': 2648.0, 'moneda': '1', 'tipo_de_cambio': '', 'id_estado': 'not_paid', 'nombre_estado': 'Sin pagar', 'evento': {'id_evento': '', 'nom_evento': '', 'Fecha_hora_ini_event': '', 'Fecha_hora_fin_event': '', 'id_organizador': '', 'nom_organizador': 'CONSORCIO CHUNGA &amp; ASOCIADO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2244.0700000000002"/>
    <n v="2648"/>
    <n v="0"/>
    <n v="2244.0700000000002"/>
    <n v="18"/>
    <n v="403.93"/>
    <n v="2648"/>
    <n v="1"/>
    <m/>
    <x v="1"/>
    <x v="1"/>
    <x v="0"/>
    <s v="SAMUEL CHUQUISTA"/>
    <x v="0"/>
    <s v="7012100 MercaderÃ­as-Venta Local-Terceros"/>
    <x v="3"/>
    <x v="22"/>
    <m/>
    <m/>
    <m/>
    <x v="0"/>
    <s v="CONSORCIO CHUNGA &amp; ASOCIADOS S.A.C."/>
    <m/>
    <x v="373"/>
  </r>
  <r>
    <x v="3"/>
    <x v="347"/>
    <s v="COLABORATIVA S.A.C."/>
    <x v="21"/>
    <d v="2025-10-16T00:00:00"/>
    <x v="20"/>
    <s v="Cliente"/>
    <n v="6"/>
    <n v="20602855733"/>
    <s v="[{'id_producto': '1', 'codigo_producto': '874', 'nom_producto': 'COMISION CORTESIA', 'categoria_producto': 'consu', 'cantidad': '1.0', 'valor_unitario': 202.5, 'precio_unitario': 238.95, 'descuento': 0.0, 'subtotal': 202.5, 'porcentaje_de_igv': '18.00', 'igv': 36.45, 'total': 238.95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27"/>
    <x v="36"/>
    <s v="consu"/>
    <n v="1"/>
    <n v="202.5"/>
    <n v="238.95"/>
    <n v="0"/>
    <n v="202.5"/>
    <n v="18"/>
    <n v="36.450000000000003"/>
    <n v="238.95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374"/>
  </r>
  <r>
    <x v="3"/>
    <x v="348"/>
    <s v="COLABORATIVA S.A.C."/>
    <x v="21"/>
    <d v="2025-10-16T00:00:00"/>
    <x v="20"/>
    <s v="Cliente"/>
    <n v="6"/>
    <n v="20602855733"/>
    <s v="[{'id_producto': '1', 'codigo_producto': '892', 'nom_producto': 'PERSONAL - Servicio de 03 validadores (inc IGV)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111"/>
    <x v="119"/>
    <s v="consu"/>
    <n v="1"/>
    <n v="450"/>
    <n v="531"/>
    <n v="0"/>
    <n v="450"/>
    <n v="18"/>
    <n v="81"/>
    <n v="531"/>
    <n v="1"/>
    <m/>
    <x v="1"/>
    <x v="1"/>
    <x v="0"/>
    <s v="SAMUEL CHUQUISTA"/>
    <x v="0"/>
    <s v="7012100 MercaderÃ­as-Venta Local-Terceros"/>
    <x v="6"/>
    <x v="22"/>
    <m/>
    <m/>
    <m/>
    <x v="0"/>
    <s v="FIESTA KARIBEÃ‘A SOCIEDAD ANONIMA CERRADA"/>
    <m/>
    <x v="375"/>
  </r>
  <r>
    <x v="3"/>
    <x v="349"/>
    <s v="COLABORATIVA S.A.C."/>
    <x v="21"/>
    <d v="2025-10-16T00:00:00"/>
    <x v="20"/>
    <s v="Cliente"/>
    <n v="6"/>
    <n v="20602855733"/>
    <s v="[{'id_producto': '1', 'codigo_producto': '891', 'nom_producto': 'ENTRADAS IMPRESAS - ORDEN DE VENTA NÂ°509\n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12"/>
    <x v="120"/>
    <s v="consu"/>
    <n v="1"/>
    <n v="3400"/>
    <n v="4012"/>
    <n v="0"/>
    <n v="3400"/>
    <n v="18"/>
    <n v="612"/>
    <n v="4012"/>
    <n v="1"/>
    <m/>
    <x v="1"/>
    <x v="1"/>
    <x v="0"/>
    <s v="SAMUEL CHUQUISTA"/>
    <x v="0"/>
    <s v="7012100 MercaderÃ­as-Venta Local-Terceros"/>
    <x v="2"/>
    <x v="22"/>
    <m/>
    <m/>
    <m/>
    <x v="0"/>
    <s v="FIESTA KARIBEÃ‘A SOCIEDAD ANONIMA CERRADA"/>
    <m/>
    <x v="376"/>
  </r>
  <r>
    <x v="3"/>
    <x v="350"/>
    <s v="COLABORATIVA S.A.C."/>
    <x v="21"/>
    <d v="2025-10-16T00:00:00"/>
    <x v="20"/>
    <s v="Cliente"/>
    <n v="6"/>
    <n v="20602855733"/>
    <s v="[{'id_producto': '1', 'codigo_producto': '871', 'nom_producto': 'COMISIÃ“N PAGOS DIGITALES SEGÃšN CONTRATO ', 'categoria_producto': 'consu', 'cantidad': '1.0', 'valor_unitario': 2862.29, 'precio_unitario': 3377.5, 'descuento': 0.0, 'subtotal': 2862.29, 'porcentaje_de_igv': '18.00', 'igv': 515.21, 'total': 3377.5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26"/>
    <x v="35"/>
    <s v="consu"/>
    <n v="1"/>
    <n v="2862.29"/>
    <n v="3377.5"/>
    <n v="0"/>
    <n v="2862.29"/>
    <n v="18"/>
    <n v="515.21"/>
    <n v="3377.5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377"/>
  </r>
  <r>
    <x v="3"/>
    <x v="351"/>
    <s v="COLABORATIVA S.A.C."/>
    <x v="21"/>
    <d v="2025-10-16T00:00:00"/>
    <x v="20"/>
    <s v="Cliente"/>
    <n v="6"/>
    <n v="20602855733"/>
    <s v="[{'id_producto': '1', 'codigo_producto': '878', 'nom_producto': 'COMISIÃ“N VAOPE SEGÃšN CONTRATO ', 'categoria_producto': 'consu', 'cantidad': '1.0', 'valor_unitario': 4262.2, 'precio_unitario': 5029.4, 'descuento': 0.0, 'subtotal': 4262.2, 'porcentaje_de_igv': '18.00', 'igv': 767.2, 'total': 5029.4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51"/>
    <x v="59"/>
    <s v="consu"/>
    <n v="1"/>
    <n v="4262.2"/>
    <n v="5029.3999999999996"/>
    <n v="0"/>
    <n v="4262.2"/>
    <n v="18"/>
    <n v="767.2"/>
    <n v="5029.3999999999996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378"/>
  </r>
  <r>
    <x v="3"/>
    <x v="352"/>
    <s v="COLABORATIVA S.A.C."/>
    <x v="21"/>
    <d v="2025-10-16T00:00:00"/>
    <x v="69"/>
    <m/>
    <n v="6"/>
    <n v="20611545399"/>
    <s v="[{'id_producto': '1', 'codigo_producto': '877', 'nom_producto': 'COMISIÃ“N PAGOS DIGITALES SEGÃšN CONTRATO', 'categoria_producto': 'consu', 'cantidad': '1.0', 'valor_unitario': 17.1, 'precio_unitario': 20.18, 'descuento': 0.0, 'subtotal': 17.1, 'porcentaje_de_igv': '18.01', 'igv': 3.08, 'total': 20.18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7.100000000000001"/>
    <n v="20.18"/>
    <n v="0"/>
    <n v="17.100000000000001"/>
    <n v="18.010000000000002"/>
    <n v="3.08"/>
    <n v="20.18"/>
    <n v="1"/>
    <m/>
    <x v="1"/>
    <x v="1"/>
    <x v="0"/>
    <s v="SAMUEL CHUQUISTA"/>
    <x v="0"/>
    <s v="7012100 MercaderÃ­as-Venta Local-Terceros"/>
    <x v="3"/>
    <x v="22"/>
    <m/>
    <m/>
    <m/>
    <x v="0"/>
    <s v="LIMA VIAJES Y TURISMO S.A.C."/>
    <m/>
    <x v="379"/>
  </r>
  <r>
    <x v="3"/>
    <x v="353"/>
    <s v="COLABORATIVA S.A.C."/>
    <x v="21"/>
    <d v="2025-10-16T00:00:00"/>
    <x v="69"/>
    <m/>
    <n v="6"/>
    <n v="20611545399"/>
    <s v="[{'id_producto': '1', 'codigo_producto': '890', 'nom_producto': 'ENTRADAS IMPRESAS - ORDEN DE VENTA NÂ°509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13"/>
    <x v="121"/>
    <s v="consu"/>
    <n v="1"/>
    <n v="3400"/>
    <n v="4012"/>
    <n v="0"/>
    <n v="3400"/>
    <n v="18"/>
    <n v="612"/>
    <n v="4012"/>
    <n v="1"/>
    <m/>
    <x v="1"/>
    <x v="1"/>
    <x v="0"/>
    <s v="SAMUEL CHUQUISTA"/>
    <x v="0"/>
    <s v="7012100 MercaderÃ­as-Venta Local-Terceros"/>
    <x v="2"/>
    <x v="22"/>
    <m/>
    <m/>
    <m/>
    <x v="0"/>
    <s v="LIMA VIAJES Y TURISMO S.A.C."/>
    <m/>
    <x v="380"/>
  </r>
  <r>
    <x v="3"/>
    <x v="354"/>
    <s v="COLABORATIVA S.A.C."/>
    <x v="21"/>
    <d v="2025-10-16T00:00:00"/>
    <x v="69"/>
    <m/>
    <n v="6"/>
    <n v="20611545399"/>
    <s v="[{'id_producto': '1', 'codigo_producto': '877', 'nom_producto': 'COMISIÃ“N PAGOS DIGITALES SEGÃšN CONTRATO', 'categoria_producto': 'consu', 'cantidad': '1.0', 'valor_unitario': 9.9, 'precio_unitario': 11.68, 'descuento': 0.0, 'subtotal': 9.9, 'porcentaje_de_igv': '17.98', 'igv': 1.78, 'total': 11.68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9.9"/>
    <n v="11.68"/>
    <n v="0"/>
    <n v="9.9"/>
    <n v="17.98"/>
    <n v="1.78"/>
    <n v="11.68"/>
    <n v="1"/>
    <m/>
    <x v="1"/>
    <x v="1"/>
    <x v="0"/>
    <s v="SAMUEL CHUQUISTA"/>
    <x v="0"/>
    <s v="7012100 MercaderÃ­as-Venta Local-Terceros"/>
    <x v="3"/>
    <x v="22"/>
    <m/>
    <m/>
    <m/>
    <x v="0"/>
    <s v="LIMA VIAJES Y TURISMO S.A.C."/>
    <m/>
    <x v="381"/>
  </r>
  <r>
    <x v="3"/>
    <x v="355"/>
    <s v="COLABORATIVA S.A.C."/>
    <x v="21"/>
    <d v="2025-10-16T00:00:00"/>
    <x v="69"/>
    <m/>
    <n v="6"/>
    <n v="20611545399"/>
    <s v="[{'id_producto': '1', 'codigo_producto': '870', 'nom_producto': 'COMISIÃ“N VAOPE SEGÃšN CONTRATO', 'categoria_producto': 'consu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', 'nom_evento': '', 'Fecha_hora_ini_event': '', 'Fecha_hora_fin_event': '', 'id_organizador': '', 'nom_organizador': 'LIMA VIAJES Y TURISM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6"/>
    <n v="7.08"/>
    <n v="0"/>
    <n v="6"/>
    <n v="18"/>
    <n v="1.08"/>
    <n v="7.08"/>
    <n v="1"/>
    <m/>
    <x v="1"/>
    <x v="1"/>
    <x v="0"/>
    <s v="SAMUEL CHUQUISTA"/>
    <x v="0"/>
    <s v="7012100 MercaderÃ­as-Venta Local-Terceros"/>
    <x v="3"/>
    <x v="22"/>
    <m/>
    <m/>
    <m/>
    <x v="0"/>
    <s v="LIMA VIAJES Y TURISMO S.A.C."/>
    <m/>
    <x v="382"/>
  </r>
  <r>
    <x v="3"/>
    <x v="356"/>
    <s v="COLABORATIVA S.A.C."/>
    <x v="22"/>
    <d v="2025-10-16T00:00:00"/>
    <x v="70"/>
    <m/>
    <n v="6"/>
    <n v="20541708406"/>
    <s v="[{'id_producto': '1', 'codigo_producto': '889', 'nom_producto': 'PERSONAL - delivery - entradas cortesia 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'', 'nom_organizador': 'EMPRESA OK MEDIOS PERU S.A.C.', 'tipo_organizador': '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1-06T00:00:00"/>
    <m/>
    <m/>
    <m/>
    <m/>
    <m/>
    <n v="1"/>
    <x v="114"/>
    <x v="122"/>
    <s v="consu"/>
    <n v="1"/>
    <n v="32.5"/>
    <n v="38.35"/>
    <n v="0"/>
    <n v="32.5"/>
    <n v="18"/>
    <n v="5.85"/>
    <n v="38.35"/>
    <n v="1"/>
    <m/>
    <x v="1"/>
    <x v="1"/>
    <x v="0"/>
    <s v="SAMUEL CHUQUISTA"/>
    <x v="0"/>
    <s v="7012100 MercaderÃ­as-Venta Local-Terceros"/>
    <x v="7"/>
    <x v="22"/>
    <m/>
    <m/>
    <m/>
    <x v="0"/>
    <s v="EMPRESA OK MEDIOS PERU S.A.C."/>
    <m/>
    <x v="383"/>
  </r>
  <r>
    <x v="3"/>
    <x v="357"/>
    <s v="COLABORATIVA S.A.C."/>
    <x v="22"/>
    <d v="2025-10-16T00:00:00"/>
    <x v="70"/>
    <m/>
    <n v="6"/>
    <n v="20541708406"/>
    <s v="[{'id_producto': '1', 'codigo_producto': '877', 'nom_producto': 'COMISIÃ“N PAGOS DIGITALES SEGÃšN CONTRATO', 'categoria_producto': 'consu', 'cantidad': '1.0', 'valor_unitario': 1978.14, 'precio_unitario': 2334.2, 'descuento': 0.0, 'subtotal': 1978.14, 'porcentaje_de_igv': '18.00', 'igv': 356.06, 'total': 2334.2, 'moneda': '1', 'tipo_de_cambio': '', 'id_estado': 'not_paid', 'nombre_estado': 'Sin pagar', 'evento': {'id_evento': '', 'nom_evento': '', 'Fecha_hora_ini_event': '', 'Fecha_hora_fin_event': '', 'id_organizador': '', 'nom_organizador': 'EMPRESA OK MEDIO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1978.14"/>
    <n v="2334.1999999999998"/>
    <n v="0"/>
    <n v="1978.14"/>
    <n v="18"/>
    <n v="356.06"/>
    <n v="2334.1999999999998"/>
    <n v="1"/>
    <m/>
    <x v="1"/>
    <x v="1"/>
    <x v="0"/>
    <s v="SAMUEL CHUQUISTA"/>
    <x v="0"/>
    <s v="7012100 MercaderÃ­as-Venta Local-Terceros"/>
    <x v="3"/>
    <x v="22"/>
    <m/>
    <m/>
    <m/>
    <x v="0"/>
    <s v="EMPRESA OK MEDIOS PERU S.A.C."/>
    <m/>
    <x v="384"/>
  </r>
  <r>
    <x v="3"/>
    <x v="358"/>
    <s v="COLABORATIVA S.A.C."/>
    <x v="22"/>
    <d v="2025-10-16T00:00:00"/>
    <x v="70"/>
    <m/>
    <n v="6"/>
    <n v="20541708406"/>
    <s v="[{'id_producto': '1', 'codigo_producto': '878', 'nom_producto': 'COMISIÃ“N VAOPE SEGÃšN CONTRATO ', 'categoria_producto': 'consu', 'cantidad': '1.0', 'valor_unitario': 1085.76, 'precio_unitario': 1281.2, 'descuento': 0.0, 'subtotal': 1085.76, 'porcentaje_de_igv': '18.00', 'igv': 195.44, 'total': 1281.2, 'moneda': '1', 'tipo_de_cambio': '', 'id_estado': 'not_paid', 'nombre_estado': 'Sin pagar', 'evento': {'id_evento': '', 'nom_evento': '', 'Fecha_hora_ini_event': '', 'Fecha_hora_fin_event': '', 'id_organizador': '', 'nom_organizador': 'EMPRESA OK MEDIO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1085.76"/>
    <n v="1281.2"/>
    <n v="0"/>
    <n v="1085.76"/>
    <n v="18"/>
    <n v="195.44"/>
    <n v="1281.2"/>
    <n v="1"/>
    <m/>
    <x v="1"/>
    <x v="1"/>
    <x v="0"/>
    <s v="SAMUEL CHUQUISTA"/>
    <x v="0"/>
    <s v="7012100 MercaderÃ­as-Venta Local-Terceros"/>
    <x v="3"/>
    <x v="22"/>
    <m/>
    <m/>
    <m/>
    <x v="0"/>
    <s v="EMPRESA OK MEDIOS PERU S.A.C."/>
    <m/>
    <x v="385"/>
  </r>
  <r>
    <x v="3"/>
    <x v="359"/>
    <s v="COLABORATIVA S.A.C."/>
    <x v="22"/>
    <d v="2025-10-16T00:00:00"/>
    <x v="12"/>
    <m/>
    <n v="6"/>
    <n v="20613294814"/>
    <s v="[{'id_producto': '1', 'codigo_producto': '874', 'nom_producto': 'COMISION CORTESIA', 'categoria_producto': 'consu', 'cantidad': '1.0', 'valor_unitario': 50.0, 'precio_unitario': 59.0, 'descuento': 0.0, 'subtotal': 50.0, 'porcentaje_de_igv': '18.00', 'igv': 9.0, 'total': 59.0, 'moneda': '1', 'tipo_de_cambio': '', 'id_estado': 'not_paid', 'nombre_estado': 'Sin pagar', 'evento': {'id_evento': '', 'nom_evento': '', 'Fecha_hora_ini_event': '', 'Fecha_hora_fin_event': '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50"/>
    <n v="59"/>
    <n v="0"/>
    <n v="50"/>
    <n v="18"/>
    <n v="9"/>
    <n v="59"/>
    <n v="1"/>
    <m/>
    <x v="1"/>
    <x v="1"/>
    <x v="0"/>
    <s v="SAMUEL CHUQUISTA"/>
    <x v="0"/>
    <s v="7012100 MercaderÃ­as-Venta Local-Terceros"/>
    <x v="3"/>
    <x v="22"/>
    <m/>
    <m/>
    <m/>
    <x v="0"/>
    <s v="ESPECTACULOS MARCABALITO S.A.C."/>
    <m/>
    <x v="386"/>
  </r>
  <r>
    <x v="3"/>
    <x v="360"/>
    <s v="COLABORATIVA S.A.C."/>
    <x v="22"/>
    <d v="2025-10-16T00:00:00"/>
    <x v="12"/>
    <m/>
    <n v="6"/>
    <n v="20613294814"/>
    <s v="[{'id_producto': '1', 'codigo_producto': '877', 'nom_producto': 'COMISIÃ“N PAGOS DIGITALES SEGÃšN CONTRATO', 'categoria_producto': 'consu', 'cantidad': '1.0', 'valor_unitario': 227.88, 'precio_unitario': 268.9, 'descuento': 0.0, 'subtotal': 227.88, 'porcentaje_de_igv': '18.00', 'igv': 41.02, 'total': 268.9, 'moneda': '1', 'tipo_de_cambio': '', 'id_estado': 'not_paid', 'nombre_estado': 'Sin pagar', 'evento': {'id_evento': '', 'nom_evento': '', 'Fecha_hora_ini_event': '', 'Fecha_hora_fin_event': '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27.88"/>
    <n v="268.89999999999998"/>
    <n v="0"/>
    <n v="227.88"/>
    <n v="18"/>
    <n v="41.02"/>
    <n v="268.89999999999998"/>
    <n v="1"/>
    <m/>
    <x v="1"/>
    <x v="1"/>
    <x v="0"/>
    <s v="SAMUEL CHUQUISTA"/>
    <x v="0"/>
    <s v="7012100 MercaderÃ­as-Venta Local-Terceros"/>
    <x v="3"/>
    <x v="22"/>
    <m/>
    <m/>
    <m/>
    <x v="0"/>
    <s v="ESPECTACULOS MARCABALITO S.A.C."/>
    <m/>
    <x v="387"/>
  </r>
  <r>
    <x v="3"/>
    <x v="361"/>
    <s v="COLABORATIVA S.A.C."/>
    <x v="22"/>
    <d v="2025-10-16T00:00:00"/>
    <x v="12"/>
    <m/>
    <n v="6"/>
    <n v="20613294814"/>
    <s v="[{'id_producto': '1', 'codigo_producto': '870', 'nom_producto': 'COMISIÃ“N VAOPE SEGÃšN CONTRATO', 'categoria_producto': 'consu', 'cantidad': '1.0', 'valor_unitario': 126.36, 'precio_unitario': 149.1, 'descuento': 0.0, 'subtotal': 126.36, 'porcentaje_de_igv': '18.00', 'igv': 22.74, 'total': 149.1, 'moneda': '1', 'tipo_de_cambio': '', 'id_estado': 'not_paid', 'nombre_estado': 'Sin pagar', 'evento': {'id_evento': '', 'nom_evento': '', 'Fecha_hora_ini_event': '', 'Fecha_hora_fin_event': '', 'id_organizador': '', 'nom_organizador': 'ESPECTACULOS MARCABALIT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26.36"/>
    <n v="149.1"/>
    <n v="0"/>
    <n v="126.36"/>
    <n v="18"/>
    <n v="22.74"/>
    <n v="149.1"/>
    <n v="1"/>
    <m/>
    <x v="1"/>
    <x v="1"/>
    <x v="0"/>
    <s v="SAMUEL CHUQUISTA"/>
    <x v="0"/>
    <s v="7012100 MercaderÃ­as-Venta Local-Terceros"/>
    <x v="3"/>
    <x v="22"/>
    <m/>
    <m/>
    <m/>
    <x v="0"/>
    <s v="ESPECTACULOS MARCABALITO S.A.C."/>
    <m/>
    <x v="388"/>
  </r>
  <r>
    <x v="4"/>
    <x v="362"/>
    <s v="COLABORATIVA S.A.C."/>
    <x v="22"/>
    <d v="2025-10-16T00:00:00"/>
    <x v="71"/>
    <m/>
    <n v="1"/>
    <n v="10690613"/>
    <s v="[{'id_producto': '1', 'codigo_producto': '877', 'nom_producto': 'COMISIÃ“N PAGOS DIGITALES SEGÃšN CONTRATO', 'categoria_producto': 'consu', 'cantidad': '1.0', 'valor_unitario': 113.39, 'precio_unitario': 133.8, 'descuento': 0.0, 'subtotal': 113.39, 'porcentaje_de_igv': '18.00', 'igv': 20.41, 'total': 133.8, 'moneda': '1', 'tipo_de_cambio': '', 'id_estado': 'not_paid', 'nombre_estado': 'Sin pagar', 'evento': {'id_evento': '', 'nom_evento': '', 'Fecha_hora_ini_event': '', 'Fecha_hora_fin_event': '', 'id_organizador': '', 'nom_organizador': 'ADRIAN DOLORES FLO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113.39"/>
    <n v="133.80000000000001"/>
    <n v="0"/>
    <n v="113.39"/>
    <n v="18"/>
    <n v="20.41"/>
    <n v="133.80000000000001"/>
    <n v="1"/>
    <m/>
    <x v="1"/>
    <x v="1"/>
    <x v="0"/>
    <s v="SAMUEL CHUQUISTA"/>
    <x v="0"/>
    <s v="7012100 MercaderÃ­as-Venta Local-Terceros"/>
    <x v="3"/>
    <x v="22"/>
    <m/>
    <m/>
    <m/>
    <x v="0"/>
    <s v="ADRIAN DOLORES FLORES"/>
    <m/>
    <x v="389"/>
  </r>
  <r>
    <x v="4"/>
    <x v="363"/>
    <s v="COLABORATIVA S.A.C."/>
    <x v="22"/>
    <d v="2025-10-16T00:00:00"/>
    <x v="71"/>
    <m/>
    <n v="1"/>
    <n v="10690613"/>
    <s v="[{'id_producto': '1', 'codigo_producto': '870', 'nom_producto': 'COMISIÃ“N VAOPE SEGÃšN CONTRATO', 'categoria_producto': 'consu', 'cantidad': '1.0', 'valor_unitario': 59.15, 'precio_unitario': 69.8, 'descuento': 0.0, 'subtotal': 59.15, 'porcentaje_de_igv': '18.01', 'igv': 10.65, 'total': 69.8, 'moneda': '1', 'tipo_de_cambio': '', 'id_estado': 'not_paid', 'nombre_estado': 'Sin pagar', 'evento': {'id_evento': '', 'nom_evento': '', 'Fecha_hora_ini_event': '', 'Fecha_hora_fin_event': '', 'id_organizador': '', 'nom_organizador': 'ADRIAN DOLORES FLORE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59.15"/>
    <n v="69.8"/>
    <n v="0"/>
    <n v="59.15"/>
    <n v="18.010000000000002"/>
    <n v="10.65"/>
    <n v="69.8"/>
    <n v="1"/>
    <m/>
    <x v="1"/>
    <x v="1"/>
    <x v="0"/>
    <s v="SAMUEL CHUQUISTA"/>
    <x v="0"/>
    <s v="7012100 MercaderÃ­as-Venta Local-Terceros"/>
    <x v="3"/>
    <x v="22"/>
    <m/>
    <m/>
    <m/>
    <x v="0"/>
    <s v="ADRIAN DOLORES FLORES"/>
    <m/>
    <x v="390"/>
  </r>
  <r>
    <x v="3"/>
    <x v="364"/>
    <s v="COLABORATIVA S.A.C."/>
    <x v="22"/>
    <d v="2025-10-16T00:00:00"/>
    <x v="63"/>
    <m/>
    <n v="6"/>
    <n v="20609670518"/>
    <s v="[{'id_producto': '1', 'codigo_producto': '871', 'nom_producto': 'COMISIÃ“N PAGOS DIGITALES SEGÃšN CONTRATO ', 'categoria_producto': 'consu', 'cantidad': '1.0', 'valor_unitario': 283.79, 'precio_unitario': 334.87, 'descuento': 0.0, 'subtotal': 283.79, 'porcentaje_de_igv': '18.00', 'igv': 51.08, 'total': 334.87, 'moneda': '1', 'tipo_de_cambio': '', 'id_estado': 'not_paid', 'nombre_estado': 'Sin pagar', 'evento': {'id_evento': '', 'nom_evento': '', 'Fecha_hora_ini_event': '', 'Fecha_hora_fin_event': '', 'id_organizador': '', 'nom_organizador': 'FIESTAS BRAVAS GROUP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283.79000000000002"/>
    <n v="334.87"/>
    <n v="0"/>
    <n v="283.79000000000002"/>
    <n v="18"/>
    <n v="51.08"/>
    <n v="334.87"/>
    <n v="1"/>
    <m/>
    <x v="1"/>
    <x v="1"/>
    <x v="0"/>
    <s v="SAMUEL CHUQUISTA"/>
    <x v="0"/>
    <s v="7012100 MercaderÃ­as-Venta Local-Terceros"/>
    <x v="3"/>
    <x v="22"/>
    <m/>
    <m/>
    <m/>
    <x v="0"/>
    <s v="FIESTAS BRAVAS GROUP S.A.C."/>
    <m/>
    <x v="391"/>
  </r>
  <r>
    <x v="3"/>
    <x v="365"/>
    <s v="COLABORATIVA S.A.C."/>
    <x v="22"/>
    <d v="2025-10-16T00:00:00"/>
    <x v="63"/>
    <m/>
    <n v="6"/>
    <n v="20609670518"/>
    <s v="[{'id_producto': '1', 'codigo_producto': '878', 'nom_producto': 'COMISIÃ“N VAOPE SEGÃšN CONTRATO ', 'categoria_producto': 'consu', 'cantidad': '1.0', 'valor_unitario': 208.23, 'precio_unitario': 245.71, 'descuento': 0.0, 'subtotal': 208.23, 'porcentaje_de_igv': '18.00', 'igv': 37.48, 'total': 245.71, 'moneda': '1', 'tipo_de_cambio': '', 'id_estado': 'not_paid', 'nombre_estado': 'Sin pagar', 'evento': {'id_evento': '', 'nom_evento': '', 'Fecha_hora_ini_event': '', 'Fecha_hora_fin_event': '', 'id_organizador': '', 'nom_organizador': 'FIESTAS BRAVAS GROUP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208.23"/>
    <n v="245.71"/>
    <n v="0"/>
    <n v="208.23"/>
    <n v="18"/>
    <n v="37.479999999999997"/>
    <n v="245.71"/>
    <n v="1"/>
    <m/>
    <x v="1"/>
    <x v="1"/>
    <x v="0"/>
    <s v="SAMUEL CHUQUISTA"/>
    <x v="0"/>
    <s v="7012100 MercaderÃ­as-Venta Local-Terceros"/>
    <x v="3"/>
    <x v="22"/>
    <m/>
    <m/>
    <m/>
    <x v="0"/>
    <s v="FIESTAS BRAVAS GROUP S.A.C."/>
    <m/>
    <x v="392"/>
  </r>
  <r>
    <x v="3"/>
    <x v="366"/>
    <s v="COLABORATIVA S.A.C."/>
    <x v="22"/>
    <d v="2025-10-16T00:00:00"/>
    <x v="72"/>
    <m/>
    <n v="6"/>
    <n v="20601651531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LA PLAZA GASTRONOMICA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0"/>
    <s v="LA PLAZA GASTRONOMICA S.A.C."/>
    <m/>
    <x v="393"/>
  </r>
  <r>
    <x v="3"/>
    <x v="367"/>
    <s v="COLABORATIVA S.A.C."/>
    <x v="22"/>
    <d v="2025-10-16T00:00:00"/>
    <x v="72"/>
    <m/>
    <n v="6"/>
    <n v="20601651531"/>
    <s v="[{'id_producto': '1', 'codigo_producto': '877', 'nom_producto': 'COMISIÃ“N PAGOS DIGITALES SEGÃšN CONTRATO', 'categoria_producto': 'consu', 'cantidad': '1.0', 'valor_unitario': 218.69, 'precio_unitario': 258.06, 'descuento': 0.0, 'subtotal': 218.69, 'porcentaje_de_igv': '18.00', 'igv': 39.37, 'total': 258.06, 'moneda': '1', 'tipo_de_cambio': '', 'id_estado': 'not_paid', 'nombre_estado': 'Sin pagar', 'evento': {'id_evento': '', 'nom_evento': '', 'Fecha_hora_ini_event': '', 'Fecha_hora_fin_event': '', 'id_organizador': '', 'nom_organizador': 'LA PLAZA GASTRONOMICA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18.69"/>
    <n v="258.06"/>
    <n v="0"/>
    <n v="218.69"/>
    <n v="18"/>
    <n v="39.369999999999997"/>
    <n v="258.06"/>
    <n v="1"/>
    <m/>
    <x v="1"/>
    <x v="1"/>
    <x v="0"/>
    <s v="SAMUEL CHUQUISTA"/>
    <x v="0"/>
    <s v="7012100 MercaderÃ­as-Venta Local-Terceros"/>
    <x v="3"/>
    <x v="22"/>
    <m/>
    <m/>
    <m/>
    <x v="0"/>
    <s v="LA PLAZA GASTRONOMICA S.A.C."/>
    <m/>
    <x v="394"/>
  </r>
  <r>
    <x v="3"/>
    <x v="368"/>
    <s v="COLABORATIVA S.A.C."/>
    <x v="22"/>
    <d v="2025-10-16T00:00:00"/>
    <x v="73"/>
    <m/>
    <n v="6"/>
    <n v="20603064578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ECO CABAÃ‘AS DEL ESTE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0"/>
    <s v="ECO CABAÃ‘AS DEL ESTE S.A.C."/>
    <m/>
    <x v="395"/>
  </r>
  <r>
    <x v="3"/>
    <x v="369"/>
    <s v="COLABORATIVA S.A.C."/>
    <x v="22"/>
    <d v="2025-10-16T00:00:00"/>
    <x v="73"/>
    <m/>
    <n v="6"/>
    <n v="20603064578"/>
    <s v="[{'id_producto': '1', 'codigo_producto': '877', 'nom_producto': 'COMISIÃ“N PAGOS DIGITALES SEGÃšN CONTRATO', 'categoria_producto': 'consu', 'cantidad': '1.0', 'valor_unitario': 311.91, 'precio_unitario': 368.05, 'descuento': 0.0, 'subtotal': 311.91, 'porcentaje_de_igv': '18.00', 'igv': 56.14, 'total': 368.05, 'moneda': '1', 'tipo_de_cambio': '', 'id_estado': 'not_paid', 'nombre_estado': 'Sin pagar', 'evento': {'id_evento': '', 'nom_evento': '', 'Fecha_hora_ini_event': '', 'Fecha_hora_fin_event': '', 'id_organizador': '', 'nom_organizador': 'ECO CABAÃ‘AS DEL ESTE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311.91000000000003"/>
    <n v="368.05"/>
    <n v="0"/>
    <n v="311.91000000000003"/>
    <n v="18"/>
    <n v="56.14"/>
    <n v="368.05"/>
    <n v="1"/>
    <m/>
    <x v="1"/>
    <x v="1"/>
    <x v="0"/>
    <s v="SAMUEL CHUQUISTA"/>
    <x v="0"/>
    <s v="7012100 MercaderÃ­as-Venta Local-Terceros"/>
    <x v="3"/>
    <x v="22"/>
    <m/>
    <m/>
    <m/>
    <x v="0"/>
    <s v="ECO CABAÃ‘AS DEL ESTE S.A.C."/>
    <m/>
    <x v="396"/>
  </r>
  <r>
    <x v="3"/>
    <x v="370"/>
    <s v="COLABORATIVA S.A.C."/>
    <x v="22"/>
    <d v="2025-10-16T00:00:00"/>
    <x v="74"/>
    <m/>
    <n v="6"/>
    <n v="20601149371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'', 'nom_organizador': 'SABORES CRIOLLOS DEL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0"/>
    <s v="SABORES CRIOLLOS DEL PERU S.A.C."/>
    <m/>
    <x v="397"/>
  </r>
  <r>
    <x v="3"/>
    <x v="371"/>
    <s v="COLABORATIVA S.A.C."/>
    <x v="22"/>
    <d v="2025-10-16T00:00:00"/>
    <x v="74"/>
    <m/>
    <n v="6"/>
    <n v="20601149371"/>
    <s v="[{'id_producto': '1', 'codigo_producto': '871', 'nom_producto': 'COMISIÃ“N PAGOS DIGITALES SEGÃšN CONTRATO ', 'categoria_producto': 'consu', 'cantidad': '1.0', 'valor_unitario': 678.25, 'precio_unitario': 800.33, 'descuento': 0.0, 'subtotal': 678.25, 'porcentaje_de_igv': '18.00', 'igv': 122.08, 'total': 800.33, 'moneda': '1', 'tipo_de_cambio': '', 'id_estado': 'not_paid', 'nombre_estado': 'Sin pagar', 'evento': {'id_evento': '', 'nom_evento': '', 'Fecha_hora_ini_event': '', 'Fecha_hora_fin_event': '', 'id_organizador': '', 'nom_organizador': 'SABORES CRIOLLOS DEL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678.25"/>
    <n v="800.33"/>
    <n v="0"/>
    <n v="678.25"/>
    <n v="18"/>
    <n v="122.08"/>
    <n v="800.33"/>
    <n v="1"/>
    <m/>
    <x v="1"/>
    <x v="1"/>
    <x v="0"/>
    <s v="SAMUEL CHUQUISTA"/>
    <x v="0"/>
    <s v="7012100 MercaderÃ­as-Venta Local-Terceros"/>
    <x v="3"/>
    <x v="22"/>
    <m/>
    <m/>
    <m/>
    <x v="0"/>
    <s v="SABORES CRIOLLOS DEL PERU S.A.C."/>
    <m/>
    <x v="398"/>
  </r>
  <r>
    <x v="3"/>
    <x v="372"/>
    <s v="COLABORATIVA S.A.C."/>
    <x v="22"/>
    <d v="2025-10-16T00:00:00"/>
    <x v="75"/>
    <m/>
    <n v="6"/>
    <n v="20611454300"/>
    <s v="[{'id_producto': '1', 'codigo_producto': '888', 'nom_producto': 'FEE ADMINISTRATIVO - Fee administrativo adelanto de recaudaciÃ³n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SAOCO FR E.I.R.L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6T00:00:00"/>
    <m/>
    <m/>
    <m/>
    <m/>
    <m/>
    <n v="1"/>
    <x v="115"/>
    <x v="123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0"/>
    <s v="SAOCO FR E.I.R.L."/>
    <m/>
    <x v="399"/>
  </r>
  <r>
    <x v="3"/>
    <x v="373"/>
    <s v="COLABORATIVA S.A.C."/>
    <x v="22"/>
    <d v="2025-10-16T00:00:00"/>
    <x v="75"/>
    <m/>
    <n v="6"/>
    <n v="20611454300"/>
    <s v="[{'id_producto': '1', 'codigo_producto': '877', 'nom_producto': 'COMISIÃ“N PAGOS DIGITALES SEGÃšN CONTRATO', 'categoria_producto': 'consu', 'cantidad': '1.0', 'valor_unitario': 2836.25, 'precio_unitario': 3346.77, 'descuento': 0.0, 'subtotal': 2836.25, 'porcentaje_de_igv': '18.00', 'igv': 510.52, 'total': 3346.77, 'moneda': '1', 'tipo_de_cambio': '', 'id_estado': 'not_paid', 'nombre_estado': 'Sin pagar', 'evento': {'id_evento': '', 'nom_evento': '', 'Fecha_hora_ini_event': '', 'Fecha_hora_fin_event': '', 'id_organizador': '', 'nom_organizador': 'SAOCO FR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836.25"/>
    <n v="3346.77"/>
    <n v="0"/>
    <n v="2836.25"/>
    <n v="18"/>
    <n v="510.52"/>
    <n v="3346.77"/>
    <n v="1"/>
    <m/>
    <x v="1"/>
    <x v="1"/>
    <x v="0"/>
    <s v="SAMUEL CHUQUISTA"/>
    <x v="0"/>
    <s v="7012100 MercaderÃ­as-Venta Local-Terceros"/>
    <x v="3"/>
    <x v="22"/>
    <m/>
    <m/>
    <m/>
    <x v="0"/>
    <s v="SAOCO FR E.I.R.L."/>
    <m/>
    <x v="400"/>
  </r>
  <r>
    <x v="3"/>
    <x v="374"/>
    <s v="COLABORATIVA S.A.C."/>
    <x v="22"/>
    <d v="2025-10-16T00:00:00"/>
    <x v="75"/>
    <m/>
    <n v="6"/>
    <n v="20611454300"/>
    <s v="[{'id_producto': '1', 'codigo_producto': '870', 'nom_producto': 'COMISIÃ“N VAOPE SEGÃšN CONTRATO', 'categoria_producto': 'consu', 'cantidad': '1.0', 'valor_unitario': 2033.08, 'precio_unitario': 2399.04, 'descuento': 0.0, 'subtotal': 2033.08, 'porcentaje_de_igv': '18.00', 'igv': 365.96, 'total': 2399.04, 'moneda': '1', 'tipo_de_cambio': '', 'id_estado': 'not_paid', 'nombre_estado': 'Sin pagar', 'evento': {'id_evento': '', 'nom_evento': '', 'Fecha_hora_ini_event': '', 'Fecha_hora_fin_event': '', 'id_organizador': '', 'nom_organizador': 'SAOCO FR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2033.08"/>
    <n v="2399.04"/>
    <n v="0"/>
    <n v="2033.08"/>
    <n v="18"/>
    <n v="365.96"/>
    <n v="2399.04"/>
    <n v="1"/>
    <m/>
    <x v="1"/>
    <x v="1"/>
    <x v="0"/>
    <s v="SAMUEL CHUQUISTA"/>
    <x v="0"/>
    <s v="7012100 MercaderÃ­as-Venta Local-Terceros"/>
    <x v="3"/>
    <x v="22"/>
    <m/>
    <m/>
    <m/>
    <x v="0"/>
    <s v="SAOCO FR E.I.R.L."/>
    <m/>
    <x v="401"/>
  </r>
  <r>
    <x v="4"/>
    <x v="375"/>
    <s v="COLABORATIVA S.A.C."/>
    <x v="22"/>
    <d v="2025-10-16T00:00:00"/>
    <x v="76"/>
    <m/>
    <n v="1"/>
    <n v="44835970"/>
    <s v="[{'id_producto': '1', 'codigo_producto': '877', 'nom_producto': 'COMISIÃ“N PAGOS DIGITALES SEGÃšN CONTRATO', 'categoria_producto': 'consu', 'cantidad': '1.0', 'valor_unitario': 59.66, 'precio_unitario': 70.4, 'descuento': 0.0, 'subtotal': 59.66, 'porcentaje_de_igv': '18.00', 'igv': 10.74, 'total': 70.4, 'moneda': '1', 'tipo_de_cambio': '', 'id_estado': 'not_paid', 'nombre_estado': 'Sin pagar', 'evento': {'id_evento': '', 'nom_evento': '', 'Fecha_hora_ini_event': '', 'Fecha_hora_fin_event': '', 'id_organizador': '', 'nom_organizador': 'ALEX DARWIN MUERAS PORR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59.66"/>
    <n v="70.400000000000006"/>
    <n v="0"/>
    <n v="59.66"/>
    <n v="18"/>
    <n v="10.74"/>
    <n v="70.400000000000006"/>
    <n v="1"/>
    <m/>
    <x v="1"/>
    <x v="1"/>
    <x v="0"/>
    <s v="SAMUEL CHUQUISTA"/>
    <x v="0"/>
    <s v="7012100 MercaderÃ­as-Venta Local-Terceros"/>
    <x v="3"/>
    <x v="22"/>
    <m/>
    <m/>
    <m/>
    <x v="0"/>
    <s v="ALEX DARWIN MUERAS PORRAS"/>
    <m/>
    <x v="402"/>
  </r>
  <r>
    <x v="4"/>
    <x v="376"/>
    <s v="COLABORATIVA S.A.C."/>
    <x v="22"/>
    <d v="2025-10-16T00:00:00"/>
    <x v="76"/>
    <m/>
    <n v="1"/>
    <n v="44835970"/>
    <s v="[{'id_producto': '1', 'codigo_producto': '878', 'nom_producto': 'COMISIÃ“N VAOPE SEGÃšN CONTRATO ', 'categoria_producto': 'consu', 'cantidad': '1.0', 'valor_unitario': 43.0, 'precio_unitario': 50.74, 'descuento': 0.0, 'subtotal': 43.0, 'porcentaje_de_igv': '18.00', 'igv': 7.74, 'total': 50.74, 'moneda': '1', 'tipo_de_cambio': '', 'id_estado': 'not_paid', 'nombre_estado': 'Sin pagar', 'evento': {'id_evento': '', 'nom_evento': '', 'Fecha_hora_ini_event': '', 'Fecha_hora_fin_event': '', 'id_organizador': '', 'nom_organizador': 'ALEX DARWIN MUERAS PORRA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43"/>
    <n v="50.74"/>
    <n v="0"/>
    <n v="43"/>
    <n v="18"/>
    <n v="7.74"/>
    <n v="50.74"/>
    <n v="1"/>
    <m/>
    <x v="1"/>
    <x v="1"/>
    <x v="0"/>
    <s v="SAMUEL CHUQUISTA"/>
    <x v="0"/>
    <s v="7012100 MercaderÃ­as-Venta Local-Terceros"/>
    <x v="3"/>
    <x v="22"/>
    <m/>
    <m/>
    <m/>
    <x v="0"/>
    <s v="ALEX DARWIN MUERAS PORRAS"/>
    <m/>
    <x v="403"/>
  </r>
  <r>
    <x v="4"/>
    <x v="377"/>
    <s v="COLABORATIVA S.A.C."/>
    <x v="22"/>
    <d v="2025-10-16T00:00:00"/>
    <x v="77"/>
    <s v="Cliente"/>
    <n v="1"/>
    <n v="10482943"/>
    <s v="[{'id_producto': '1', 'codigo_producto': '877', 'nom_producto': 'COMISIÃ“N PAGOS DIGITALES SEGÃšN CONTRATO', 'categoria_producto': 'consu', 'cantidad': '1.0', 'valor_unitario': 66.45, 'precio_unitario': 78.41, 'descuento': 0.0, 'subtotal': 66.45, 'porcentaje_de_igv': '18.00', 'igv': 11.96, 'total': 78.41, 'moneda': '1', 'tipo_de_cambio': '', 'id_estado': 'not_paid', 'nombre_estado': 'Sin pagar', 'evento': {'id_evento': '', 'nom_evento': '', 'Fecha_hora_ini_event': '', 'Fecha_hora_fin_event': '', 'id_organizador': '', 'nom_organizador': 'Dilbert Aguila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66.45"/>
    <n v="78.41"/>
    <n v="0"/>
    <n v="66.45"/>
    <n v="18"/>
    <n v="11.96"/>
    <n v="78.41"/>
    <n v="1"/>
    <m/>
    <x v="1"/>
    <x v="1"/>
    <x v="0"/>
    <s v="SAMUEL CHUQUISTA"/>
    <x v="0"/>
    <s v="7012100 MercaderÃ­as-Venta Local-Terceros"/>
    <x v="3"/>
    <x v="22"/>
    <m/>
    <m/>
    <m/>
    <x v="0"/>
    <s v="Dilbert Aguilar"/>
    <m/>
    <x v="404"/>
  </r>
  <r>
    <x v="4"/>
    <x v="378"/>
    <s v="COLABORATIVA S.A.C."/>
    <x v="22"/>
    <d v="2025-10-16T00:00:00"/>
    <x v="77"/>
    <s v="Cliente"/>
    <n v="1"/>
    <n v="10482943"/>
    <s v="[{'id_producto': '1', 'codigo_producto': '878', 'nom_producto': 'COMISIÃ“N VAOPE SEGÃšN CONTRATO ', 'categoria_producto': 'consu', 'cantidad': '1.0', 'valor_unitario': 41.47, 'precio_unitario': 48.94, 'descuento': 0.0, 'subtotal': 41.47, 'porcentaje_de_igv': '18.01', 'igv': 7.47, 'total': 48.94, 'moneda': '1', 'tipo_de_cambio': '', 'id_estado': 'not_paid', 'nombre_estado': 'Sin pagar', 'evento': {'id_evento': '', 'nom_evento': '', 'Fecha_hora_ini_event': '', 'Fecha_hora_fin_event': '', 'id_organizador': '', 'nom_organizador': 'Dilbert Aguila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41.47"/>
    <n v="48.94"/>
    <n v="0"/>
    <n v="41.47"/>
    <n v="18.010000000000002"/>
    <n v="7.47"/>
    <n v="48.94"/>
    <n v="1"/>
    <m/>
    <x v="1"/>
    <x v="1"/>
    <x v="0"/>
    <s v="SAMUEL CHUQUISTA"/>
    <x v="0"/>
    <s v="7012100 MercaderÃ­as-Venta Local-Terceros"/>
    <x v="3"/>
    <x v="22"/>
    <m/>
    <m/>
    <m/>
    <x v="0"/>
    <s v="Dilbert Aguilar"/>
    <m/>
    <x v="405"/>
  </r>
  <r>
    <x v="3"/>
    <x v="379"/>
    <s v="COLABORATIVA S.A.C."/>
    <x v="22"/>
    <d v="2025-10-16T00:00:00"/>
    <x v="42"/>
    <m/>
    <n v="6"/>
    <n v="10473186603"/>
    <s v="[{'id_producto': '1', 'codigo_producto': '877', 'nom_producto': 'COMISIÃ“N PAGOS DIGITALES SEGÃšN CONTRATO', 'categoria_producto': 'consu', 'cantidad': '1.0', 'valor_unitario': 222.31, 'precio_unitario': 262.32, 'descuento': 0.0, 'subtotal': 222.31, 'porcentaje_de_igv': '18.00', 'igv': 40.01, 'total': 262.32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22.31"/>
    <n v="262.32"/>
    <n v="0"/>
    <n v="222.31"/>
    <n v="18"/>
    <n v="40.01"/>
    <n v="262.32"/>
    <n v="1"/>
    <m/>
    <x v="1"/>
    <x v="1"/>
    <x v="0"/>
    <s v="SAMUEL CHUQUISTA"/>
    <x v="0"/>
    <s v="7012100 MercaderÃ­as-Venta Local-Terceros"/>
    <x v="3"/>
    <x v="22"/>
    <m/>
    <m/>
    <m/>
    <x v="0"/>
    <s v="TORRES TOVAR WILDER"/>
    <m/>
    <x v="406"/>
  </r>
  <r>
    <x v="3"/>
    <x v="380"/>
    <s v="COLABORATIVA S.A.C."/>
    <x v="22"/>
    <d v="2025-10-16T00:00:00"/>
    <x v="42"/>
    <m/>
    <n v="6"/>
    <n v="10473186603"/>
    <s v="[{'id_producto': '1', 'codigo_producto': '870', 'nom_producto': 'COMISIÃ“N VAOPE SEGÃšN CONTRATO', 'categoria_producto': 'consu', 'cantidad': '1.0', 'valor_unitario': 133.42, 'precio_unitario': 157.44, 'descuento': 0.0, 'subtotal': 133.42, 'porcentaje_de_igv': '18.00', 'igv': 24.02, 'total': 157.44, 'moneda': '1', 'tipo_de_cambio': '', 'id_estado': 'not_paid', 'nombre_estado': 'Sin pagar', 'evento': {'id_evento': '', 'nom_evento': '', 'Fecha_hora_ini_event': '', 'Fecha_hora_fin_event': '', 'id_organizador': '', 'nom_organizador': 'TORRES TOVAR WILDER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33.41999999999999"/>
    <n v="157.44"/>
    <n v="0"/>
    <n v="133.41999999999999"/>
    <n v="18"/>
    <n v="24.02"/>
    <n v="157.44"/>
    <n v="1"/>
    <m/>
    <x v="1"/>
    <x v="1"/>
    <x v="0"/>
    <s v="SAMUEL CHUQUISTA"/>
    <x v="0"/>
    <s v="7012100 MercaderÃ­as-Venta Local-Terceros"/>
    <x v="3"/>
    <x v="22"/>
    <m/>
    <m/>
    <m/>
    <x v="0"/>
    <s v="TORRES TOVAR WILDER"/>
    <m/>
    <x v="407"/>
  </r>
  <r>
    <x v="3"/>
    <x v="381"/>
    <s v="COLABORATIVA S.A.C."/>
    <x v="22"/>
    <d v="2025-10-16T00:00:00"/>
    <x v="78"/>
    <m/>
    <n v="6"/>
    <n v="20609225107"/>
    <s v="[{'id_producto': '1', 'codigo_producto': '877', 'nom_producto': 'COMISIÃ“N PAGOS DIGITALES SEGÃšN CONTRATO', 'categoria_producto': 'consu', 'cantidad': '1.0', 'valor_unitario': 21.61, 'precio_unitario': 25.5, 'descuento': 0.0, 'subtotal': 21.61, 'porcentaje_de_igv': '18.00', 'igv': 3.89, 'total': 25.5, 'moneda': '1', 'tipo_de_cambio': '', 'id_estado': 'not_paid', 'nombre_estado': 'Sin pagar', 'evento': {'id_evento': '', 'nom_evento': '', 'Fecha_hora_ini_event': '', 'Fecha_hora_fin_event': '', 'id_organizador': '', 'nom_organizador': 'PROMOTORA SR. DE MURUHUAY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1.61"/>
    <n v="25.5"/>
    <n v="0"/>
    <n v="21.61"/>
    <n v="18"/>
    <n v="3.89"/>
    <n v="25.5"/>
    <n v="1"/>
    <m/>
    <x v="1"/>
    <x v="1"/>
    <x v="0"/>
    <s v="SAMUEL CHUQUISTA"/>
    <x v="0"/>
    <s v="7012100 MercaderÃ­as-Venta Local-Terceros"/>
    <x v="3"/>
    <x v="22"/>
    <m/>
    <m/>
    <m/>
    <x v="0"/>
    <s v="PROMOTORA SR. DE MURUHUAY E.I.R.L."/>
    <m/>
    <x v="408"/>
  </r>
  <r>
    <x v="3"/>
    <x v="382"/>
    <s v="COLABORATIVA S.A.C."/>
    <x v="22"/>
    <d v="2025-10-16T00:00:00"/>
    <x v="78"/>
    <m/>
    <n v="6"/>
    <n v="20609225107"/>
    <s v="[{'id_producto': '1', 'codigo_producto': '870', 'nom_producto': 'COMISIÃ“N VAOPE SEGÃšN CONTRATO', 'categoria_producto': 'consu', 'cantidad': '1.0', 'valor_unitario': 15.25, 'precio_unitario': 18.0, 'descuento': 0.0, 'subtotal': 15.25, 'porcentaje_de_igv': '18.03', 'igv': 2.75, 'total': 18.0, 'moneda': '1', 'tipo_de_cambio': '', 'id_estado': 'not_paid', 'nombre_estado': 'Sin pagar', 'evento': {'id_evento': '', 'nom_evento': '', 'Fecha_hora_ini_event': '', 'Fecha_hora_fin_event': '', 'id_organizador': '', 'nom_organizador': 'PROMOTORA SR. DE MURUHUAY E.I.R.L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5.25"/>
    <n v="18"/>
    <n v="0"/>
    <n v="15.25"/>
    <n v="18.03"/>
    <n v="2.75"/>
    <n v="18"/>
    <n v="1"/>
    <m/>
    <x v="1"/>
    <x v="1"/>
    <x v="0"/>
    <s v="SAMUEL CHUQUISTA"/>
    <x v="0"/>
    <s v="7012100 MercaderÃ­as-Venta Local-Terceros"/>
    <x v="3"/>
    <x v="22"/>
    <m/>
    <m/>
    <m/>
    <x v="0"/>
    <s v="PROMOTORA SR. DE MURUHUAY E.I.R.L."/>
    <m/>
    <x v="409"/>
  </r>
  <r>
    <x v="4"/>
    <x v="383"/>
    <s v="COLABORATIVA S.A.C."/>
    <x v="22"/>
    <d v="2025-10-16T00:00:00"/>
    <x v="79"/>
    <m/>
    <n v="1"/>
    <s v="08312410"/>
    <s v="[{'id_producto': '1', 'codigo_producto': '887', 'nom_producto': 'COMISIÃ“N VAOPE SEGUN CONTRATO - MARGARITA ARROYO 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'', 'nom_organizador': 'MARGARITA ARROYO FLORE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16"/>
    <x v="124"/>
    <s v="consu"/>
    <n v="1"/>
    <n v="109.06"/>
    <n v="128.69"/>
    <n v="0"/>
    <n v="109.06"/>
    <n v="18"/>
    <n v="19.63"/>
    <n v="128.69"/>
    <n v="1"/>
    <m/>
    <x v="1"/>
    <x v="1"/>
    <x v="0"/>
    <s v="SAMUEL CHUQUISTA"/>
    <x v="0"/>
    <s v="7012100 MercaderÃ­as-Venta Local-Terceros"/>
    <x v="3"/>
    <x v="22"/>
    <m/>
    <m/>
    <m/>
    <x v="0"/>
    <s v="MARGARITA ARROYO FLORES_x000a_"/>
    <m/>
    <x v="410"/>
  </r>
  <r>
    <x v="4"/>
    <x v="384"/>
    <s v="COLABORATIVA S.A.C."/>
    <x v="22"/>
    <d v="2025-10-16T00:00:00"/>
    <x v="79"/>
    <m/>
    <n v="1"/>
    <s v="08312410"/>
    <s v="[{'id_producto': '1', 'codigo_producto': '886', 'nom_producto': 'COMISIÃ“N PAGOS DIGITALES SEGUN CONTRATO - MARGARITA ARROYO ', 'categoria_producto': 'consu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'', 'nom_organizador': 'MARGARITA ARROYO FLORES\n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17"/>
    <x v="125"/>
    <s v="consu"/>
    <n v="1"/>
    <n v="182.75"/>
    <n v="215.64"/>
    <n v="0"/>
    <n v="182.75"/>
    <n v="18"/>
    <n v="32.89"/>
    <n v="215.64"/>
    <n v="1"/>
    <m/>
    <x v="1"/>
    <x v="1"/>
    <x v="0"/>
    <s v="SAMUEL CHUQUISTA"/>
    <x v="0"/>
    <s v="7012100 MercaderÃ­as-Venta Local-Terceros"/>
    <x v="3"/>
    <x v="22"/>
    <m/>
    <m/>
    <m/>
    <x v="0"/>
    <s v="MARGARITA ARROYO FLORES_x000a_"/>
    <m/>
    <x v="411"/>
  </r>
  <r>
    <x v="3"/>
    <x v="385"/>
    <s v="COLABORATIVA S.A.C."/>
    <x v="22"/>
    <d v="2025-10-16T00:00:00"/>
    <x v="80"/>
    <m/>
    <n v="6"/>
    <n v="10082794838"/>
    <s v="[{'id_producto': '1', 'codigo_producto': '885', 'nom_producto': 'COMISIÃ“N VAOPE SEGUN CONTRATO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'', 'nom_organizador': 'COJAL ARROYO JAVIER MARCIAN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40"/>
    <x v="49"/>
    <s v="consu"/>
    <n v="1"/>
    <n v="109.06"/>
    <n v="128.69"/>
    <n v="0"/>
    <n v="109.06"/>
    <n v="18"/>
    <n v="19.63"/>
    <n v="128.69"/>
    <n v="1"/>
    <m/>
    <x v="1"/>
    <x v="1"/>
    <x v="0"/>
    <s v="SAMUEL CHUQUISTA"/>
    <x v="0"/>
    <s v="7012100 MercaderÃ­as-Venta Local-Terceros"/>
    <x v="3"/>
    <x v="22"/>
    <m/>
    <m/>
    <m/>
    <x v="0"/>
    <s v="COJAL ARROYO JAVIER MARCIANO"/>
    <m/>
    <x v="412"/>
  </r>
  <r>
    <x v="3"/>
    <x v="386"/>
    <s v="COLABORATIVA S.A.C."/>
    <x v="22"/>
    <d v="2025-10-16T00:00:00"/>
    <x v="80"/>
    <m/>
    <n v="6"/>
    <n v="10082794838"/>
    <s v="[{'id_producto': '1', 'codigo_producto': '01', 'nom_producto': 'COMISIÃ“N PAGOS DIGITALES SEGUN CONTRATO', 'categoria_producto': 'service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'', 'nom_organizador': 'COJAL ARROYO JAVIER MARCIAN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"/>
    <x v="126"/>
    <s v="service"/>
    <n v="1"/>
    <n v="182.75"/>
    <n v="215.64"/>
    <n v="0"/>
    <n v="182.75"/>
    <n v="18"/>
    <n v="32.89"/>
    <n v="215.64"/>
    <n v="1"/>
    <m/>
    <x v="1"/>
    <x v="1"/>
    <x v="0"/>
    <s v="SAMUEL CHUQUISTA"/>
    <x v="0"/>
    <s v="7012100 MercaderÃ­as-Venta Local-Terceros"/>
    <x v="3"/>
    <x v="22"/>
    <m/>
    <m/>
    <m/>
    <x v="0"/>
    <s v="COJAL ARROYO JAVIER MARCIANO"/>
    <m/>
    <x v="413"/>
  </r>
  <r>
    <x v="4"/>
    <x v="387"/>
    <s v="COLABORATIVA S.A.C."/>
    <x v="22"/>
    <d v="2025-10-16T00:00:00"/>
    <x v="81"/>
    <s v="Cliente"/>
    <n v="1"/>
    <n v="44413438"/>
    <s v="[{'id_producto': '1', 'codigo_producto': '01', 'nom_producto': 'COMISIÃ“N PAGOS DIGITALES SEGUN CONTRATO', 'categoria_producto': 'service', 'cantidad': '1.0', 'valor_unitario': 757.54, 'precio_unitario': 893.9, 'descuento': 0.0, 'subtotal': 757.54, 'porcentaje_de_igv': '18.00', 'igv': 136.36, 'total': 893.9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"/>
    <x v="126"/>
    <s v="service"/>
    <n v="1"/>
    <n v="757.54"/>
    <n v="893.9"/>
    <n v="0"/>
    <n v="757.54"/>
    <n v="18"/>
    <n v="136.36000000000001"/>
    <n v="893.9"/>
    <n v="1"/>
    <m/>
    <x v="1"/>
    <x v="1"/>
    <x v="0"/>
    <s v="SAMUEL CHUQUISTA"/>
    <x v="0"/>
    <s v="7012100 MercaderÃ­as-Venta Local-Terceros"/>
    <x v="3"/>
    <x v="22"/>
    <m/>
    <m/>
    <m/>
    <x v="0"/>
    <s v="HERMOGENES HUAMAN ESPINOZA"/>
    <m/>
    <x v="414"/>
  </r>
  <r>
    <x v="4"/>
    <x v="388"/>
    <s v="COLABORATIVA S.A.C."/>
    <x v="22"/>
    <d v="2025-10-16T00:00:00"/>
    <x v="81"/>
    <s v="Cliente"/>
    <n v="1"/>
    <n v="44413438"/>
    <s v="[{'id_producto': '1', 'codigo_producto': '878', 'nom_producto': 'COMISIÃ“N VAOPE SEGÃšN CONTRATO ', 'categoria_producto': 'consu', 'cantidad': '1.0', 'valor_unitario': 460.17, 'precio_unitario': 543.0, 'descuento': 0.0, 'subtotal': 460.17, 'porcentaje_de_igv': '18.00', 'igv': 82.83, 'total': 543.0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460.17"/>
    <n v="543"/>
    <n v="0"/>
    <n v="460.17"/>
    <n v="18"/>
    <n v="82.83"/>
    <n v="543"/>
    <n v="1"/>
    <m/>
    <x v="1"/>
    <x v="1"/>
    <x v="0"/>
    <s v="SAMUEL CHUQUISTA"/>
    <x v="0"/>
    <s v="7012100 MercaderÃ­as-Venta Local-Terceros"/>
    <x v="3"/>
    <x v="22"/>
    <m/>
    <m/>
    <m/>
    <x v="0"/>
    <s v="HERMOGENES HUAMAN ESPINOZA"/>
    <m/>
    <x v="415"/>
  </r>
  <r>
    <x v="3"/>
    <x v="389"/>
    <s v="COLABORATIVA S.A.C."/>
    <x v="22"/>
    <d v="2025-10-16T00:00:00"/>
    <x v="30"/>
    <s v="Cliente"/>
    <n v="6"/>
    <n v="20296011356"/>
    <s v="[{'id_producto': '1', 'codigo_producto': '874', 'nom_producto': 'COMISION CORTESIA', 'categoria_producto': 'consu', 'cantidad': '1.0', 'valor_unitario': 8.5, 'precio_unitario': 10.03, 'descuento': 0.0, 'subtotal': 8.5, 'porcentaje_de_igv': '18.00', 'igv': 1.53, 'total': 10.03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8.5"/>
    <n v="10.029999999999999"/>
    <n v="0"/>
    <n v="8.5"/>
    <n v="18"/>
    <n v="1.53"/>
    <n v="10.029999999999999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416"/>
  </r>
  <r>
    <x v="3"/>
    <x v="390"/>
    <s v="COLABORATIVA S.A.C."/>
    <x v="22"/>
    <d v="2025-10-16T00:00:00"/>
    <x v="30"/>
    <s v="Cliente"/>
    <n v="6"/>
    <n v="20296011356"/>
    <s v="[{'id_producto': '1', 'codigo_producto': '883', 'nom_producto': 'PERSONAL - CREACION CONTENIDO- PROMOCIONAR EVENTO 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73, 'nom_distribucion': 'Contenido', 'sub_categoria': 'Personal temporal', 'porcentaje': '100.00'}]]}]"/>
    <d v="2025-01-06T00:00:00"/>
    <m/>
    <m/>
    <m/>
    <m/>
    <m/>
    <n v="1"/>
    <x v="118"/>
    <x v="127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9"/>
    <x v="22"/>
    <m/>
    <m/>
    <m/>
    <x v="0"/>
    <s v="COMPLEJO TURISTICO EL REMANSO SAC"/>
    <m/>
    <x v="417"/>
  </r>
  <r>
    <x v="3"/>
    <x v="391"/>
    <s v="COLABORATIVA S.A.C."/>
    <x v="22"/>
    <d v="2025-10-16T00:00:00"/>
    <x v="30"/>
    <s v="Cliente"/>
    <n v="6"/>
    <n v="20296011356"/>
    <s v="[{'id_producto': '1', 'codigo_producto': '882', 'nom_producto': 'PERSONAL - Servicio de 05 validadores (Inc IGV)', 'categoria_producto': 'consu', 'cantidad': '1.0', 'valor_unitario': 750.0, 'precio_unitario': 885.0, 'descuento': 0.0, 'subtotal': 750.0, 'porcentaje_de_igv': '18.00', 'igv': 135.0, 'total': 885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6T00:00:00"/>
    <m/>
    <m/>
    <m/>
    <m/>
    <m/>
    <n v="1"/>
    <x v="64"/>
    <x v="72"/>
    <s v="consu"/>
    <n v="1"/>
    <n v="750"/>
    <n v="885"/>
    <n v="0"/>
    <n v="750"/>
    <n v="18"/>
    <n v="135"/>
    <n v="885"/>
    <n v="1"/>
    <m/>
    <x v="1"/>
    <x v="1"/>
    <x v="0"/>
    <s v="SAMUEL CHUQUISTA"/>
    <x v="0"/>
    <s v="7012100 MercaderÃ­as-Venta Local-Terceros"/>
    <x v="6"/>
    <x v="22"/>
    <m/>
    <m/>
    <m/>
    <x v="0"/>
    <s v="COMPLEJO TURISTICO EL REMANSO SAC"/>
    <m/>
    <x v="418"/>
  </r>
  <r>
    <x v="3"/>
    <x v="392"/>
    <s v="COLABORATIVA S.A.C."/>
    <x v="22"/>
    <d v="2025-10-16T00:00:00"/>
    <x v="30"/>
    <s v="Cliente"/>
    <n v="6"/>
    <n v="20296011356"/>
    <s v="[{'id_producto': '1', 'codigo_producto': '881', 'nom_producto': 'ENTRADAS IMPRESAS - *ORDEN DE VENTA NÂ°506*\n * Alberto Barros en El Remanso de Comas/ 1,200 BRAZALETES VIP / 2,250 FULL COLOR GENERAL (S/1,770.00)\n', 'categoria_producto': 'consu', 'cantidad': '1.0', 'valor_unitario': 1500.0, 'precio_unitario': 1770.0, 'descuento': 0.0, 'subtotal': 1500.0, 'porcentaje_de_igv': '18.00', 'igv': 270.0, 'total': 1770.0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6T00:00:00"/>
    <m/>
    <m/>
    <m/>
    <m/>
    <m/>
    <n v="1"/>
    <x v="119"/>
    <x v="128"/>
    <s v="consu"/>
    <n v="1"/>
    <n v="1500"/>
    <n v="1770"/>
    <n v="0"/>
    <n v="1500"/>
    <n v="18"/>
    <n v="270"/>
    <n v="1770"/>
    <n v="1"/>
    <m/>
    <x v="1"/>
    <x v="1"/>
    <x v="0"/>
    <s v="SAMUEL CHUQUISTA"/>
    <x v="0"/>
    <s v="7012100 MercaderÃ­as-Venta Local-Terceros"/>
    <x v="2"/>
    <x v="22"/>
    <m/>
    <m/>
    <m/>
    <x v="0"/>
    <s v="COMPLEJO TURISTICO EL REMANSO SAC"/>
    <m/>
    <x v="419"/>
  </r>
  <r>
    <x v="3"/>
    <x v="393"/>
    <s v="COLABORATIVA S.A.C."/>
    <x v="22"/>
    <d v="2025-10-16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2915.0, 'precio_unitario': 3439.7, 'descuento': 0.0, 'subtotal': 2915.0, 'porcentaje_de_igv': '18.00', 'igv': 524.7, 'total': 3439.7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915"/>
    <n v="3439.7"/>
    <n v="0"/>
    <n v="2915"/>
    <n v="18"/>
    <n v="524.70000000000005"/>
    <n v="3439.7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420"/>
  </r>
  <r>
    <x v="3"/>
    <x v="394"/>
    <s v="COLABORATIVA S.A.C."/>
    <x v="22"/>
    <d v="2025-10-16T00:00:00"/>
    <x v="30"/>
    <s v="Cliente"/>
    <n v="6"/>
    <n v="20296011356"/>
    <s v="[{'id_producto': '1', 'codigo_producto': '870', 'nom_producto': 'COMISIÃ“N VAOPE SEGÃšN CONTRATO', 'categoria_producto': 'consu', 'cantidad': '1.0', 'valor_unitario': 1759.92, 'precio_unitario': 2076.7, 'descuento': 0.0, 'subtotal': 1759.92, 'porcentaje_de_igv': '18.00', 'igv': 316.78, 'total': 2076.7, 'moneda': '1', 'tipo_de_cambio': '', 'id_estado': 'not_paid', 'nombre_estado': 'Sin pagar', 'evento': {'id_evento': '', 'nom_evento': '', 'Fecha_hora_ini_event': '', 'Fecha_hora_fin_event': '', 'id_organizador': '', 'nom_organizador': 'COMPLEJO TURISTICO EL REMANS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759.92"/>
    <n v="2076.6999999999998"/>
    <n v="0"/>
    <n v="1759.92"/>
    <n v="18"/>
    <n v="316.77999999999997"/>
    <n v="2076.6999999999998"/>
    <n v="1"/>
    <m/>
    <x v="1"/>
    <x v="1"/>
    <x v="0"/>
    <s v="SAMUEL CHUQUISTA"/>
    <x v="0"/>
    <s v="7012100 MercaderÃ­as-Venta Local-Terceros"/>
    <x v="3"/>
    <x v="22"/>
    <m/>
    <m/>
    <m/>
    <x v="0"/>
    <s v="COMPLEJO TURISTICO EL REMANSO SAC"/>
    <m/>
    <x v="421"/>
  </r>
  <r>
    <x v="3"/>
    <x v="395"/>
    <s v="COLABORATIVA S.A.C."/>
    <x v="22"/>
    <d v="2025-10-16T00:00:00"/>
    <x v="35"/>
    <m/>
    <n v="6"/>
    <n v="20516587874"/>
    <s v="[{'id_producto': '1', 'codigo_producto': '877', 'nom_producto': 'COMISIÃ“N PAGOS DIGITALES SEGÃšN CONTRATO', 'categoria_producto': 'consu', 'cantidad': '1.0', 'valor_unitario': 170.76, 'precio_unitario': 201.5, 'descuento': 0.0, 'subtotal': 170.76, 'porcentaje_de_igv': '18.00', 'igv': 30.74, 'total': 201.5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170.76"/>
    <n v="201.5"/>
    <n v="0"/>
    <n v="170.76"/>
    <n v="18"/>
    <n v="30.74"/>
    <n v="201.5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422"/>
  </r>
  <r>
    <x v="3"/>
    <x v="396"/>
    <s v="COLABORATIVA S.A.C."/>
    <x v="22"/>
    <d v="2025-10-16T00:00:00"/>
    <x v="35"/>
    <m/>
    <n v="6"/>
    <n v="20516587874"/>
    <s v="[{'id_producto': '1', 'codigo_producto': '870', 'nom_producto': 'COMISIÃ“N VAOPE SEGÃšN CONTRATO', 'categoria_producto': 'consu', 'cantidad': '1.0', 'valor_unitario': 102.29, 'precio_unitario': 120.7, 'descuento': 0.0, 'subtotal': 102.29, 'porcentaje_de_igv': '18.00', 'igv': 18.41, 'total': 120.7, 'moneda': '1', 'tipo_de_cambio': '', 'id_estado': 'not_paid', 'nombre_estado': 'Sin pagar', 'evento': {'id_evento': '', 'nom_evento': '', 'Fecha_hora_ini_event': '', 'Fecha_hora_fin_event': '', 'id_organizador': '', 'nom_organizador': 'EL PADRINO DIVERSIONES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02.29"/>
    <n v="120.7"/>
    <n v="0"/>
    <n v="102.29"/>
    <n v="18"/>
    <n v="18.41"/>
    <n v="120.7"/>
    <n v="1"/>
    <m/>
    <x v="1"/>
    <x v="1"/>
    <x v="0"/>
    <s v="SAMUEL CHUQUISTA"/>
    <x v="0"/>
    <s v="7012100 MercaderÃ­as-Venta Local-Terceros"/>
    <x v="3"/>
    <x v="22"/>
    <m/>
    <m/>
    <m/>
    <x v="0"/>
    <s v="EL PADRINO DIVERSIONES S.A.C."/>
    <m/>
    <x v="423"/>
  </r>
  <r>
    <x v="3"/>
    <x v="397"/>
    <s v="COLABORATIVA S.A.C."/>
    <x v="22"/>
    <d v="2025-10-16T00:00:00"/>
    <x v="82"/>
    <m/>
    <n v="6"/>
    <n v="20555933020"/>
    <s v="[{'id_producto': '1', 'codigo_producto': '877', 'nom_producto': 'COMISIÃ“N PAGOS DIGITALES SEGÃšN CONTRATO', 'categoria_producto': 'consu', 'cantidad': '1.0', 'valor_unitario': 75.68, 'precio_unitario': 89.3, 'descuento': 0.0, 'subtotal': 75.68, 'porcentaje_de_igv': '18.00', 'igv': 13.62, 'total': 89.3, 'moneda': '1', 'tipo_de_cambio': '', 'id_estado': 'not_paid', 'nombre_estado': 'Sin pagar', 'evento': {'id_evento': '', 'nom_evento': '', 'Fecha_hora_ini_event': '', 'Fecha_hora_fin_event': '', 'id_organizador': '', 'nom_organizador': 'SUPER LE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75.680000000000007"/>
    <n v="89.3"/>
    <n v="0"/>
    <n v="75.680000000000007"/>
    <n v="18"/>
    <n v="13.62"/>
    <n v="89.3"/>
    <n v="1"/>
    <m/>
    <x v="1"/>
    <x v="1"/>
    <x v="0"/>
    <s v="SAMUEL CHUQUISTA"/>
    <x v="0"/>
    <s v="7012100 MercaderÃ­as-Venta Local-Terceros"/>
    <x v="3"/>
    <x v="22"/>
    <m/>
    <m/>
    <m/>
    <x v="0"/>
    <s v="SUPER LEO SAC"/>
    <m/>
    <x v="424"/>
  </r>
  <r>
    <x v="3"/>
    <x v="398"/>
    <s v="COLABORATIVA S.A.C."/>
    <x v="22"/>
    <d v="2025-10-16T00:00:00"/>
    <x v="82"/>
    <m/>
    <n v="6"/>
    <n v="20555933020"/>
    <s v="[{'id_producto': '1', 'codigo_producto': '870', 'nom_producto': 'COMISIÃ“N VAOPE SEGÃšN CONTRATO', 'categoria_producto': 'consu', 'cantidad': '1.0', 'valor_unitario': 43.22, 'precio_unitario': 51.0, 'descuento': 0.0, 'subtotal': 43.22, 'porcentaje_de_igv': '18.00', 'igv': 7.78, 'total': 51.0, 'moneda': '1', 'tipo_de_cambio': '', 'id_estado': 'not_paid', 'nombre_estado': 'Sin pagar', 'evento': {'id_evento': '', 'nom_evento': '', 'Fecha_hora_ini_event': '', 'Fecha_hora_fin_event': '', 'id_organizador': '', 'nom_organizador': 'SUPER LEO SAC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43.22"/>
    <n v="51"/>
    <n v="0"/>
    <n v="43.22"/>
    <n v="18"/>
    <n v="7.78"/>
    <n v="51"/>
    <n v="1"/>
    <m/>
    <x v="1"/>
    <x v="1"/>
    <x v="0"/>
    <s v="SAMUEL CHUQUISTA"/>
    <x v="0"/>
    <s v="7012100 MercaderÃ­as-Venta Local-Terceros"/>
    <x v="3"/>
    <x v="22"/>
    <m/>
    <m/>
    <m/>
    <x v="0"/>
    <s v="SUPER LEO SAC"/>
    <m/>
    <x v="425"/>
  </r>
  <r>
    <x v="4"/>
    <x v="399"/>
    <s v="COLABORATIVA S.A.C."/>
    <x v="22"/>
    <d v="2025-10-16T00:00:00"/>
    <x v="44"/>
    <s v="Cliente"/>
    <n v="1"/>
    <n v="47633477"/>
    <s v="[{'id_producto': '1', 'codigo_producto': '877', 'nom_producto': 'COMISIÃ“N PAGOS DIGITALES SEGÃšN CONTRATO', 'categoria_producto': 'consu', 'cantidad': '1.0', 'valor_unitario': 889.65, 'precio_unitario': 1049.79, 'descuento': 0.0, 'subtotal': 889.65, 'porcentaje_de_igv': '18.00', 'igv': 160.14, 'total': 1049.79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889.65"/>
    <n v="1049.79"/>
    <n v="0"/>
    <n v="889.65"/>
    <n v="18"/>
    <n v="160.13999999999999"/>
    <n v="1049.79"/>
    <n v="1"/>
    <m/>
    <x v="1"/>
    <x v="1"/>
    <x v="0"/>
    <s v="SAMUEL CHUQUISTA"/>
    <x v="0"/>
    <s v="7012100 MercaderÃ­as-Venta Local-Terceros"/>
    <x v="3"/>
    <x v="22"/>
    <m/>
    <m/>
    <m/>
    <x v="0"/>
    <s v="SILVIA SEMIRA SANCHEZ SANGAMA"/>
    <m/>
    <x v="426"/>
  </r>
  <r>
    <x v="4"/>
    <x v="400"/>
    <s v="COLABORATIVA S.A.C."/>
    <x v="22"/>
    <d v="2025-10-16T00:00:00"/>
    <x v="44"/>
    <s v="Cliente"/>
    <n v="1"/>
    <n v="47633477"/>
    <s v="[{'id_producto': '1', 'codigo_producto': '870', 'nom_producto': 'COMISIÃ“N VAOPE SEGÃšN CONTRATO', 'categoria_producto': 'consu', 'cantidad': '1.0', 'valor_unitario': 545.08, 'precio_unitario': 643.2, 'descuento': 0.0, 'subtotal': 545.08, 'porcentaje_de_igv': '18.00', 'igv': 98.12, 'total': 643.2, 'moneda': '1', 'tipo_de_cambio': '', 'id_estado': 'not_paid', 'nombre_estado': 'Sin pagar', 'evento': {'id_evento': '', 'nom_evento': '', 'Fecha_hora_ini_event': '', 'Fecha_hora_fin_event': '', 'id_organizador': '', 'nom_organizador': 'SILVIA SEMIRA SANCHEZ SANGAM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545.08000000000004"/>
    <n v="643.20000000000005"/>
    <n v="0"/>
    <n v="545.08000000000004"/>
    <n v="18"/>
    <n v="98.12"/>
    <n v="643.20000000000005"/>
    <n v="1"/>
    <m/>
    <x v="1"/>
    <x v="1"/>
    <x v="0"/>
    <s v="SAMUEL CHUQUISTA"/>
    <x v="0"/>
    <s v="7012100 MercaderÃ­as-Venta Local-Terceros"/>
    <x v="3"/>
    <x v="22"/>
    <m/>
    <m/>
    <m/>
    <x v="0"/>
    <s v="SILVIA SEMIRA SANCHEZ SANGAMA"/>
    <m/>
    <x v="427"/>
  </r>
  <r>
    <x v="4"/>
    <x v="401"/>
    <s v="COLABORATIVA S.A.C."/>
    <x v="22"/>
    <d v="2025-10-16T00:00:00"/>
    <x v="83"/>
    <m/>
    <n v="1"/>
    <n v="40384386"/>
    <s v="[{'id_producto': '1', 'codigo_producto': '871', 'nom_producto': 'COMISIÃ“N PAGOS DIGITALES SEGÃšN CONTRATO ', 'categoria_producto': 'consu', 'cantidad': '1.0', 'valor_unitario': 39.73, 'precio_unitario': 46.88, 'descuento': 0.0, 'subtotal': 39.73, 'porcentaje_de_igv': '18.00', 'igv': 7.15, 'total': 46.88, 'moneda': '1', 'tipo_de_cambio': '', 'id_estado': 'not_paid', 'nombre_estado': 'Sin pagar', 'evento': {'id_evento': '', 'nom_evento': '', 'Fecha_hora_ini_event': '', 'Fecha_hora_fin_event': '', 'id_organizador': '', 'nom_organizador': 'JOSE CORPUS CERDAN DIA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39.729999999999997"/>
    <n v="46.88"/>
    <n v="0"/>
    <n v="39.729999999999997"/>
    <n v="18"/>
    <n v="7.15"/>
    <n v="46.88"/>
    <n v="1"/>
    <m/>
    <x v="1"/>
    <x v="1"/>
    <x v="0"/>
    <s v="SAMUEL CHUQUISTA"/>
    <x v="0"/>
    <s v="7012100 MercaderÃ­as-Venta Local-Terceros"/>
    <x v="3"/>
    <x v="22"/>
    <m/>
    <m/>
    <m/>
    <x v="0"/>
    <s v="JOSE CORPUS CERDAN DIAZ"/>
    <m/>
    <x v="428"/>
  </r>
  <r>
    <x v="4"/>
    <x v="402"/>
    <s v="COLABORATIVA S.A.C."/>
    <x v="22"/>
    <d v="2025-10-16T00:00:00"/>
    <x v="83"/>
    <m/>
    <n v="1"/>
    <n v="40384386"/>
    <s v="[{'id_producto': '1', 'codigo_producto': '878', 'nom_producto': 'COMISIÃ“N VAOPE SEGÃšN CONTRATO ', 'categoria_producto': 'consu', 'cantidad': '1.0', 'valor_unitario': 24.58, 'precio_unitario': 29.0, 'descuento': 0.0, 'subtotal': 24.58, 'porcentaje_de_igv': '17.98', 'igv': 4.42, 'total': 29.0, 'moneda': '1', 'tipo_de_cambio': '', 'id_estado': 'not_paid', 'nombre_estado': 'Sin pagar', 'evento': {'id_evento': '', 'nom_evento': '', 'Fecha_hora_ini_event': '', 'Fecha_hora_fin_event': '', 'id_organizador': '', 'nom_organizador': 'JOSE CORPUS CERDAN DIAZ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24.58"/>
    <n v="29"/>
    <n v="0"/>
    <n v="24.58"/>
    <n v="17.98"/>
    <n v="4.42"/>
    <n v="29"/>
    <n v="1"/>
    <m/>
    <x v="1"/>
    <x v="1"/>
    <x v="0"/>
    <s v="SAMUEL CHUQUISTA"/>
    <x v="0"/>
    <s v="7012100 MercaderÃ­as-Venta Local-Terceros"/>
    <x v="3"/>
    <x v="22"/>
    <m/>
    <m/>
    <m/>
    <x v="0"/>
    <s v="JOSE CORPUS CERDAN DIAZ"/>
    <m/>
    <x v="429"/>
  </r>
  <r>
    <x v="3"/>
    <x v="403"/>
    <s v="COLABORATIVA S.A.C."/>
    <x v="22"/>
    <d v="2025-10-16T00:00:00"/>
    <x v="40"/>
    <m/>
    <n v="6"/>
    <n v="20611587741"/>
    <s v="[{'id_producto': '1', 'codigo_producto': '870', 'nom_producto': 'COMISIÃ“N VAOPE SEGÃšN CONTRATO', 'categoria_producto': 'consu', 'cantidad': '1.0', 'valor_unitario': 58.39, 'precio_unitario': 68.9, 'descuento': 0.0, 'subtotal': 58.39, 'porcentaje_de_igv': '18.00', 'igv': 10.51, 'total': 68.9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58.39"/>
    <n v="68.900000000000006"/>
    <n v="0"/>
    <n v="58.39"/>
    <n v="18"/>
    <n v="10.51"/>
    <n v="68.900000000000006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430"/>
  </r>
  <r>
    <x v="3"/>
    <x v="404"/>
    <s v="COLABORATIVA S.A.C."/>
    <x v="22"/>
    <d v="2025-10-16T00:00:00"/>
    <x v="40"/>
    <m/>
    <n v="6"/>
    <n v="20611587741"/>
    <s v="[{'id_producto': '1', 'codigo_producto': '870', 'nom_producto': 'COMISIÃ“N VAOPE SEGÃšN CONTRATO', 'categoria_producto': 'consu', 'cantidad': '1.0', 'valor_unitario': 38.81, 'precio_unitario': 45.8, 'descuento': 0.0, 'subtotal': 38.81, 'porcentaje_de_igv': '18.01', 'igv': 6.99, 'total': 45.8, 'moneda': '1', 'tipo_de_cambio': '', 'id_estado': 'not_paid', 'nombre_estado': 'Sin pagar', 'evento': {'id_evento': '', 'nom_evento': '', 'Fecha_hora_ini_event': '', 'Fecha_hora_fin_event': '', 'id_organizador': '', 'nom_organizador': 'JDA BUSINESS PER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38.81"/>
    <n v="45.8"/>
    <n v="0"/>
    <n v="38.81"/>
    <n v="18.010000000000002"/>
    <n v="6.99"/>
    <n v="45.8"/>
    <n v="1"/>
    <m/>
    <x v="1"/>
    <x v="1"/>
    <x v="0"/>
    <s v="SAMUEL CHUQUISTA"/>
    <x v="0"/>
    <s v="7012100 MercaderÃ­as-Venta Local-Terceros"/>
    <x v="3"/>
    <x v="22"/>
    <m/>
    <m/>
    <m/>
    <x v="0"/>
    <s v="JDA BUSINESS PERU S.A.C."/>
    <m/>
    <x v="431"/>
  </r>
  <r>
    <x v="3"/>
    <x v="405"/>
    <s v="COLABORATIVA S.A.C."/>
    <x v="22"/>
    <d v="2025-10-16T00:00:00"/>
    <x v="84"/>
    <m/>
    <n v="6"/>
    <n v="20611183110"/>
    <s v="[{'id_producto': '1', 'codigo_producto': '871', 'nom_producto': 'COMISIÃ“N PAGOS DIGITALES SEGÃšN CONTRATO ', 'categoria_producto': 'consu', 'cantidad': '1.0', 'valor_unitario': 11.53, 'precio_unitario': 13.6, 'descuento': 0.0, 'subtotal': 11.53, 'porcentaje_de_igv': '17.95', 'igv': 2.07, 'total': 13.6, 'moneda': '1', 'tipo_de_cambio': '', 'id_estado': 'not_paid', 'nombre_estado': 'Sin pagar', 'evento': {'id_evento': '', 'nom_evento': '', 'Fecha_hora_ini_event': '', 'Fecha_hora_fin_event': '', 'id_organizador': '', 'nom_organizador': 'MAQUINA DEL TIEMP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11.53"/>
    <n v="13.6"/>
    <n v="0"/>
    <n v="11.53"/>
    <n v="17.95"/>
    <n v="2.0699999999999998"/>
    <n v="13.6"/>
    <n v="1"/>
    <m/>
    <x v="1"/>
    <x v="1"/>
    <x v="0"/>
    <s v="SAMUEL CHUQUISTA"/>
    <x v="0"/>
    <s v="7012100 MercaderÃ­as-Venta Local-Terceros"/>
    <x v="3"/>
    <x v="22"/>
    <m/>
    <m/>
    <m/>
    <x v="0"/>
    <s v="MAQUINA DEL TIEMPO S.A.C."/>
    <m/>
    <x v="432"/>
  </r>
  <r>
    <x v="3"/>
    <x v="406"/>
    <s v="COLABORATIVA S.A.C."/>
    <x v="22"/>
    <d v="2025-10-16T00:00:00"/>
    <x v="84"/>
    <m/>
    <n v="6"/>
    <n v="20611183110"/>
    <s v="[{'id_producto': '1', 'codigo_producto': '878', 'nom_producto': 'COMISIÃ“N VAOPE SEGÃšN CONTRATO ', 'categoria_producto': 'consu', 'cantidad': '1.0', 'valor_unitario': 8.14, 'precio_unitario': 9.6, 'descuento': 0.0, 'subtotal': 8.14, 'porcentaje_de_igv': '17.94', 'igv': 1.46, 'total': 9.6, 'moneda': '1', 'tipo_de_cambio': '', 'id_estado': 'not_paid', 'nombre_estado': 'Sin pagar', 'evento': {'id_evento': '', 'nom_evento': '', 'Fecha_hora_ini_event': '', 'Fecha_hora_fin_event': '', 'id_organizador': '', 'nom_organizador': 'MAQUINA DEL TIEMPO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8.14"/>
    <n v="9.6"/>
    <n v="0"/>
    <n v="8.14"/>
    <n v="17.940000000000001"/>
    <n v="1.46"/>
    <n v="9.6"/>
    <n v="1"/>
    <m/>
    <x v="1"/>
    <x v="1"/>
    <x v="0"/>
    <s v="SAMUEL CHUQUISTA"/>
    <x v="0"/>
    <s v="7012100 MercaderÃ­as-Venta Local-Terceros"/>
    <x v="3"/>
    <x v="22"/>
    <m/>
    <m/>
    <m/>
    <x v="0"/>
    <s v="MAQUINA DEL TIEMPO S.A.C."/>
    <m/>
    <x v="433"/>
  </r>
  <r>
    <x v="4"/>
    <x v="407"/>
    <s v="COLABORATIVA S.A.C."/>
    <x v="23"/>
    <d v="2025-10-16T00:00:00"/>
    <x v="85"/>
    <s v="Cliente"/>
    <n v="1"/>
    <n v="43852005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JENNER ROBERTO CRISANTA RI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0"/>
    <s v="JENNER ROBERTO CRISANTA RIOS"/>
    <m/>
    <x v="434"/>
  </r>
  <r>
    <x v="4"/>
    <x v="408"/>
    <s v="COLABORATIVA S.A.C."/>
    <x v="23"/>
    <d v="2025-10-16T00:00:00"/>
    <x v="85"/>
    <s v="Cliente"/>
    <n v="1"/>
    <n v="43852005"/>
    <s v="[{'id_producto': '1', 'codigo_producto': '877', 'nom_producto': 'COMISIÃ“N PAGOS DIGITALES SEGÃšN CONTRATO', 'categoria_producto': 'consu', 'cantidad': '1.0', 'valor_unitario': 598.73, 'precio_unitario': 706.5, 'descuento': 0.0, 'subtotal': 598.73, 'porcentaje_de_igv': '18.00', 'igv': 107.77, 'total': 706.5, 'moneda': '1', 'tipo_de_cambio': '', 'id_estado': 'not_paid', 'nombre_estado': 'Sin pagar', 'evento': {'id_evento': '', 'nom_evento': '', 'Fecha_hora_ini_event': '', 'Fecha_hora_fin_event': '', 'id_organizador': '', 'nom_organizador': 'JENNER ROBERTO CRISANTA RI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598.73"/>
    <n v="706.5"/>
    <n v="0"/>
    <n v="598.73"/>
    <n v="18"/>
    <n v="107.77"/>
    <n v="706.5"/>
    <n v="1"/>
    <m/>
    <x v="1"/>
    <x v="1"/>
    <x v="0"/>
    <s v="SAMUEL CHUQUISTA"/>
    <x v="0"/>
    <s v="7012100 MercaderÃ­as-Venta Local-Terceros"/>
    <x v="3"/>
    <x v="22"/>
    <m/>
    <m/>
    <m/>
    <x v="0"/>
    <s v="JENNER ROBERTO CRISANTA RIOS"/>
    <m/>
    <x v="435"/>
  </r>
  <r>
    <x v="4"/>
    <x v="409"/>
    <s v="COLABORATIVA S.A.C."/>
    <x v="23"/>
    <d v="2025-10-16T00:00:00"/>
    <x v="85"/>
    <s v="Cliente"/>
    <n v="1"/>
    <n v="43852005"/>
    <s v="[{'id_producto': '1', 'codigo_producto': '878', 'nom_producto': 'COMISIÃ“N VAOPE SEGÃšN CONTRATO ', 'categoria_producto': 'consu', 'cantidad': '1.0', 'valor_unitario': 343.47, 'precio_unitario': 405.3, 'descuento': 0.0, 'subtotal': 343.47, 'porcentaje_de_igv': '18.00', 'igv': 61.83, 'total': 405.3, 'moneda': '1', 'tipo_de_cambio': '', 'id_estado': 'not_paid', 'nombre_estado': 'Sin pagar', 'evento': {'id_evento': '', 'nom_evento': '', 'Fecha_hora_ini_event': '', 'Fecha_hora_fin_event': '', 'id_organizador': '', 'nom_organizador': 'JENNER ROBERTO CRISANTA RIOS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51"/>
    <x v="59"/>
    <s v="consu"/>
    <n v="1"/>
    <n v="343.47"/>
    <n v="405.3"/>
    <n v="0"/>
    <n v="343.47"/>
    <n v="18"/>
    <n v="61.83"/>
    <n v="405.3"/>
    <n v="1"/>
    <m/>
    <x v="1"/>
    <x v="1"/>
    <x v="0"/>
    <s v="SAMUEL CHUQUISTA"/>
    <x v="0"/>
    <s v="7012100 MercaderÃ­as-Venta Local-Terceros"/>
    <x v="3"/>
    <x v="22"/>
    <m/>
    <m/>
    <m/>
    <x v="0"/>
    <s v="JENNER ROBERTO CRISANTA RIOS"/>
    <m/>
    <x v="436"/>
  </r>
  <r>
    <x v="4"/>
    <x v="410"/>
    <s v="COLABORATIVA S.A.C."/>
    <x v="23"/>
    <d v="2025-10-16T00:00:00"/>
    <x v="86"/>
    <m/>
    <n v="1"/>
    <n v="70040189"/>
    <s v="[{'id_producto': '1', 'codigo_producto': '871', 'nom_producto': 'COMISIÃ“N PAGOS DIGITALES SEGÃšN CONTRATO ', 'categoria_producto': 'consu', 'cantidad': '1.0', 'valor_unitario': 323.68, 'precio_unitario': 381.94, 'descuento': 0.0, 'subtotal': 323.68, 'porcentaje_de_igv': '18.00', 'igv': 58.26, 'total': 381.94, 'moneda': '1', 'tipo_de_cambio': '', 'id_estado': 'not_paid', 'nombre_estado': 'Sin pagar', 'evento': {'id_evento': '', 'nom_evento': '', 'Fecha_hora_ini_event': '', 'Fecha_hora_fin_event': '', 'id_organizador': '', 'nom_organizador': 'CRISTHIAM ABEL ALDANA CASTILL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6"/>
    <x v="35"/>
    <s v="consu"/>
    <n v="1"/>
    <n v="323.68"/>
    <n v="381.94"/>
    <n v="0"/>
    <n v="323.68"/>
    <n v="18"/>
    <n v="58.26"/>
    <n v="381.94"/>
    <n v="1"/>
    <m/>
    <x v="1"/>
    <x v="1"/>
    <x v="0"/>
    <s v="SAMUEL CHUQUISTA"/>
    <x v="0"/>
    <s v="7012100 MercaderÃ­as-Venta Local-Terceros"/>
    <x v="3"/>
    <x v="22"/>
    <m/>
    <m/>
    <m/>
    <x v="0"/>
    <s v="CRISTHIAM ABEL ALDANA CASTILLO"/>
    <m/>
    <x v="437"/>
  </r>
  <r>
    <x v="4"/>
    <x v="411"/>
    <s v="COLABORATIVA S.A.C."/>
    <x v="23"/>
    <d v="2025-10-16T00:00:00"/>
    <x v="86"/>
    <m/>
    <n v="1"/>
    <n v="70040189"/>
    <s v="[{'id_producto': '1', 'codigo_producto': '870', 'nom_producto': 'COMISIÃ“N VAOPE SEGÃšN CONTRATO', 'categoria_producto': 'consu', 'cantidad': '1.0', 'valor_unitario': 177.59, 'precio_unitario': 209.56, 'descuento': 0.0, 'subtotal': 177.59, 'porcentaje_de_igv': '18.00', 'igv': 31.97, 'total': 209.56, 'moneda': '1', 'tipo_de_cambio': '', 'id_estado': 'not_paid', 'nombre_estado': 'Sin pagar', 'evento': {'id_evento': '', 'nom_evento': '', 'Fecha_hora_ini_event': '', 'Fecha_hora_fin_event': '', 'id_organizador': '', 'nom_organizador': 'CRISTHIAM ABEL ALDANA CASTILLO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177.59"/>
    <n v="209.56"/>
    <n v="0"/>
    <n v="177.59"/>
    <n v="18"/>
    <n v="31.97"/>
    <n v="209.56"/>
    <n v="1"/>
    <m/>
    <x v="1"/>
    <x v="1"/>
    <x v="0"/>
    <s v="SAMUEL CHUQUISTA"/>
    <x v="0"/>
    <s v="7012100 MercaderÃ­as-Venta Local-Terceros"/>
    <x v="3"/>
    <x v="22"/>
    <m/>
    <m/>
    <m/>
    <x v="0"/>
    <s v="CRISTHIAM ABEL ALDANA CASTILLO"/>
    <m/>
    <x v="438"/>
  </r>
  <r>
    <x v="3"/>
    <x v="412"/>
    <s v="COLABORATIVA S.A.C."/>
    <x v="23"/>
    <d v="2025-10-16T00:00:00"/>
    <x v="87"/>
    <m/>
    <n v="6"/>
    <n v="20609168961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0"/>
    <s v="A &amp; Q AYLLU S.A.C."/>
    <m/>
    <x v="439"/>
  </r>
  <r>
    <x v="3"/>
    <x v="413"/>
    <s v="COLABORATIVA S.A.C."/>
    <x v="23"/>
    <d v="2025-10-16T00:00:00"/>
    <x v="87"/>
    <m/>
    <n v="6"/>
    <n v="20609168961"/>
    <s v="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3T00:00:00"/>
    <m/>
    <m/>
    <m/>
    <m/>
    <m/>
    <n v="1"/>
    <x v="43"/>
    <x v="5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0"/>
    <s v="A &amp; Q AYLLU S.A.C."/>
    <m/>
    <x v="440"/>
  </r>
  <r>
    <x v="3"/>
    <x v="414"/>
    <s v="COLABORATIVA S.A.C."/>
    <x v="23"/>
    <d v="2025-10-16T00:00:00"/>
    <x v="87"/>
    <m/>
    <n v="6"/>
    <n v="20609168961"/>
    <s v="[{'id_producto': '1', 'codigo_producto': '877', 'nom_producto': 'COMISIÃ“N PAGOS DIGITALES SEGÃšN CONTRATO', 'categoria_producto': 'consu', 'cantidad': '1.0', 'valor_unitario': 2919.83, 'precio_unitario': 3445.4, 'descuento': 0.0, 'subtotal': 2919.83, 'porcentaje_de_igv': '18.00', 'igv': 525.57, 'total': 3445.4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2919.83"/>
    <n v="3445.4"/>
    <n v="0"/>
    <n v="2919.83"/>
    <n v="18"/>
    <n v="525.57000000000005"/>
    <n v="3445.4"/>
    <n v="1"/>
    <m/>
    <x v="1"/>
    <x v="1"/>
    <x v="0"/>
    <s v="SAMUEL CHUQUISTA"/>
    <x v="0"/>
    <s v="7012100 MercaderÃ­as-Venta Local-Terceros"/>
    <x v="3"/>
    <x v="22"/>
    <m/>
    <m/>
    <m/>
    <x v="0"/>
    <s v="A &amp; Q AYLLU S.A.C."/>
    <m/>
    <x v="441"/>
  </r>
  <r>
    <x v="3"/>
    <x v="415"/>
    <s v="COLABORATIVA S.A.C."/>
    <x v="23"/>
    <d v="2025-10-16T00:00:00"/>
    <x v="87"/>
    <m/>
    <n v="6"/>
    <n v="20609168961"/>
    <s v="[{'id_producto': '1', 'codigo_producto': '870', 'nom_producto': 'COMISIÃ“N VAOPE SEGÃšN CONTRATO', 'categoria_producto': 'consu', 'cantidad': '1.0', 'valor_unitario': 1439.87, 'precio_unitario': 1699.05, 'descuento': 0.0, 'subtotal': 1439.87, 'porcentaje_de_igv': '18.00', 'igv': 259.18, 'total': 1699.05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1439.87"/>
    <n v="1699.05"/>
    <n v="0"/>
    <n v="1439.87"/>
    <n v="18"/>
    <n v="259.18"/>
    <n v="1699.05"/>
    <n v="1"/>
    <m/>
    <x v="1"/>
    <x v="1"/>
    <x v="0"/>
    <s v="SAMUEL CHUQUISTA"/>
    <x v="0"/>
    <s v="7012100 MercaderÃ­as-Venta Local-Terceros"/>
    <x v="3"/>
    <x v="22"/>
    <m/>
    <m/>
    <m/>
    <x v="0"/>
    <s v="A &amp; Q AYLLU S.A.C."/>
    <m/>
    <x v="442"/>
  </r>
  <r>
    <x v="4"/>
    <x v="416"/>
    <s v="COLABORATIVA S.A.C."/>
    <x v="23"/>
    <d v="2025-10-16T00:00:00"/>
    <x v="81"/>
    <s v="Cliente"/>
    <n v="1"/>
    <n v="44413438"/>
    <s v="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3T00:00:00"/>
    <m/>
    <m/>
    <m/>
    <m/>
    <m/>
    <n v="1"/>
    <x v="43"/>
    <x v="5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0"/>
    <s v="HERMOGENES HUAMAN ESPINOZA"/>
    <m/>
    <x v="443"/>
  </r>
  <r>
    <x v="4"/>
    <x v="417"/>
    <s v="COLABORATIVA S.A.C."/>
    <x v="23"/>
    <d v="2025-10-16T00:00:00"/>
    <x v="81"/>
    <s v="Cliente"/>
    <n v="1"/>
    <n v="44413438"/>
    <s v="[{'id_producto': '1', 'codigo_producto': '877', 'nom_producto': 'COMISIÃ“N PAGOS DIGITALES SEGÃšN CONTRATO', 'categoria_producto': 'consu', 'cantidad': '1.0', 'valor_unitario': 3774.66, 'precio_unitario': 4454.1, 'descuento': 0.0, 'subtotal': 3774.66, 'porcentaje_de_igv': '18.00', 'igv': 679.44, 'total': 4454.1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3774.66"/>
    <n v="4454.1000000000004"/>
    <n v="0"/>
    <n v="3774.66"/>
    <n v="18"/>
    <n v="679.44"/>
    <n v="4454.1000000000004"/>
    <n v="1"/>
    <m/>
    <x v="1"/>
    <x v="1"/>
    <x v="0"/>
    <s v="SAMUEL CHUQUISTA"/>
    <x v="0"/>
    <s v="7012100 MercaderÃ­as-Venta Local-Terceros"/>
    <x v="3"/>
    <x v="22"/>
    <m/>
    <m/>
    <m/>
    <x v="0"/>
    <s v="HERMOGENES HUAMAN ESPINOZA"/>
    <m/>
    <x v="444"/>
  </r>
  <r>
    <x v="4"/>
    <x v="418"/>
    <s v="COLABORATIVA S.A.C."/>
    <x v="23"/>
    <d v="2025-10-16T00:00:00"/>
    <x v="81"/>
    <s v="Cliente"/>
    <n v="1"/>
    <n v="44413438"/>
    <s v="[{'id_producto': '1', 'codigo_producto': '878', 'nom_producto': 'COMISIÃ“N VAOPE SEGÃšN CONTRATO ', 'categoria_producto': 'consu', 'cantidad': '1.0', 'valor_unitario': 3056.78, 'precio_unitario': 3607.0, 'descuento': 0.0, 'subtotal': 3056.78, 'porcentaje_de_igv': '18.00', 'igv': 550.22, 'total': 3607.0, 'moneda': '1', 'tipo_de_cambio': '', 'id_estado': 'not_paid', 'nombre_estado': 'Sin pagar', 'evento': {'id_evento': '', 'nom_evento': '', 'Fecha_hora_ini_event': '', 'Fecha_hora_fin_event': '', 'id_organizador': '', 'nom_organizador': 'HERMOGENES HUAMAN ESPINOZ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51"/>
    <x v="59"/>
    <s v="consu"/>
    <n v="1"/>
    <n v="3056.78"/>
    <n v="3607"/>
    <n v="0"/>
    <n v="3056.78"/>
    <n v="18"/>
    <n v="550.22"/>
    <n v="3607"/>
    <n v="1"/>
    <m/>
    <x v="1"/>
    <x v="1"/>
    <x v="0"/>
    <s v="SAMUEL CHUQUISTA"/>
    <x v="0"/>
    <s v="7012100 MercaderÃ­as-Venta Local-Terceros"/>
    <x v="3"/>
    <x v="22"/>
    <m/>
    <m/>
    <m/>
    <x v="0"/>
    <s v="HERMOGENES HUAMAN ESPINOZA"/>
    <m/>
    <x v="445"/>
  </r>
  <r>
    <x v="4"/>
    <x v="419"/>
    <s v="COLABORATIVA S.A.C."/>
    <x v="23"/>
    <d v="2025-10-16T00:00:00"/>
    <x v="88"/>
    <m/>
    <n v="1"/>
    <s v="07154777"/>
    <s v="[{'id_producto': '1', 'codigo_producto': '877', 'nom_producto': 'COMISIÃ“N PAGOS DIGITALES SEGÃšN CONTRATO', 'categoria_producto': 'consu', 'cantidad': '1.0', 'valor_unitario': 129.15, 'precio_unitario': 152.4, 'descuento': 0.0, 'subtotal': 129.15, 'porcentaje_de_igv': '18.00', 'igv': 23.25, 'total': 152.4, 'moneda': '1', 'tipo_de_cambio': '', 'id_estado': 'not_paid', 'nombre_estado': 'Sin pagar', 'evento': {'id_evento': '', 'nom_evento': '', 'Fecha_hora_ini_event': '', 'Fecha_hora_fin_event': '', 'id_organizador': '', 'nom_organizador': 'PERCY ORDINOL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129.15"/>
    <n v="152.4"/>
    <n v="0"/>
    <n v="129.15"/>
    <n v="18"/>
    <n v="23.25"/>
    <n v="152.4"/>
    <n v="1"/>
    <m/>
    <x v="1"/>
    <x v="1"/>
    <x v="0"/>
    <s v="SAMUEL CHUQUISTA"/>
    <x v="0"/>
    <s v="7012100 MercaderÃ­as-Venta Local-Terceros"/>
    <x v="3"/>
    <x v="22"/>
    <m/>
    <m/>
    <m/>
    <x v="0"/>
    <s v="PERCY ORDINOLA"/>
    <m/>
    <x v="446"/>
  </r>
  <r>
    <x v="4"/>
    <x v="420"/>
    <s v="COLABORATIVA S.A.C."/>
    <x v="23"/>
    <d v="2025-10-16T00:00:00"/>
    <x v="88"/>
    <m/>
    <n v="1"/>
    <s v="07154777"/>
    <s v="[{'id_producto': '1', 'codigo_producto': '870', 'nom_producto': 'COMISIÃ“N VAOPE SEGÃšN CONTRATO', 'categoria_producto': 'consu', 'cantidad': '1.0', 'valor_unitario': 84.07, 'precio_unitario': 99.2, 'descuento': 0.0, 'subtotal': 84.07, 'porcentaje_de_igv': '18.00', 'igv': 15.13, 'total': 99.2, 'moneda': '1', 'tipo_de_cambio': '', 'id_estado': 'not_paid', 'nombre_estado': 'Sin pagar', 'evento': {'id_evento': '', 'nom_evento': '', 'Fecha_hora_ini_event': '', 'Fecha_hora_fin_event': '', 'id_organizador': '', 'nom_organizador': 'PERCY ORDINOL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84.07"/>
    <n v="99.2"/>
    <n v="0"/>
    <n v="84.07"/>
    <n v="18"/>
    <n v="15.13"/>
    <n v="99.2"/>
    <n v="1"/>
    <m/>
    <x v="1"/>
    <x v="1"/>
    <x v="0"/>
    <s v="SAMUEL CHUQUISTA"/>
    <x v="0"/>
    <s v="7012100 MercaderÃ­as-Venta Local-Terceros"/>
    <x v="3"/>
    <x v="22"/>
    <m/>
    <m/>
    <m/>
    <x v="0"/>
    <s v="PERCY ORDINOLA"/>
    <m/>
    <x v="447"/>
  </r>
  <r>
    <x v="3"/>
    <x v="421"/>
    <s v="COLABORATIVA S.A.C."/>
    <x v="23"/>
    <d v="2025-10-16T00:00:00"/>
    <x v="20"/>
    <s v="Cliente"/>
    <n v="6"/>
    <n v="20602855733"/>
    <s v="[{'id_producto': '1', 'codigo_producto': '990', 'nom_producto': 'COMISION CORTESIA - delivery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20"/>
    <x v="9"/>
    <s v="consu"/>
    <n v="1"/>
    <n v="171"/>
    <n v="201.78"/>
    <n v="0"/>
    <n v="171"/>
    <n v="18"/>
    <n v="30.78"/>
    <n v="201.78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448"/>
  </r>
  <r>
    <x v="3"/>
    <x v="422"/>
    <s v="COLABORATIVA S.A.C."/>
    <x v="23"/>
    <d v="2025-10-16T00:00:00"/>
    <x v="20"/>
    <s v="Cliente"/>
    <n v="6"/>
    <n v="20602855733"/>
    <s v="[{'id_producto': '1', 'codigo_producto': '875', 'nom_producto': 'ENTRADAS IMPRESAS - ORDEN DE VENTA NÂ°510 * AÃ±o Nuevo 2025 en Arequipa con ArmonÃ­a 10, Yarita Lizeth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3T00:00:00"/>
    <m/>
    <m/>
    <m/>
    <m/>
    <m/>
    <n v="1"/>
    <x v="121"/>
    <x v="129"/>
    <s v="consu"/>
    <n v="1"/>
    <n v="3400"/>
    <n v="4012"/>
    <n v="0"/>
    <n v="3400"/>
    <n v="18"/>
    <n v="612"/>
    <n v="4012"/>
    <n v="1"/>
    <m/>
    <x v="1"/>
    <x v="1"/>
    <x v="0"/>
    <s v="SAMUEL CHUQUISTA"/>
    <x v="0"/>
    <s v="7012100 MercaderÃ­as-Venta Local-Terceros"/>
    <x v="2"/>
    <x v="22"/>
    <m/>
    <m/>
    <m/>
    <x v="0"/>
    <s v="FIESTA KARIBEÃ‘A SOCIEDAD ANONIMA CERRADA"/>
    <m/>
    <x v="449"/>
  </r>
  <r>
    <x v="3"/>
    <x v="423"/>
    <s v="COLABORATIVA S.A.C."/>
    <x v="23"/>
    <d v="2025-10-16T00:00:00"/>
    <x v="20"/>
    <s v="Cliente"/>
    <n v="6"/>
    <n v="20602855733"/>
    <s v="[{'id_producto': '1', 'codigo_producto': '871', 'nom_producto': 'COMISIÃ“N PAGOS DIGITALES SEGÃšN CONTRATO ', 'categoria_producto': 'consu', 'cantidad': '1.0', 'valor_unitario': 1590.93, 'precio_unitario': 1877.3, 'descuento': 0.0, 'subtotal': 1590.93, 'porcentaje_de_igv': '18.00', 'igv': 286.37, 'total': 1877.3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6"/>
    <x v="35"/>
    <s v="consu"/>
    <n v="1"/>
    <n v="1590.93"/>
    <n v="1877.3"/>
    <n v="0"/>
    <n v="1590.93"/>
    <n v="18"/>
    <n v="286.37"/>
    <n v="1877.3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450"/>
  </r>
  <r>
    <x v="3"/>
    <x v="424"/>
    <s v="COLABORATIVA S.A.C."/>
    <x v="23"/>
    <d v="2025-10-16T00:00:00"/>
    <x v="20"/>
    <s v="Cliente"/>
    <n v="6"/>
    <n v="20602855733"/>
    <s v="[{'id_producto': '1', 'codigo_producto': '870', 'nom_producto': 'COMISIÃ“N VAOPE SEGÃšN CONTRATO', 'categoria_producto': 'consu', 'cantidad': '1.0', 'valor_unitario': 2158.64, 'precio_unitario': 2547.2, 'descuento': 0.0, 'subtotal': 2158.64, 'porcentaje_de_igv': '18.00', 'igv': 388.56, 'total': 2547.2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2158.64"/>
    <n v="2547.1999999999998"/>
    <n v="0"/>
    <n v="2158.64"/>
    <n v="18"/>
    <n v="388.56"/>
    <n v="2547.1999999999998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451"/>
  </r>
  <r>
    <x v="3"/>
    <x v="425"/>
    <s v="COLABORATIVA S.A.C."/>
    <x v="23"/>
    <d v="2025-10-16T00:00:00"/>
    <x v="20"/>
    <s v="Cliente"/>
    <n v="6"/>
    <n v="20602855733"/>
    <s v="[{'id_producto': '1', 'codigo_producto': '874', 'nom_producto': 'COMISION CORTESIA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7"/>
    <x v="36"/>
    <s v="consu"/>
    <n v="1"/>
    <n v="171"/>
    <n v="201.78"/>
    <n v="0"/>
    <n v="171"/>
    <n v="18"/>
    <n v="30.78"/>
    <n v="201.78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452"/>
  </r>
  <r>
    <x v="3"/>
    <x v="426"/>
    <s v="COLABORATIVA S.A.C."/>
    <x v="23"/>
    <d v="2025-10-16T00:00:00"/>
    <x v="20"/>
    <s v="Cliente"/>
    <n v="6"/>
    <n v="20602855733"/>
    <s v="[{'id_producto': '1', 'codigo_producto': '873', 'nom_producto': 'PERSONAL - Servicio de 03 validadores (Inc IGV) 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3T00:00:00"/>
    <m/>
    <m/>
    <m/>
    <m/>
    <m/>
    <n v="1"/>
    <x v="122"/>
    <x v="130"/>
    <s v="consu"/>
    <n v="1"/>
    <n v="450"/>
    <n v="531"/>
    <n v="0"/>
    <n v="450"/>
    <n v="18"/>
    <n v="81"/>
    <n v="531"/>
    <n v="1"/>
    <m/>
    <x v="1"/>
    <x v="1"/>
    <x v="0"/>
    <s v="SAMUEL CHUQUISTA"/>
    <x v="0"/>
    <s v="7012100 MercaderÃ­as-Venta Local-Terceros"/>
    <x v="6"/>
    <x v="22"/>
    <m/>
    <m/>
    <m/>
    <x v="0"/>
    <s v="FIESTA KARIBEÃ‘A SOCIEDAD ANONIMA CERRADA"/>
    <m/>
    <x v="453"/>
  </r>
  <r>
    <x v="3"/>
    <x v="427"/>
    <s v="COLABORATIVA S.A.C."/>
    <x v="23"/>
    <d v="2025-10-16T00:00:00"/>
    <x v="20"/>
    <s v="Cliente"/>
    <n v="6"/>
    <n v="20602855733"/>
    <s v="[{'id_producto': '1', 'codigo_producto': '872', 'nom_producto': 'ENTRADAS IMPRESAS - ORDEN DE VENTA NÂ°508\n * FiestÃ³n de AÃ±o Nuevo Lima Norte en Plaza de Acho con ArmonÃ­a 10, Pamela Franco, Deyvis Orosco y mÃ¡s/ 4,000 FULL COLOR GENERAL / 2,000 BRAZALETES VIP / 1,500 BRAZALETES PLATINUM (S/4,366.00)', 'categoria_producto': 'consu', 'cantidad': '1.0', 'valor_unitario': 3700.0, 'precio_unitario': 4366.0, 'descuento': 0.0, 'subtotal': 3700.0, 'porcentaje_de_igv': '18.00', 'igv': 666.0, 'total': 4366.0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3T00:00:00"/>
    <m/>
    <m/>
    <m/>
    <m/>
    <m/>
    <n v="1"/>
    <x v="123"/>
    <x v="131"/>
    <s v="consu"/>
    <n v="1"/>
    <n v="3700"/>
    <n v="4366"/>
    <n v="0"/>
    <n v="3700"/>
    <n v="18"/>
    <n v="666"/>
    <n v="4366"/>
    <n v="1"/>
    <m/>
    <x v="1"/>
    <x v="1"/>
    <x v="0"/>
    <s v="SAMUEL CHUQUISTA"/>
    <x v="0"/>
    <s v="7012100 MercaderÃ­as-Venta Local-Terceros"/>
    <x v="2"/>
    <x v="22"/>
    <m/>
    <m/>
    <m/>
    <x v="0"/>
    <s v="FIESTA KARIBEÃ‘A SOCIEDAD ANONIMA CERRADA"/>
    <m/>
    <x v="454"/>
  </r>
  <r>
    <x v="3"/>
    <x v="428"/>
    <s v="COLABORATIVA S.A.C."/>
    <x v="23"/>
    <d v="2025-10-16T00:00:00"/>
    <x v="20"/>
    <s v="Cliente"/>
    <n v="6"/>
    <n v="20602855733"/>
    <s v="[{'id_producto': '1', 'codigo_producto': '871', 'nom_producto': 'COMISIÃ“N PAGOS DIGITALES SEGÃšN CONTRATO ', 'categoria_producto': 'consu', 'cantidad': '1.0', 'valor_unitario': 3425.85, 'precio_unitario': 4042.5, 'descuento': 0.0, 'subtotal': 3425.85, 'porcentaje_de_igv': '18.00', 'igv': 616.65, 'total': 4042.5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6"/>
    <x v="35"/>
    <s v="consu"/>
    <n v="1"/>
    <n v="3425.85"/>
    <n v="4042.5"/>
    <n v="0"/>
    <n v="3425.85"/>
    <n v="18"/>
    <n v="616.65"/>
    <n v="4042.5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455"/>
  </r>
  <r>
    <x v="3"/>
    <x v="429"/>
    <s v="COLABORATIVA S.A.C."/>
    <x v="23"/>
    <d v="2025-10-16T00:00:00"/>
    <x v="20"/>
    <s v="Cliente"/>
    <n v="6"/>
    <n v="20602855733"/>
    <s v="[{'id_producto': '1', 'codigo_producto': '870', 'nom_producto': 'COMISIÃ“N VAOPE SEGÃšN CONTRATO', 'categoria_producto': 'consu', 'cantidad': '1.0', 'valor_unitario': 4569.66, 'precio_unitario': 5392.2, 'descuento': 0.0, 'subtotal': 4569.66, 'porcentaje_de_igv': '18.00', 'igv': 822.54, 'total': 5392.2, 'moneda': '1', 'tipo_de_cambio': '', 'id_estado': 'not_paid', 'nombre_estado': 'Sin pagar', 'evento': {'id_evento': '', 'nom_evento': '', 'Fecha_hora_ini_event': '', 'Fecha_hora_fin_event': '', 'id_organizador': '', 'nom_organizador': 'FIESTA KARIBEÃ‘A SOCIEDAD ANONIMA CERRADA', 'tipo_organizador': '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4569.66"/>
    <n v="5392.2"/>
    <n v="0"/>
    <n v="4569.66"/>
    <n v="18"/>
    <n v="822.54"/>
    <n v="5392.2"/>
    <n v="1"/>
    <m/>
    <x v="1"/>
    <x v="1"/>
    <x v="0"/>
    <s v="SAMUEL CHUQUISTA"/>
    <x v="0"/>
    <s v="7012100 MercaderÃ­as-Venta Local-Terceros"/>
    <x v="3"/>
    <x v="22"/>
    <m/>
    <m/>
    <m/>
    <x v="0"/>
    <s v="FIESTA KARIBEÃ‘A SOCIEDAD ANONIMA CERRADA"/>
    <m/>
    <x v="4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8CFC7-3322-4A26-9F6E-139EFD263C3B}" name="TablaDinámica6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396">
      <pivotArea type="all" dataOnly="0" outline="0" fieldPosition="0"/>
    </format>
    <format dxfId="395">
      <pivotArea outline="0" collapsedLevelsAreSubtotals="1" fieldPosition="0"/>
    </format>
    <format dxfId="394">
      <pivotArea field="33" type="button" dataOnly="0" labelOnly="1" outline="0" axis="axisRow" fieldPosition="0"/>
    </format>
    <format dxfId="393">
      <pivotArea dataOnly="0" labelOnly="1" fieldPosition="0">
        <references count="1">
          <reference field="33" count="0"/>
        </references>
      </pivotArea>
    </format>
    <format dxfId="392">
      <pivotArea dataOnly="0" labelOnly="1" grandRow="1" outline="0" fieldPosition="0"/>
    </format>
    <format dxfId="3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FBFCF-5A5E-4F7F-B1F7-4B368BDF66FB}" name="TablaDinámica5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98" firstHeaderRow="0" firstDataRow="1" firstDataCol="1"/>
  <pivotFields count="39">
    <pivotField showAll="0"/>
    <pivotField numFmtId="4" showAll="0"/>
    <pivotField showAll="0"/>
    <pivotField showAll="0"/>
    <pivotField axis="axisRow" showAll="0">
      <items count="90">
        <item x="85"/>
        <item x="14"/>
        <item x="5"/>
        <item x="17"/>
        <item x="18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t="default"/>
      </items>
    </pivotField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402">
      <pivotArea type="all" dataOnly="0" outline="0" fieldPosition="0"/>
    </format>
    <format dxfId="401">
      <pivotArea outline="0" collapsedLevelsAreSubtotals="1" fieldPosition="0"/>
    </format>
    <format dxfId="400">
      <pivotArea field="4" type="button" dataOnly="0" labelOnly="1" outline="0" axis="axisRow" fieldPosition="0"/>
    </format>
    <format dxfId="399">
      <pivotArea dataOnly="0" labelOnly="1" fieldPosition="0">
        <references count="1">
          <reference field="4" count="0"/>
        </references>
      </pivotArea>
    </format>
    <format dxfId="398">
      <pivotArea dataOnly="0" labelOnly="1" grandRow="1" outline="0" fieldPosition="0"/>
    </format>
    <format dxfId="3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565F8-E5E2-4255-B59F-1C8EF1080FBE}" name="TablaDinámica2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I9" firstHeaderRow="0" firstDataRow="1" firstDataCol="0"/>
  <pivotFields count="39">
    <pivotField showAll="0"/>
    <pivotField numFmtId="4" showAll="0"/>
    <pivotField showAll="0"/>
    <pivotField showAll="0"/>
    <pivotField showAll="0"/>
    <pivotField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406">
      <pivotArea type="all" dataOnly="0" outline="0" fieldPosition="0"/>
    </format>
    <format dxfId="405">
      <pivotArea outline="0" collapsedLevelsAreSubtotals="1" fieldPosition="0"/>
    </format>
    <format dxfId="404">
      <pivotArea dataOnly="0" labelOnly="1" grandRow="1" outline="0" fieldPosition="0"/>
    </format>
    <format dxfId="4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930F3-CE88-4977-99A2-7874FAC1244C}" name="TablaDinámica8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Impuesto firmado" fld="15" baseField="0" baseItem="0"/>
  </dataFields>
  <formats count="6">
    <format dxfId="412">
      <pivotArea type="all" dataOnly="0" outline="0" fieldPosition="0"/>
    </format>
    <format dxfId="411">
      <pivotArea outline="0" collapsedLevelsAreSubtotals="1" fieldPosition="0"/>
    </format>
    <format dxfId="410">
      <pivotArea field="25" type="button" dataOnly="0" labelOnly="1" outline="0" axis="axisRow" fieldPosition="0"/>
    </format>
    <format dxfId="409">
      <pivotArea dataOnly="0" labelOnly="1" fieldPosition="0">
        <references count="1">
          <reference field="25" count="0"/>
        </references>
      </pivotArea>
    </format>
    <format dxfId="408">
      <pivotArea dataOnly="0" labelOnly="1" grandRow="1" outline="0" fieldPosition="0"/>
    </format>
    <format dxfId="4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8A13B-3D24-4797-BE56-369DA1C7F399}" name="TablaDiná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418">
      <pivotArea type="all" dataOnly="0" outline="0" fieldPosition="0"/>
    </format>
    <format dxfId="417">
      <pivotArea outline="0" collapsedLevelsAreSubtotals="1" fieldPosition="0"/>
    </format>
    <format dxfId="416">
      <pivotArea field="25" type="button" dataOnly="0" labelOnly="1" outline="0" axis="axisRow" fieldPosition="0"/>
    </format>
    <format dxfId="415">
      <pivotArea dataOnly="0" labelOnly="1" fieldPosition="0">
        <references count="1">
          <reference field="25" count="0"/>
        </references>
      </pivotArea>
    </format>
    <format dxfId="414">
      <pivotArea dataOnly="0" labelOnly="1" grandRow="1" outline="0" fieldPosition="0"/>
    </format>
    <format dxfId="4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6EA2A-BD4C-44F1-A37D-D828ECC1346D}" name="TablaDinámica3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36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8"/>
    <field x="5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422">
      <pivotArea type="all" dataOnly="0" outline="0" fieldPosition="0"/>
    </format>
    <format dxfId="421">
      <pivotArea outline="0" collapsedLevelsAreSubtotals="1" fieldPosition="0"/>
    </format>
    <format dxfId="420">
      <pivotArea dataOnly="0" labelOnly="1" grandRow="1" outline="0" fieldPosition="0"/>
    </format>
    <format dxfId="4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2751-D2FF-4D96-A017-2EC873C75915}" name="TablaDinámica9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1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Total firmado" fld="16" baseField="0" baseItem="0"/>
  </dataFields>
  <formats count="6">
    <format dxfId="428">
      <pivotArea type="all" dataOnly="0" outline="0" fieldPosition="0"/>
    </format>
    <format dxfId="427">
      <pivotArea outline="0" collapsedLevelsAreSubtotals="1" fieldPosition="0"/>
    </format>
    <format dxfId="426">
      <pivotArea field="25" type="button" dataOnly="0" labelOnly="1" outline="0" axis="axisRow" fieldPosition="0"/>
    </format>
    <format dxfId="425">
      <pivotArea dataOnly="0" labelOnly="1" fieldPosition="0">
        <references count="1">
          <reference field="25" count="0"/>
        </references>
      </pivotArea>
    </format>
    <format dxfId="424">
      <pivotArea dataOnly="0" labelOnly="1" grandRow="1" outline="0" fieldPosition="0"/>
    </format>
    <format dxfId="4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9FAE-09E2-4992-85C9-87B09CEE8A7D}" name="TablaDinámica7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34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36" type="button" dataOnly="0" labelOnly="1" outline="0" axis="axisRow" fieldPosition="0"/>
    </format>
    <format dxfId="431">
      <pivotArea dataOnly="0" labelOnly="1" fieldPosition="0">
        <references count="1">
          <reference field="36" count="0"/>
        </references>
      </pivotArea>
    </format>
    <format dxfId="430">
      <pivotArea dataOnly="0" labelOnly="1" grandRow="1" outline="0" fieldPosition="0"/>
    </format>
    <format dxfId="4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27D30-EDC2-42AF-B9BC-C782DE13C3CD}" name="TablaDinámica4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440">
      <pivotArea type="all" dataOnly="0" outline="0" fieldPosition="0"/>
    </format>
    <format dxfId="439">
      <pivotArea outline="0" collapsedLevelsAreSubtotals="1" fieldPosition="0"/>
    </format>
    <format dxfId="438">
      <pivotArea field="32" type="button" dataOnly="0" labelOnly="1" outline="0" axis="axisRow" fieldPosition="0"/>
    </format>
    <format dxfId="437">
      <pivotArea dataOnly="0" labelOnly="1" fieldPosition="0">
        <references count="1">
          <reference field="32" count="0"/>
        </references>
      </pivotArea>
    </format>
    <format dxfId="436">
      <pivotArea dataOnly="0" labelOnly="1" grandRow="1" outline="0" fieldPosition="0"/>
    </format>
    <format dxfId="4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B248-D7BB-45DA-B926-4B7A8DEADF8E}" name="TablaDinámica2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446">
      <pivotArea type="all" dataOnly="0" outline="0" fieldPosition="0"/>
    </format>
    <format dxfId="445">
      <pivotArea outline="0" collapsedLevelsAreSubtotals="1" fieldPosition="0"/>
    </format>
    <format dxfId="444">
      <pivotArea field="25" type="button" dataOnly="0" labelOnly="1" outline="0" axis="axisRow" fieldPosition="0"/>
    </format>
    <format dxfId="443">
      <pivotArea dataOnly="0" labelOnly="1" fieldPosition="0">
        <references count="1">
          <reference field="25" count="0"/>
        </references>
      </pivotArea>
    </format>
    <format dxfId="442">
      <pivotArea dataOnly="0" labelOnly="1" grandRow="1" outline="0" fieldPosition="0"/>
    </format>
    <format dxfId="4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69871-D5C3-486F-A2F9-B59A74F15477}" name="TablaDinámica18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L8:CM10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>
      <items count="24">
        <item x="7"/>
        <item x="9"/>
        <item x="8"/>
        <item x="10"/>
        <item x="3"/>
        <item x="6"/>
        <item x="5"/>
        <item x="15"/>
        <item x="2"/>
        <item x="1"/>
        <item x="13"/>
        <item x="11"/>
        <item x="0"/>
        <item x="14"/>
        <item x="17"/>
        <item x="19"/>
        <item x="20"/>
        <item x="16"/>
        <item x="12"/>
        <item x="21"/>
        <item x="4"/>
        <item x="18"/>
        <item x="22"/>
        <item t="default"/>
      </items>
    </pivotField>
    <pivotField showAll="0"/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1"/>
  </rowFields>
  <rowItems count="2">
    <i>
      <x/>
    </i>
    <i t="grand">
      <x/>
    </i>
  </rowItems>
  <colItems count="1">
    <i/>
  </colItems>
  <dataFields count="1">
    <dataField name=" q" fld="41" subtotal="count" baseField="0" baseItem="0"/>
  </dataFields>
  <formats count="5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31" type="button" dataOnly="0" labelOnly="1" outline="0"/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75F7B-F384-4BD9-8D7F-67B18CCAD48C}" name="TablaDiná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I8:CJ11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>
      <items count="24">
        <item x="7"/>
        <item x="9"/>
        <item x="8"/>
        <item x="10"/>
        <item x="3"/>
        <item x="6"/>
        <item x="5"/>
        <item x="15"/>
        <item x="2"/>
        <item x="1"/>
        <item x="13"/>
        <item x="11"/>
        <item x="0"/>
        <item x="14"/>
        <item x="17"/>
        <item x="19"/>
        <item x="20"/>
        <item x="16"/>
        <item x="12"/>
        <item x="21"/>
        <item x="4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0"/>
  </rowFields>
  <rowItems count="3">
    <i>
      <x/>
    </i>
    <i>
      <x v="1"/>
    </i>
    <i t="grand">
      <x/>
    </i>
  </rowItems>
  <colItems count="1">
    <i/>
  </colItems>
  <dataFields count="1">
    <dataField name="q" fld="30" subtotal="count" baseField="0" baseItem="0"/>
  </dataFields>
  <formats count="5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31" type="button" dataOnly="0" labelOnly="1" outline="0"/>
    </format>
    <format dxfId="63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2613A-DAD1-465C-B49D-9330BF1BEDE7}" name="TablaDinámica8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8:CG10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>
      <items count="24">
        <item x="7"/>
        <item x="9"/>
        <item x="8"/>
        <item x="10"/>
        <item x="3"/>
        <item x="6"/>
        <item x="5"/>
        <item x="15"/>
        <item x="2"/>
        <item x="1"/>
        <item x="13"/>
        <item x="11"/>
        <item x="0"/>
        <item x="14"/>
        <item x="17"/>
        <item x="19"/>
        <item x="20"/>
        <item x="16"/>
        <item x="12"/>
        <item x="21"/>
        <item x="4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q" fld="32" subtotal="count" baseField="32" baseItem="0"/>
  </dataFields>
  <formats count="5">
    <format dxfId="95">
      <pivotArea type="all" dataOnly="0" outline="0" fieldPosition="0"/>
    </format>
    <format dxfId="96">
      <pivotArea outline="0" collapsedLevelsAreSubtotals="1" fieldPosition="0"/>
    </format>
    <format dxfId="97">
      <pivotArea field="31" type="button" dataOnly="0" labelOnly="1" outline="0"/>
    </format>
    <format dxfId="98">
      <pivotArea dataOnly="0" labelOnly="1" grandRow="1" outline="0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857B8-6F5E-4A83-8306-8F71896DA27D}" name="TablaDinámica7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C8:CD32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dataField="1" showAll="0">
      <items count="24">
        <item x="7"/>
        <item x="9"/>
        <item x="8"/>
        <item x="10"/>
        <item x="3"/>
        <item x="6"/>
        <item x="5"/>
        <item x="15"/>
        <item x="2"/>
        <item x="1"/>
        <item x="13"/>
        <item x="11"/>
        <item x="0"/>
        <item x="14"/>
        <item x="17"/>
        <item x="19"/>
        <item x="20"/>
        <item x="16"/>
        <item x="12"/>
        <item x="21"/>
        <item x="4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uenta de item.evento.id_evento" fld="37" subtotal="count" baseField="37" baseItem="5"/>
  </dataFields>
  <formats count="5">
    <format dxfId="125">
      <pivotArea type="all" dataOnly="0" outline="0" fieldPosition="0"/>
    </format>
    <format dxfId="126">
      <pivotArea outline="0" collapsedLevelsAreSubtotals="1" fieldPosition="0"/>
    </format>
    <format dxfId="127">
      <pivotArea field="31" type="button" dataOnly="0" labelOnly="1" outline="0"/>
    </format>
    <format dxfId="128">
      <pivotArea dataOnly="0" labelOnly="1" grandRow="1" outline="0" fieldPosition="0"/>
    </format>
    <format dxfId="1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35491-28E0-4FDE-9A5A-B755ACA70001}" name="TablaDinámica6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Z8:CA133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>
      <items count="125">
        <item x="8"/>
        <item x="14"/>
        <item x="26"/>
        <item x="123"/>
        <item x="122"/>
        <item x="27"/>
        <item x="121"/>
        <item x="13"/>
        <item x="51"/>
        <item x="119"/>
        <item x="64"/>
        <item x="118"/>
        <item x="40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62"/>
        <item x="90"/>
        <item x="89"/>
        <item x="88"/>
        <item x="87"/>
        <item x="86"/>
        <item x="85"/>
        <item x="84"/>
        <item x="32"/>
        <item x="83"/>
        <item x="82"/>
        <item x="81"/>
        <item x="80"/>
        <item x="79"/>
        <item x="78"/>
        <item x="77"/>
        <item x="76"/>
        <item x="75"/>
        <item x="74"/>
        <item x="73"/>
        <item x="31"/>
        <item x="30"/>
        <item x="24"/>
        <item x="23"/>
        <item x="21"/>
        <item x="20"/>
        <item x="69"/>
        <item x="17"/>
        <item x="72"/>
        <item x="70"/>
        <item x="71"/>
        <item x="68"/>
        <item x="67"/>
        <item x="66"/>
        <item x="65"/>
        <item x="63"/>
        <item x="52"/>
        <item x="61"/>
        <item x="60"/>
        <item x="59"/>
        <item x="58"/>
        <item x="57"/>
        <item x="54"/>
        <item x="56"/>
        <item x="55"/>
        <item x="53"/>
        <item x="50"/>
        <item x="49"/>
        <item x="48"/>
        <item x="47"/>
        <item x="46"/>
        <item x="45"/>
        <item x="44"/>
        <item x="42"/>
        <item x="39"/>
        <item x="38"/>
        <item x="37"/>
        <item x="36"/>
        <item x="35"/>
        <item x="34"/>
        <item x="33"/>
        <item x="29"/>
        <item x="28"/>
        <item x="25"/>
        <item x="22"/>
        <item x="19"/>
        <item x="18"/>
        <item x="16"/>
        <item x="15"/>
        <item x="12"/>
        <item x="11"/>
        <item x="10"/>
        <item x="9"/>
        <item x="120"/>
        <item x="41"/>
        <item x="43"/>
        <item x="1"/>
        <item x="0"/>
        <item x="4"/>
        <item x="6"/>
        <item x="2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dataFields count="1">
    <dataField name=" q" fld="17" subtotal="count" baseField="0" baseItem="0"/>
  </dataFields>
  <formats count="5">
    <format dxfId="210">
      <pivotArea type="all" dataOnly="0" outline="0" fieldPosition="0"/>
    </format>
    <format dxfId="211">
      <pivotArea outline="0" collapsedLevelsAreSubtotals="1" fieldPosition="0"/>
    </format>
    <format dxfId="212">
      <pivotArea field="31" type="button" dataOnly="0" labelOnly="1" outline="0"/>
    </format>
    <format dxfId="213">
      <pivotArea dataOnly="0" labelOnly="1" grandRow="1" outline="0" fieldPosition="0"/>
    </format>
    <format dxfId="2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C4EB6-0123-410B-9A7E-C35BEEF91113}" name="TablaDinámica5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W8:BX19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axis="axisRow" dataField="1" showAll="0">
      <items count="11">
        <item x="6"/>
        <item x="3"/>
        <item x="5"/>
        <item x="8"/>
        <item x="9"/>
        <item x="7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q" fld="36" subtotal="count" baseField="0" baseItem="0"/>
  </dataFields>
  <formats count="5">
    <format dxfId="225">
      <pivotArea type="all" dataOnly="0" outline="0" fieldPosition="0"/>
    </format>
    <format dxfId="226">
      <pivotArea outline="0" collapsedLevelsAreSubtotals="1" fieldPosition="0"/>
    </format>
    <format dxfId="227">
      <pivotArea field="31" type="button" dataOnly="0" labelOnly="1" outline="0"/>
    </format>
    <format dxfId="228">
      <pivotArea dataOnly="0" labelOnly="1" grandRow="1" outline="0" fieldPosition="0"/>
    </format>
    <format dxfId="2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793F3-F932-4F03-979F-F9E3AE4F6BFC}" name="TablaDinámica4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T8:BU10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4"/>
  </rowFields>
  <rowItems count="2">
    <i>
      <x/>
    </i>
    <i t="grand">
      <x/>
    </i>
  </rowItems>
  <colItems count="1">
    <i/>
  </colItems>
  <dataFields count="1">
    <dataField name="q" fld="34" subtotal="count" baseField="34" baseItem="0"/>
  </dataFields>
  <formats count="5">
    <format dxfId="250">
      <pivotArea type="all" dataOnly="0" outline="0" fieldPosition="0"/>
    </format>
    <format dxfId="251">
      <pivotArea outline="0" collapsedLevelsAreSubtotals="1" fieldPosition="0"/>
    </format>
    <format dxfId="252">
      <pivotArea field="31" type="button" dataOnly="0" labelOnly="1" outline="0"/>
    </format>
    <format dxfId="253">
      <pivotArea dataOnly="0" labelOnly="1" grandRow="1" outline="0" fieldPosition="0"/>
    </format>
    <format dxfId="2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06738-218F-4ED1-916F-7EE0D2E31AD8}" name="TablaDinámica3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Q8:BR12" firstHeaderRow="1" firstDataRow="1" firstDataCol="1"/>
  <pivotFields count="47">
    <pivotField showAll="0">
      <items count="6">
        <item sd="0" x="1"/>
        <item sd="0" x="0"/>
        <item sd="0" x="4"/>
        <item sd="0" x="3"/>
        <item sd="0" x="2"/>
        <item t="default" sd="0"/>
      </items>
    </pivotField>
    <pivotField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axis="axisRow" dataField="1"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6"/>
    <field x="45"/>
    <field x="3"/>
  </rowFields>
  <rowItems count="4">
    <i>
      <x v="1"/>
    </i>
    <i>
      <x v="2"/>
    </i>
    <i>
      <x v="10"/>
    </i>
    <i t="grand">
      <x/>
    </i>
  </rowItems>
  <colItems count="1">
    <i/>
  </colItems>
  <dataFields count="1">
    <dataField name="q" fld="3" subtotal="count" baseField="0" baseItem="0"/>
  </dataFields>
  <formats count="5">
    <format dxfId="285">
      <pivotArea type="all" dataOnly="0" outline="0" fieldPosition="0"/>
    </format>
    <format dxfId="286">
      <pivotArea outline="0" collapsedLevelsAreSubtotals="1" fieldPosition="0"/>
    </format>
    <format dxfId="287">
      <pivotArea field="31" type="button" dataOnly="0" labelOnly="1" outline="0"/>
    </format>
    <format dxfId="288">
      <pivotArea dataOnly="0" labelOnly="1" grandRow="1" outline="0" fieldPosition="0"/>
    </format>
    <format dxfId="2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22141-D587-4A26-8A12-27E6112C4B9C}" name="TablaDinámica2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N8:BO14" firstHeaderRow="1" firstDataRow="1" firstDataCol="1"/>
  <pivotFields count="47">
    <pivotField axis="axisRow" dataField="1" showAll="0">
      <items count="6">
        <item sd="0" x="1"/>
        <item sd="0" x="0"/>
        <item sd="0" x="4"/>
        <item sd="0" x="3"/>
        <item sd="0" x="2"/>
        <item t="default" sd="0"/>
      </items>
    </pivotField>
    <pivotField axis="axisRow"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" fld="0" subtotal="count" baseField="0" baseItem="0"/>
  </dataFields>
  <formats count="5">
    <format dxfId="310">
      <pivotArea type="all" dataOnly="0" outline="0" fieldPosition="0"/>
    </format>
    <format dxfId="311">
      <pivotArea outline="0" collapsedLevelsAreSubtotals="1" fieldPosition="0"/>
    </format>
    <format dxfId="312">
      <pivotArea field="31" type="button" dataOnly="0" labelOnly="1" outline="0"/>
    </format>
    <format dxfId="313">
      <pivotArea dataOnly="0" labelOnly="1" grandRow="1" outline="0" fieldPosition="0"/>
    </format>
    <format dxfId="3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2BAE-468F-40D1-B69E-DA1C0F3784E6}" name="TablaDinámica14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36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3">
        <item x="0"/>
        <item x="126"/>
        <item x="19"/>
        <item x="23"/>
        <item x="22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dataFields count="1">
    <dataField name="Suma de item.subtotal" fld="24" baseField="0" baseItem="0"/>
  </dataFields>
  <formats count="6">
    <format dxfId="330">
      <pivotArea type="all" dataOnly="0" outline="0" fieldPosition="0"/>
    </format>
    <format dxfId="329">
      <pivotArea outline="0" collapsedLevelsAreSubtotals="1" fieldPosition="0"/>
    </format>
    <format dxfId="328">
      <pivotArea field="18" type="button" dataOnly="0" labelOnly="1" outline="0" axis="axisRow" fieldPosition="0"/>
    </format>
    <format dxfId="327">
      <pivotArea dataOnly="0" labelOnly="1" fieldPosition="0">
        <references count="1">
          <reference field="18" count="0"/>
        </references>
      </pivotArea>
    </format>
    <format dxfId="326">
      <pivotArea dataOnly="0" labelOnly="1" grandRow="1" outline="0" fieldPosition="0"/>
    </format>
    <format dxfId="3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AFAFE-3AC1-477C-A2EA-80A450214FBD}" name="TablaDinámica20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31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sd="0" x="8"/>
        <item sd="0" x="7"/>
        <item x="6"/>
        <item x="5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8"/>
    <field x="5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334">
      <pivotArea type="all" dataOnly="0" outline="0" fieldPosition="0"/>
    </format>
    <format dxfId="333">
      <pivotArea outline="0" collapsedLevelsAreSubtotals="1" fieldPosition="0"/>
    </format>
    <format dxfId="332">
      <pivotArea dataOnly="0" labelOnly="1" grandRow="1" outline="0" fieldPosition="0"/>
    </format>
    <format dxfId="3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5A593-0952-4F6E-B510-D01586340C71}" name="TablaDinámica23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2:AN460" firstHeaderRow="0" firstDataRow="1" firstDataCol="1"/>
  <pivotFields count="39">
    <pivotField axis="axisRow" showAll="0">
      <items count="458">
        <item x="72"/>
        <item x="70"/>
        <item x="69"/>
        <item x="66"/>
        <item x="65"/>
        <item x="64"/>
        <item x="63"/>
        <item x="62"/>
        <item x="61"/>
        <item x="60"/>
        <item x="59"/>
        <item x="53"/>
        <item x="52"/>
        <item x="51"/>
        <item x="50"/>
        <item x="49"/>
        <item x="48"/>
        <item x="47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71"/>
        <item x="68"/>
        <item x="67"/>
        <item x="58"/>
        <item x="57"/>
        <item x="56"/>
        <item x="55"/>
        <item x="54"/>
        <item x="46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56"/>
        <item x="455"/>
        <item x="454"/>
        <item x="453"/>
        <item x="452"/>
        <item x="451"/>
        <item x="450"/>
        <item x="449"/>
        <item x="448"/>
        <item x="447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382"/>
        <item x="381"/>
        <item x="380"/>
        <item x="379"/>
        <item x="378"/>
        <item x="377"/>
        <item x="376"/>
        <item x="336"/>
        <item x="335"/>
        <item x="334"/>
        <item x="33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40"/>
        <item x="239"/>
        <item x="238"/>
        <item x="237"/>
        <item x="236"/>
        <item x="235"/>
        <item x="234"/>
        <item x="233"/>
        <item x="209"/>
        <item x="208"/>
        <item x="207"/>
        <item x="206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80"/>
        <item x="79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2"/>
        <item x="331"/>
        <item x="330"/>
        <item x="329"/>
        <item x="328"/>
        <item x="327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69"/>
        <item x="168"/>
        <item x="16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78"/>
        <item x="77"/>
        <item x="76"/>
        <item x="338"/>
        <item x="337"/>
        <item x="326"/>
        <item x="325"/>
        <item x="324"/>
        <item x="323"/>
        <item x="242"/>
        <item x="241"/>
        <item x="210"/>
        <item x="167"/>
        <item x="75"/>
        <item x="74"/>
        <item x="73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4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338">
      <pivotArea type="all" dataOnly="0" outline="0" fieldPosition="0"/>
    </format>
    <format dxfId="337">
      <pivotArea outline="0" collapsedLevelsAreSubtotals="1" fieldPosition="0"/>
    </format>
    <format dxfId="336">
      <pivotArea dataOnly="0" labelOnly="1" grandRow="1" outline="0" fieldPosition="0"/>
    </format>
    <format dxfId="3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DD870-7BCB-40FD-9CCB-BDDA11DF7E16}" name="TablaDinámica16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4" baseField="0" baseItem="0"/>
  </dataFields>
  <formats count="3">
    <format dxfId="341">
      <pivotArea type="all" dataOnly="0" outline="0" fieldPosition="0"/>
    </format>
    <format dxfId="340">
      <pivotArea outline="0" collapsedLevelsAreSubtotals="1" fieldPosition="0"/>
    </format>
    <format dxfId="3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2E9BE-040C-44D1-8EF8-EA6A256E65D8}" name="TablaDiná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486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58">
        <item x="76"/>
        <item x="75"/>
        <item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4"/>
  </rowFields>
  <rowItems count="4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 t="grand">
      <x/>
    </i>
  </rowItems>
  <colItems count="1">
    <i/>
  </colItems>
  <dataFields count="1">
    <dataField name="Cuenta de UNIFICADO" fld="44" subtotal="count" baseField="0" baseItem="0"/>
  </dataFields>
  <formats count="5">
    <format dxfId="346">
      <pivotArea type="all" dataOnly="0" outline="0" fieldPosition="0"/>
    </format>
    <format dxfId="345">
      <pivotArea outline="0" collapsedLevelsAreSubtotals="1" fieldPosition="0"/>
    </format>
    <format dxfId="344">
      <pivotArea field="31" type="button" dataOnly="0" labelOnly="1" outline="0"/>
    </format>
    <format dxfId="343">
      <pivotArea dataOnly="0" labelOnly="1" grandRow="1" outline="0" fieldPosition="0"/>
    </format>
    <format dxfId="3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7F65F-DB07-4A91-B6FC-C4C01D3943A1}" name="TablaDinámica10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dataField="1"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352">
      <pivotArea type="all" dataOnly="0" outline="0" fieldPosition="0"/>
    </format>
    <format dxfId="351">
      <pivotArea outline="0" collapsedLevelsAreSubtotals="1" fieldPosition="0"/>
    </format>
    <format dxfId="350">
      <pivotArea field="31" type="button" dataOnly="0" labelOnly="1" outline="0" axis="axisRow" fieldPosition="0"/>
    </format>
    <format dxfId="349">
      <pivotArea dataOnly="0" labelOnly="1" fieldPosition="0">
        <references count="1">
          <reference field="31" count="0"/>
        </references>
      </pivotArea>
    </format>
    <format dxfId="348">
      <pivotArea dataOnly="0" labelOnly="1" grandRow="1" outline="0" fieldPosition="0"/>
    </format>
    <format dxfId="3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FEEDF-44A6-450C-AF53-0AFBDBFC50C8}" name="TablaDinámica12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3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igv" fld="26" baseField="0" baseItem="0"/>
  </dataFields>
  <formats count="6">
    <format dxfId="358">
      <pivotArea type="all" dataOnly="0" outline="0" fieldPosition="0"/>
    </format>
    <format dxfId="357">
      <pivotArea outline="0" collapsedLevelsAreSubtotals="1" fieldPosition="0"/>
    </format>
    <format dxfId="356">
      <pivotArea field="31" type="button" dataOnly="0" labelOnly="1" outline="0" axis="axisRow" fieldPosition="0"/>
    </format>
    <format dxfId="355">
      <pivotArea dataOnly="0" labelOnly="1" fieldPosition="0">
        <references count="1">
          <reference field="31" count="0"/>
        </references>
      </pivotArea>
    </format>
    <format dxfId="354">
      <pivotArea dataOnly="0" labelOnly="1" grandRow="1" outline="0" fieldPosition="0"/>
    </format>
    <format dxfId="3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B7FB5-6DD6-4CC5-BE73-3E6250895827}" name="TablaDinámica13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0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total" fld="27" baseField="0" baseItem="0"/>
  </dataFields>
  <formats count="6">
    <format dxfId="364">
      <pivotArea type="all" dataOnly="0" outline="0" fieldPosition="0"/>
    </format>
    <format dxfId="363">
      <pivotArea outline="0" collapsedLevelsAreSubtotals="1" fieldPosition="0"/>
    </format>
    <format dxfId="362">
      <pivotArea field="31" type="button" dataOnly="0" labelOnly="1" outline="0" axis="axisRow" fieldPosition="0"/>
    </format>
    <format dxfId="361">
      <pivotArea dataOnly="0" labelOnly="1" fieldPosition="0">
        <references count="1">
          <reference field="31" count="0"/>
        </references>
      </pivotArea>
    </format>
    <format dxfId="360">
      <pivotArea dataOnly="0" labelOnly="1" grandRow="1" outline="0" fieldPosition="0"/>
    </format>
    <format dxfId="3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ED285-7255-4070-AC3F-F9C642744444}" name="TablaDinámica15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93" firstHeaderRow="0" firstDataRow="1" firstDataCol="1"/>
  <pivotFields count="47">
    <pivotField showAll="0"/>
    <pivotField showAll="0"/>
    <pivotField showAll="0"/>
    <pivotField dataField="1"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axis="axisRow" showAll="0">
      <items count="90">
        <item x="87"/>
        <item x="14"/>
        <item x="1"/>
        <item x="17"/>
        <item x="1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5" type="button" dataOnly="0" labelOnly="1" outline="0" axis="axisRow" fieldPosition="0"/>
    </format>
    <format dxfId="367">
      <pivotArea dataOnly="0" labelOnly="1" fieldPosition="0">
        <references count="1">
          <reference field="5" count="0"/>
        </references>
      </pivotArea>
    </format>
    <format dxfId="366">
      <pivotArea dataOnly="0" labelOnly="1" grandRow="1" outline="0" fieldPosition="0"/>
    </format>
    <format dxfId="3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781E0-5DF9-435C-B9AC-3E715946B05C}" name="TablaDinámica17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31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sd="0" x="8"/>
        <item sd="0" x="7"/>
        <item x="6"/>
        <item x="5"/>
        <item x="4"/>
        <item x="3"/>
        <item x="2"/>
        <item x="1"/>
        <item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58">
        <item x="76"/>
        <item x="75"/>
        <item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x="8"/>
        <item x="9"/>
        <item x="10"/>
        <item sd="0" x="11"/>
        <item sd="0" x="12"/>
        <item sd="0" x="13"/>
        <item t="default" sd="0"/>
      </items>
    </pivotField>
  </pivotFields>
  <rowFields count="2">
    <field x="46"/>
    <field x="3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3" type="button" dataOnly="0" labelOnly="1" outline="0" axis="axisRow" fieldPosition="1"/>
    </format>
    <format dxfId="373">
      <pivotArea dataOnly="0" labelOnly="1" fieldPosition="0">
        <references count="1">
          <reference field="3" count="0"/>
        </references>
      </pivotArea>
    </format>
    <format dxfId="372">
      <pivotArea dataOnly="0" labelOnly="1" grandRow="1" outline="0" fieldPosition="0"/>
    </format>
    <format dxfId="3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BBE79-A97F-4D75-9835-7C456428155D}" name="TablaDinámica22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461" firstHeaderRow="0" firstDataRow="1" firstDataCol="1"/>
  <pivotFields count="47">
    <pivotField showAll="0"/>
    <pivotField showAll="0"/>
    <pivotField showAll="0"/>
    <pivotField dataField="1" numFmtId="14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58">
        <item x="72"/>
        <item x="70"/>
        <item x="69"/>
        <item x="66"/>
        <item x="65"/>
        <item x="64"/>
        <item x="63"/>
        <item x="62"/>
        <item x="61"/>
        <item x="60"/>
        <item x="59"/>
        <item x="53"/>
        <item x="52"/>
        <item x="51"/>
        <item x="50"/>
        <item x="49"/>
        <item x="47"/>
        <item x="46"/>
        <item x="45"/>
        <item x="44"/>
        <item x="43"/>
        <item x="42"/>
        <item x="32"/>
        <item x="31"/>
        <item x="30"/>
        <item x="29"/>
        <item x="28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x="71"/>
        <item x="68"/>
        <item x="67"/>
        <item x="58"/>
        <item x="57"/>
        <item x="56"/>
        <item x="55"/>
        <item x="54"/>
        <item x="48"/>
        <item x="41"/>
        <item x="40"/>
        <item x="39"/>
        <item x="38"/>
        <item x="37"/>
        <item x="36"/>
        <item x="35"/>
        <item x="34"/>
        <item x="33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447"/>
        <item x="446"/>
        <item x="445"/>
        <item x="444"/>
        <item x="443"/>
        <item x="438"/>
        <item x="437"/>
        <item x="436"/>
        <item x="435"/>
        <item x="434"/>
        <item x="429"/>
        <item x="428"/>
        <item x="427"/>
        <item x="426"/>
        <item x="415"/>
        <item x="414"/>
        <item x="411"/>
        <item x="410"/>
        <item x="405"/>
        <item x="404"/>
        <item x="403"/>
        <item x="402"/>
        <item x="390"/>
        <item x="389"/>
        <item x="357"/>
        <item x="356"/>
        <item x="355"/>
        <item x="354"/>
        <item x="353"/>
        <item x="350"/>
        <item x="349"/>
        <item x="336"/>
        <item x="335"/>
        <item x="328"/>
        <item x="327"/>
        <item x="310"/>
        <item x="309"/>
        <item x="304"/>
        <item x="303"/>
        <item x="302"/>
        <item x="301"/>
        <item x="298"/>
        <item x="300"/>
        <item x="299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34"/>
        <item x="233"/>
        <item x="230"/>
        <item x="229"/>
        <item x="228"/>
        <item x="227"/>
        <item x="226"/>
        <item x="225"/>
        <item x="186"/>
        <item x="185"/>
        <item x="184"/>
        <item x="183"/>
        <item x="180"/>
        <item x="179"/>
        <item x="178"/>
        <item x="177"/>
        <item x="176"/>
        <item x="175"/>
        <item x="174"/>
        <item x="171"/>
        <item x="170"/>
        <item x="169"/>
        <item x="168"/>
        <item x="150"/>
        <item x="149"/>
        <item x="148"/>
        <item x="147"/>
        <item x="146"/>
        <item x="145"/>
        <item x="138"/>
        <item x="137"/>
        <item x="136"/>
        <item x="135"/>
        <item x="121"/>
        <item x="120"/>
        <item x="111"/>
        <item x="110"/>
        <item x="109"/>
        <item x="104"/>
        <item x="103"/>
        <item x="102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0"/>
        <item x="79"/>
        <item x="456"/>
        <item x="455"/>
        <item x="454"/>
        <item x="453"/>
        <item x="452"/>
        <item x="451"/>
        <item x="450"/>
        <item x="449"/>
        <item x="448"/>
        <item x="442"/>
        <item x="441"/>
        <item x="440"/>
        <item x="439"/>
        <item x="433"/>
        <item x="432"/>
        <item x="431"/>
        <item x="430"/>
        <item x="425"/>
        <item x="424"/>
        <item x="423"/>
        <item x="422"/>
        <item x="421"/>
        <item x="420"/>
        <item x="419"/>
        <item x="418"/>
        <item x="417"/>
        <item x="416"/>
        <item x="413"/>
        <item x="412"/>
        <item x="409"/>
        <item x="408"/>
        <item x="407"/>
        <item x="406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2"/>
        <item x="351"/>
        <item x="348"/>
        <item x="347"/>
        <item x="346"/>
        <item x="345"/>
        <item x="344"/>
        <item x="343"/>
        <item x="342"/>
        <item x="341"/>
        <item x="340"/>
        <item x="339"/>
        <item x="334"/>
        <item x="333"/>
        <item x="332"/>
        <item x="331"/>
        <item x="330"/>
        <item x="329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08"/>
        <item x="307"/>
        <item x="306"/>
        <item x="305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39"/>
        <item x="238"/>
        <item x="237"/>
        <item x="236"/>
        <item x="235"/>
        <item x="232"/>
        <item x="231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2"/>
        <item x="181"/>
        <item x="173"/>
        <item x="172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44"/>
        <item x="143"/>
        <item x="142"/>
        <item x="141"/>
        <item x="140"/>
        <item x="139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19"/>
        <item x="118"/>
        <item x="117"/>
        <item x="116"/>
        <item x="115"/>
        <item x="114"/>
        <item x="113"/>
        <item x="112"/>
        <item x="108"/>
        <item x="107"/>
        <item x="106"/>
        <item x="105"/>
        <item x="101"/>
        <item x="100"/>
        <item x="99"/>
        <item x="98"/>
        <item x="97"/>
        <item x="96"/>
        <item x="83"/>
        <item x="82"/>
        <item x="81"/>
        <item x="78"/>
        <item x="77"/>
        <item x="76"/>
        <item x="338"/>
        <item x="337"/>
        <item x="326"/>
        <item x="325"/>
        <item x="324"/>
        <item x="323"/>
        <item x="242"/>
        <item x="241"/>
        <item x="240"/>
        <item x="167"/>
        <item x="75"/>
        <item x="74"/>
        <item x="7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4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315">
      <pivotArea type="all" dataOnly="0" outline="0" fieldPosition="0"/>
    </format>
    <format dxfId="316">
      <pivotArea outline="0" collapsedLevelsAreSubtotals="1" fieldPosition="0"/>
    </format>
    <format dxfId="317">
      <pivotArea field="3" type="button" dataOnly="0" labelOnly="1" outline="0"/>
    </format>
    <format dxfId="318">
      <pivotArea dataOnly="0" labelOnly="1" grandRow="1" outline="0" fieldPosition="0"/>
    </format>
    <format dxfId="3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0F6C1-F54C-4B8E-89C1-0DE22409E3BD}" name="TablaDinámica1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6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subtotal" fld="24" baseField="0" baseItem="0"/>
  </dataFields>
  <formats count="6">
    <format dxfId="382">
      <pivotArea type="all" dataOnly="0" outline="0" fieldPosition="0"/>
    </format>
    <format dxfId="381">
      <pivotArea outline="0" collapsedLevelsAreSubtotals="1" fieldPosition="0"/>
    </format>
    <format dxfId="380">
      <pivotArea field="31" type="button" dataOnly="0" labelOnly="1" outline="0" axis="axisRow" fieldPosition="0"/>
    </format>
    <format dxfId="379">
      <pivotArea dataOnly="0" labelOnly="1" fieldPosition="0">
        <references count="1">
          <reference field="31" count="0"/>
        </references>
      </pivotArea>
    </format>
    <format dxfId="378">
      <pivotArea dataOnly="0" labelOnly="1" grandRow="1" outline="0" fieldPosition="0"/>
    </format>
    <format dxfId="3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2AFC2-573E-4549-922F-28EC1FA96D56}" name="Tabla1" displayName="Tabla1" ref="A3:AS6" totalsRowShown="0">
  <autoFilter ref="A3:AS6" xr:uid="{F792AFC2-573E-4549-922F-28EC1FA96D56}"/>
  <tableColumns count="45">
    <tableColumn id="1" xr3:uid="{D1276704-1EF0-491B-81E5-DD8BF229935D}" name="serie_correlativo"/>
    <tableColumn id="2" xr3:uid="{0CB472E3-9FE6-42A6-8051-081E65931894}" name="numero"/>
    <tableColumn id="3" xr3:uid="{5FB4B6CE-0E32-447D-A969-1D6276F77823}" name="nombre_empresa"/>
    <tableColumn id="4" xr3:uid="{82A7C7E2-5155-4E7A-B79E-7875E65F0447}" name="fecha_de_emision" dataDxfId="390"/>
    <tableColumn id="5" xr3:uid="{2E22642F-ABF9-4E3F-9464-679D6B4E6B14}" name="hora_de_emision" dataDxfId="389"/>
    <tableColumn id="6" xr3:uid="{C6B8CF47-0744-44A1-A8F1-7D9787DC146E}" name="nom_proveedor"/>
    <tableColumn id="7" xr3:uid="{030D4BD7-D994-4C3C-9BC7-83C67C8AE163}" name="cat_proveedor"/>
    <tableColumn id="8" xr3:uid="{FF5F0EFE-4A90-4CA4-A00A-B25096B1917D}" name="tipo_documento"/>
    <tableColumn id="9" xr3:uid="{5EAE06F9-44E5-4623-AE28-1C11BE21B68F}" name="doc_proveedor"/>
    <tableColumn id="10" xr3:uid="{12C23F9A-4442-434C-A949-649C49F21F5A}" name="items"/>
    <tableColumn id="11" xr3:uid="{287E6336-4290-40C4-B700-43F8BB31A764}" name="factura.fecha_emision" dataDxfId="388"/>
    <tableColumn id="12" xr3:uid="{B7D825A2-874C-4D94-B843-859ABE75B21F}" name="factura.cliente"/>
    <tableColumn id="13" xr3:uid="{1FB4964A-7332-434C-9081-93E2D3F80C94}" name="factura.id_cliente"/>
    <tableColumn id="14" xr3:uid="{45C2D0A5-C3ED-4F2A-BCAE-78F947030B3D}" name="factura.total"/>
    <tableColumn id="15" xr3:uid="{E7A4B564-A30B-4BC1-9A4F-F35C8DECDBE1}" name="factura.moneda"/>
    <tableColumn id="16" xr3:uid="{1C4FA4CC-1BFD-4A0A-81F1-69B265EB8305}" name="factura.estado"/>
    <tableColumn id="17" xr3:uid="{9534932B-210C-4DB8-9E10-88004023E991}" name="item.id_producto"/>
    <tableColumn id="18" xr3:uid="{80FD0F18-DE24-4D47-A94D-76DF1868D7EC}" name="item.codigo_producto"/>
    <tableColumn id="19" xr3:uid="{C387E2F9-2E67-40FF-BF10-B5F1E04A5D57}" name="item.nom_producto"/>
    <tableColumn id="20" xr3:uid="{A6A15BFF-E03C-4E20-BE17-49C734CC3B60}" name="item.categoria_producto"/>
    <tableColumn id="21" xr3:uid="{ABEB75CB-EC06-4317-A850-F4BECDFE1B98}" name="item.cantidad"/>
    <tableColumn id="22" xr3:uid="{B2EFE65B-A1CA-4131-8940-53713ED9788F}" name="item.valor_unitario"/>
    <tableColumn id="23" xr3:uid="{53625959-E01A-447C-B405-B4B005190BF0}" name="item.precio_unitario"/>
    <tableColumn id="24" xr3:uid="{295BD49C-821B-45E1-AB12-C121DFDCD85E}" name="item.descuento"/>
    <tableColumn id="25" xr3:uid="{85872867-37D2-4440-B7CE-E7B1113606EA}" name="item.subtotal"/>
    <tableColumn id="26" xr3:uid="{AD291407-9B2F-4C81-83E6-66742BE8489D}" name="item.porcentaje_de_igv"/>
    <tableColumn id="27" xr3:uid="{FC7CBE47-7DF4-4BF0-A92D-BB295027A83B}" name="item.igv"/>
    <tableColumn id="28" xr3:uid="{2FFED5C7-943C-471D-ACAD-9C266864CCA9}" name="item.total"/>
    <tableColumn id="29" xr3:uid="{33406770-6A6B-4576-BA19-E9E9D8DD0D14}" name="item.moneda"/>
    <tableColumn id="30" xr3:uid="{1F49873C-A29A-4FDE-884D-41A8CDB8838A}" name="item.tipo_de_cambio"/>
    <tableColumn id="31" xr3:uid="{6B07375E-32CE-4BF5-83FA-BD7B47F47125}" name="item.id_estado"/>
    <tableColumn id="32" xr3:uid="{7D508187-0107-4524-8E38-8826CCFE8CE3}" name="item.nombre_estado"/>
    <tableColumn id="33" xr3:uid="{88495E5F-6072-441A-B578-28DB0D3DB749}" name="item.id_vendedor"/>
    <tableColumn id="34" xr3:uid="{73F0B386-1F10-4638-9211-8F00DD8E530F}" name="item.nom_vendedor"/>
    <tableColumn id="35" xr3:uid="{27F1F577-BBB3-47DC-B110-605CD8609896}" name="item.id_cuenta_analitica"/>
    <tableColumn id="36" xr3:uid="{F500DAB1-28A8-466C-8F81-490EDAC21E02}" name="item.nom_cuenta_analitica"/>
    <tableColumn id="37" xr3:uid="{5698467F-8723-43DE-ADBE-0DFFE07BC235}" name="item.distribucion_analitica"/>
    <tableColumn id="38" xr3:uid="{7D52DAA4-1688-4328-A369-362E4738206F}" name="item.evento.id_evento"/>
    <tableColumn id="39" xr3:uid="{94AC448A-67D1-4CC9-81F3-3478203D7E96}" name="item.evento.nom_evento"/>
    <tableColumn id="40" xr3:uid="{48B9465E-21B0-4888-9E47-6ABB92885A6D}" name="item.evento.Fecha_hora_ini_event"/>
    <tableColumn id="41" xr3:uid="{5ECF00CF-1D46-410E-A8EF-4D4AF6EF8782}" name="item.evento.Fecha_hora_fin_event"/>
    <tableColumn id="42" xr3:uid="{540BEAC6-4034-4D77-8F92-FA4D5610E46B}" name="item.evento.id_organizador"/>
    <tableColumn id="43" xr3:uid="{00C527BB-9995-4DFB-99E7-19DC44A5D7C8}" name="item.evento.nom_organizador"/>
    <tableColumn id="44" xr3:uid="{6466F782-D228-41B3-AFCA-8447622CBD56}" name="item.evento.tipo_organizador"/>
    <tableColumn id="45" xr3:uid="{790BA2AB-94D2-46C3-B1DE-420E23871DC5}" name="UNIFIC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9C049-863F-42A4-9D83-EFF71601984B}" name="Tabla2" displayName="Tabla2" ref="A3:AS5" totalsRowShown="0">
  <autoFilter ref="A3:AS5" xr:uid="{EE49C049-863F-42A4-9D83-EFF71601984B}"/>
  <tableColumns count="45">
    <tableColumn id="1" xr3:uid="{CAE80A53-0EC6-490C-B6B7-037C69A3C954}" name="serie_correlativo"/>
    <tableColumn id="2" xr3:uid="{6505705F-1338-4C8B-B634-28F382D83A72}" name="numero"/>
    <tableColumn id="3" xr3:uid="{B1D70D71-8D3B-4EB8-927D-4FC824D31CA8}" name="nombre_empresa"/>
    <tableColumn id="4" xr3:uid="{FB4690C2-0FB8-4C33-98D0-133AA955C2B6}" name="fecha_de_emision" dataDxfId="387"/>
    <tableColumn id="5" xr3:uid="{1F9C7FC0-DFD8-4026-9A9E-4660C5243FF1}" name="hora_de_emision" dataDxfId="386"/>
    <tableColumn id="6" xr3:uid="{FCBFC475-97D1-4DB5-931D-7C8FB31BE578}" name="nom_proveedor"/>
    <tableColumn id="7" xr3:uid="{7AB6D124-807D-4C91-9D0A-8B0A9A539893}" name="cat_proveedor"/>
    <tableColumn id="8" xr3:uid="{AA63C727-D4FE-4A56-B2E9-7B55BF1B1985}" name="tipo_documento"/>
    <tableColumn id="9" xr3:uid="{C41755F2-E0EE-4589-9E48-656FC0F8B677}" name="doc_proveedor"/>
    <tableColumn id="10" xr3:uid="{3884B8B4-E5A7-4E52-B26C-57B3580148D3}" name="items"/>
    <tableColumn id="11" xr3:uid="{334DB6A5-141A-446B-AC10-39005E9A5D69}" name="factura.fecha_emision" dataDxfId="385"/>
    <tableColumn id="12" xr3:uid="{CA8F30BE-55C4-4873-9AD8-CEE766607736}" name="factura.cliente"/>
    <tableColumn id="13" xr3:uid="{F8C7438C-4467-4007-B649-A431F68A35B2}" name="factura.id_cliente"/>
    <tableColumn id="14" xr3:uid="{B7D8EDF1-B147-4FA9-80FE-A27253B9105F}" name="factura.total"/>
    <tableColumn id="15" xr3:uid="{11DF8557-BE79-4175-BB68-1CD668922535}" name="factura.moneda"/>
    <tableColumn id="16" xr3:uid="{4F90B5AF-4CC9-499C-A42C-3D5577E744DB}" name="factura.estado"/>
    <tableColumn id="17" xr3:uid="{C3340F9E-04C4-4516-AB15-087E00DE729A}" name="item.id_producto"/>
    <tableColumn id="18" xr3:uid="{65822C7A-59CD-4729-B8C3-2F981DDCB56D}" name="item.codigo_producto"/>
    <tableColumn id="19" xr3:uid="{59AFA9C7-4F41-4695-B6AC-BD155CFB6030}" name="item.nom_producto"/>
    <tableColumn id="20" xr3:uid="{469C2B36-5049-4032-936D-2972566A7312}" name="item.categoria_producto"/>
    <tableColumn id="21" xr3:uid="{F7E28CDE-98F9-4B71-8D62-01EA34A6C8F5}" name="item.cantidad"/>
    <tableColumn id="22" xr3:uid="{66712E5D-C2EB-48BA-9747-4F5B108A681A}" name="item.valor_unitario"/>
    <tableColumn id="23" xr3:uid="{24F86BBB-75CC-4BF0-9DB8-FF72F0EB89EC}" name="item.precio_unitario"/>
    <tableColumn id="24" xr3:uid="{F16389D2-42BC-4D7B-B204-FBBC1C1B89B9}" name="item.descuento"/>
    <tableColumn id="25" xr3:uid="{738D96B0-0A28-43B7-B049-52F641C84A9D}" name="item.subtotal"/>
    <tableColumn id="26" xr3:uid="{22FFCE49-EBE8-46FF-A826-0E7C36ADFEDF}" name="item.porcentaje_de_igv"/>
    <tableColumn id="27" xr3:uid="{A47AA950-4B88-4C6E-8564-1D60DAB08081}" name="item.igv"/>
    <tableColumn id="28" xr3:uid="{74DD1918-B1BB-415F-BE78-1B1687DE75FC}" name="item.total"/>
    <tableColumn id="29" xr3:uid="{FB19DB73-4A5A-41B9-A92A-34CCD46DAF43}" name="item.moneda"/>
    <tableColumn id="30" xr3:uid="{BE0FD133-15FF-4672-BA64-90545C23607C}" name="item.tipo_de_cambio"/>
    <tableColumn id="31" xr3:uid="{2B118F17-ACCA-4714-A1A4-4910E47E1F36}" name="item.id_estado"/>
    <tableColumn id="32" xr3:uid="{9E58FC2E-7F5B-4580-8657-41810B304A53}" name="item.nombre_estado"/>
    <tableColumn id="33" xr3:uid="{A401DC09-8DB4-4785-B05E-3FA7961312BA}" name="item.id_vendedor"/>
    <tableColumn id="34" xr3:uid="{682FDBF7-928C-437C-A570-487BA636C074}" name="item.nom_vendedor"/>
    <tableColumn id="35" xr3:uid="{FD1E29B9-05EF-4663-ACCE-A74371E482EF}" name="item.id_cuenta_analitica"/>
    <tableColumn id="36" xr3:uid="{625F9AE8-BCA0-4062-9B1B-93CA247D3109}" name="item.nom_cuenta_analitica"/>
    <tableColumn id="37" xr3:uid="{5502619C-6476-44AD-BA4F-C1A116161666}" name="item.distribucion_analitica"/>
    <tableColumn id="38" xr3:uid="{B40D0A84-A6E1-4868-9399-4255EBCA5A5E}" name="item.evento.id_evento"/>
    <tableColumn id="39" xr3:uid="{D375C5EF-6EFC-4030-8EB6-95FCA013649C}" name="item.evento.nom_evento"/>
    <tableColumn id="40" xr3:uid="{42DDEFA3-205D-4EC3-B789-498235108F4C}" name="item.evento.Fecha_hora_ini_event" dataDxfId="384"/>
    <tableColumn id="41" xr3:uid="{B84E5518-5FD1-41C3-B0CF-65D544920896}" name="item.evento.Fecha_hora_fin_event" dataDxfId="383"/>
    <tableColumn id="42" xr3:uid="{58DFD8D3-C4ED-4BE0-88D7-F124CF81B8D7}" name="item.evento.id_organizador"/>
    <tableColumn id="43" xr3:uid="{4481442F-3786-43DA-AF3E-7B467598670A}" name="item.evento.nom_organizador"/>
    <tableColumn id="44" xr3:uid="{41BCA597-1287-4711-91C6-D859E33C5D15}" name="item.evento.tipo_organizador"/>
    <tableColumn id="45" xr3:uid="{171B4851-0739-418D-8AC2-E31D079AFB93}" name="UNIFIC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324"/>
    <tableColumn id="4" xr3:uid="{5F3B341F-A6FB-4E9F-BCFA-3DEC14E930A1}" name="hora_de_emision" dataDxfId="323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322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321"/>
    <tableColumn id="40" xr3:uid="{7CFFEA38-7E51-4A50-B8C3-116E7A5B70E1}" name="item.evento.Fecha_hora_fin_event" dataDxfId="320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18" Type="http://schemas.openxmlformats.org/officeDocument/2006/relationships/pivotTable" Target="../pivotTables/pivotTable28.xml"/><Relationship Id="rId3" Type="http://schemas.openxmlformats.org/officeDocument/2006/relationships/pivotTable" Target="../pivotTables/pivotTable13.xml"/><Relationship Id="rId21" Type="http://schemas.openxmlformats.org/officeDocument/2006/relationships/pivotTable" Target="../pivotTables/pivotTable31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17" Type="http://schemas.openxmlformats.org/officeDocument/2006/relationships/pivotTable" Target="../pivotTables/pivotTable27.xml"/><Relationship Id="rId2" Type="http://schemas.openxmlformats.org/officeDocument/2006/relationships/pivotTable" Target="../pivotTables/pivotTable12.xml"/><Relationship Id="rId16" Type="http://schemas.openxmlformats.org/officeDocument/2006/relationships/pivotTable" Target="../pivotTables/pivotTable26.xml"/><Relationship Id="rId20" Type="http://schemas.openxmlformats.org/officeDocument/2006/relationships/pivotTable" Target="../pivotTables/pivotTable30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pivotTable" Target="../pivotTables/pivotTable25.xml"/><Relationship Id="rId10" Type="http://schemas.openxmlformats.org/officeDocument/2006/relationships/pivotTable" Target="../pivotTables/pivotTable20.xml"/><Relationship Id="rId19" Type="http://schemas.openxmlformats.org/officeDocument/2006/relationships/pivotTable" Target="../pivotTables/pivotTable29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Relationship Id="rId22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8"/>
  <sheetViews>
    <sheetView topLeftCell="Z422" workbookViewId="0">
      <selection activeCell="E9" sqref="E8:E9"/>
    </sheetView>
  </sheetViews>
  <sheetFormatPr baseColWidth="10" defaultColWidth="9.140625" defaultRowHeight="15" customHeight="1"/>
  <cols>
    <col min="1" max="1" width="24.28515625" bestFit="1" customWidth="1"/>
    <col min="2" max="2" width="22.7109375" bestFit="1" customWidth="1"/>
    <col min="3" max="3" width="40.140625" bestFit="1" customWidth="1"/>
    <col min="4" max="4" width="17.85546875" bestFit="1" customWidth="1"/>
    <col min="5" max="5" width="50.7109375" bestFit="1" customWidth="1"/>
    <col min="6" max="6" width="17.7109375" bestFit="1" customWidth="1"/>
    <col min="7" max="7" width="10.42578125" bestFit="1" customWidth="1"/>
    <col min="8" max="8" width="22.85546875" bestFit="1" customWidth="1"/>
    <col min="9" max="9" width="9.285156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0.710937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173.85546875" bestFit="1" customWidth="1"/>
    <col min="26" max="26" width="10.42578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style="8" bestFit="1" customWidth="1"/>
  </cols>
  <sheetData>
    <row r="1" spans="1:37" ht="15" customHeight="1">
      <c r="A1" s="1" t="s">
        <v>268</v>
      </c>
      <c r="B1" s="1" t="s">
        <v>1</v>
      </c>
      <c r="C1" s="1" t="s">
        <v>103</v>
      </c>
      <c r="D1" s="1" t="s">
        <v>269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37</v>
      </c>
      <c r="AF1" s="5" t="s">
        <v>38</v>
      </c>
      <c r="AG1" s="5" t="s">
        <v>39</v>
      </c>
      <c r="AH1" s="5" t="s">
        <v>40</v>
      </c>
      <c r="AI1" s="5" t="s">
        <v>41</v>
      </c>
      <c r="AJ1" s="5" t="s">
        <v>46</v>
      </c>
      <c r="AK1" s="7" t="s">
        <v>55</v>
      </c>
    </row>
    <row r="2" spans="1:37" ht="15" customHeight="1">
      <c r="A2" s="2" t="s">
        <v>270</v>
      </c>
      <c r="B2" s="2">
        <v>3100</v>
      </c>
      <c r="C2" s="2" t="s">
        <v>271</v>
      </c>
      <c r="D2" s="2" t="s">
        <v>272</v>
      </c>
      <c r="E2" s="2" t="s">
        <v>273</v>
      </c>
      <c r="F2" s="3">
        <v>45945</v>
      </c>
      <c r="G2" s="3">
        <v>45945</v>
      </c>
      <c r="H2" s="3">
        <v>45945</v>
      </c>
      <c r="I2" s="2"/>
      <c r="J2" s="2"/>
      <c r="K2" s="2" t="s">
        <v>25</v>
      </c>
      <c r="L2" s="2" t="s">
        <v>26</v>
      </c>
      <c r="M2" s="2"/>
      <c r="N2" s="2" t="s">
        <v>27</v>
      </c>
      <c r="O2" s="2">
        <v>12.2</v>
      </c>
      <c r="P2" s="2">
        <v>2.2000000000000002</v>
      </c>
      <c r="Q2" s="2">
        <v>14.4</v>
      </c>
      <c r="R2" s="2">
        <v>14.4</v>
      </c>
      <c r="S2" s="2"/>
      <c r="T2" s="2" t="s">
        <v>28</v>
      </c>
      <c r="U2" s="2" t="b">
        <v>0</v>
      </c>
      <c r="V2" s="2" t="s">
        <v>274</v>
      </c>
      <c r="W2" s="2" t="s">
        <v>30</v>
      </c>
      <c r="X2" s="2"/>
      <c r="Y2" s="2"/>
      <c r="Z2" s="2" t="s">
        <v>31</v>
      </c>
      <c r="AA2" s="2"/>
      <c r="AB2" s="2"/>
      <c r="AC2" s="2"/>
      <c r="AD2" s="2"/>
      <c r="AK2" s="8">
        <f t="shared" ref="AK2:AK37" si="0">+IF(AE2&lt;&gt;"",AE2,F2)</f>
        <v>45945</v>
      </c>
    </row>
    <row r="3" spans="1:37" ht="15" customHeight="1">
      <c r="A3" s="2" t="s">
        <v>275</v>
      </c>
      <c r="B3" s="2">
        <v>3100</v>
      </c>
      <c r="C3" s="2" t="s">
        <v>271</v>
      </c>
      <c r="D3" s="2" t="s">
        <v>272</v>
      </c>
      <c r="E3" s="2" t="s">
        <v>273</v>
      </c>
      <c r="F3" s="3">
        <v>45945</v>
      </c>
      <c r="G3" s="3">
        <v>45945</v>
      </c>
      <c r="H3" s="3">
        <v>45945</v>
      </c>
      <c r="I3" s="2"/>
      <c r="J3" s="2"/>
      <c r="K3" s="2" t="s">
        <v>25</v>
      </c>
      <c r="L3" s="2" t="s">
        <v>26</v>
      </c>
      <c r="M3" s="2"/>
      <c r="N3" s="2" t="s">
        <v>27</v>
      </c>
      <c r="O3" s="2">
        <v>41.14</v>
      </c>
      <c r="P3" s="2">
        <v>7.41</v>
      </c>
      <c r="Q3" s="2">
        <v>48.55</v>
      </c>
      <c r="R3" s="2">
        <v>48.55</v>
      </c>
      <c r="S3" s="2">
        <v>48.55</v>
      </c>
      <c r="T3" s="2" t="s">
        <v>28</v>
      </c>
      <c r="U3" s="2" t="b">
        <v>0</v>
      </c>
      <c r="V3" s="2" t="s">
        <v>29</v>
      </c>
      <c r="W3" s="2" t="s">
        <v>30</v>
      </c>
      <c r="X3" s="2"/>
      <c r="Y3" s="2"/>
      <c r="Z3" s="2" t="s">
        <v>31</v>
      </c>
      <c r="AA3" s="2"/>
      <c r="AB3" s="2"/>
      <c r="AC3" s="2"/>
      <c r="AD3" s="2"/>
      <c r="AK3" s="8">
        <f t="shared" si="0"/>
        <v>45945</v>
      </c>
    </row>
    <row r="4" spans="1:37" ht="15" customHeight="1">
      <c r="A4" s="2" t="s">
        <v>276</v>
      </c>
      <c r="B4" s="2">
        <v>3066</v>
      </c>
      <c r="C4" s="2" t="s">
        <v>277</v>
      </c>
      <c r="D4" s="2" t="s">
        <v>272</v>
      </c>
      <c r="E4" s="2" t="s">
        <v>278</v>
      </c>
      <c r="F4" s="3">
        <v>45945</v>
      </c>
      <c r="G4" s="3">
        <v>45945</v>
      </c>
      <c r="H4" s="3">
        <v>45945</v>
      </c>
      <c r="I4" s="2"/>
      <c r="J4" s="2"/>
      <c r="K4" s="2" t="s">
        <v>25</v>
      </c>
      <c r="L4" s="2" t="s">
        <v>26</v>
      </c>
      <c r="M4" s="2"/>
      <c r="N4" s="2" t="s">
        <v>27</v>
      </c>
      <c r="O4" s="2">
        <v>2701</v>
      </c>
      <c r="P4" s="2">
        <v>486.18</v>
      </c>
      <c r="Q4" s="2">
        <v>3187.18</v>
      </c>
      <c r="R4" s="2">
        <v>3187.18</v>
      </c>
      <c r="S4" s="2">
        <v>3187.18</v>
      </c>
      <c r="T4" s="2" t="s">
        <v>28</v>
      </c>
      <c r="U4" s="2" t="b">
        <v>0</v>
      </c>
      <c r="V4" s="2" t="s">
        <v>29</v>
      </c>
      <c r="W4" s="2" t="s">
        <v>30</v>
      </c>
      <c r="X4" s="2"/>
      <c r="Y4" s="2"/>
      <c r="Z4" s="2" t="s">
        <v>31</v>
      </c>
      <c r="AA4" s="2"/>
      <c r="AB4" s="2"/>
      <c r="AC4" s="2"/>
      <c r="AD4" s="2"/>
      <c r="AK4" s="8">
        <f t="shared" si="0"/>
        <v>45945</v>
      </c>
    </row>
    <row r="5" spans="1:37" ht="15" customHeight="1">
      <c r="A5" s="2" t="s">
        <v>279</v>
      </c>
      <c r="B5" s="2">
        <v>3066</v>
      </c>
      <c r="C5" s="2" t="s">
        <v>277</v>
      </c>
      <c r="D5" s="2" t="s">
        <v>272</v>
      </c>
      <c r="E5" s="2" t="s">
        <v>278</v>
      </c>
      <c r="F5" s="3">
        <v>45945</v>
      </c>
      <c r="G5" s="3">
        <v>45945</v>
      </c>
      <c r="H5" s="3">
        <v>45945</v>
      </c>
      <c r="I5" s="2"/>
      <c r="J5" s="2"/>
      <c r="K5" s="2" t="s">
        <v>25</v>
      </c>
      <c r="L5" s="2" t="s">
        <v>26</v>
      </c>
      <c r="M5" s="2"/>
      <c r="N5" s="2" t="s">
        <v>27</v>
      </c>
      <c r="O5" s="2">
        <v>100</v>
      </c>
      <c r="P5" s="2">
        <v>18</v>
      </c>
      <c r="Q5" s="2">
        <v>118</v>
      </c>
      <c r="R5" s="2">
        <v>118</v>
      </c>
      <c r="S5" s="2">
        <v>118</v>
      </c>
      <c r="T5" s="2" t="s">
        <v>28</v>
      </c>
      <c r="U5" s="2" t="b">
        <v>0</v>
      </c>
      <c r="V5" s="2" t="s">
        <v>29</v>
      </c>
      <c r="W5" s="2" t="s">
        <v>30</v>
      </c>
      <c r="X5" s="2"/>
      <c r="Y5" s="2"/>
      <c r="Z5" s="2" t="s">
        <v>31</v>
      </c>
      <c r="AA5" s="2"/>
      <c r="AB5" s="2"/>
      <c r="AC5" s="2"/>
      <c r="AD5" s="2"/>
      <c r="AK5" s="8">
        <f t="shared" si="0"/>
        <v>45945</v>
      </c>
    </row>
    <row r="6" spans="1:37" ht="15" customHeight="1">
      <c r="A6" s="2" t="s">
        <v>280</v>
      </c>
      <c r="B6" s="2">
        <v>3066</v>
      </c>
      <c r="C6" s="2" t="s">
        <v>277</v>
      </c>
      <c r="D6" s="2" t="s">
        <v>272</v>
      </c>
      <c r="E6" s="2" t="s">
        <v>278</v>
      </c>
      <c r="F6" s="3">
        <v>45945</v>
      </c>
      <c r="G6" s="3">
        <v>45945</v>
      </c>
      <c r="H6" s="3">
        <v>45945</v>
      </c>
      <c r="I6" s="2"/>
      <c r="J6" s="2"/>
      <c r="K6" s="2" t="s">
        <v>25</v>
      </c>
      <c r="L6" s="2" t="s">
        <v>26</v>
      </c>
      <c r="M6" s="2"/>
      <c r="N6" s="2" t="s">
        <v>27</v>
      </c>
      <c r="O6" s="2">
        <v>1688.56</v>
      </c>
      <c r="P6" s="2">
        <v>303.94</v>
      </c>
      <c r="Q6" s="2">
        <v>1992.5</v>
      </c>
      <c r="R6" s="2">
        <v>1992.5</v>
      </c>
      <c r="S6" s="2">
        <v>1992.5</v>
      </c>
      <c r="T6" s="2" t="s">
        <v>28</v>
      </c>
      <c r="U6" s="2" t="b">
        <v>0</v>
      </c>
      <c r="V6" s="2" t="s">
        <v>29</v>
      </c>
      <c r="W6" s="2" t="s">
        <v>30</v>
      </c>
      <c r="X6" s="2"/>
      <c r="Y6" s="2"/>
      <c r="Z6" s="2" t="s">
        <v>31</v>
      </c>
      <c r="AA6" s="2"/>
      <c r="AB6" s="2"/>
      <c r="AC6" s="2"/>
      <c r="AD6" s="2"/>
      <c r="AK6" s="8">
        <f t="shared" si="0"/>
        <v>45945</v>
      </c>
    </row>
    <row r="7" spans="1:37" ht="15" customHeight="1">
      <c r="A7" s="2" t="s">
        <v>281</v>
      </c>
      <c r="B7" s="2">
        <v>3066</v>
      </c>
      <c r="C7" s="2" t="s">
        <v>277</v>
      </c>
      <c r="D7" s="2" t="s">
        <v>272</v>
      </c>
      <c r="E7" s="2" t="s">
        <v>278</v>
      </c>
      <c r="F7" s="3">
        <v>45945</v>
      </c>
      <c r="G7" s="3">
        <v>45945</v>
      </c>
      <c r="H7" s="3">
        <v>45945</v>
      </c>
      <c r="I7" s="2"/>
      <c r="J7" s="2"/>
      <c r="K7" s="2" t="s">
        <v>25</v>
      </c>
      <c r="L7" s="2" t="s">
        <v>26</v>
      </c>
      <c r="M7" s="2"/>
      <c r="N7" s="2" t="s">
        <v>27</v>
      </c>
      <c r="O7" s="2">
        <v>1340.25</v>
      </c>
      <c r="P7" s="2">
        <v>241.25</v>
      </c>
      <c r="Q7" s="2">
        <v>1581.5</v>
      </c>
      <c r="R7" s="2">
        <v>1581.5</v>
      </c>
      <c r="S7" s="2">
        <v>1581.5</v>
      </c>
      <c r="T7" s="2" t="s">
        <v>28</v>
      </c>
      <c r="U7" s="2" t="b">
        <v>0</v>
      </c>
      <c r="V7" s="2" t="s">
        <v>29</v>
      </c>
      <c r="W7" s="2" t="s">
        <v>30</v>
      </c>
      <c r="X7" s="2"/>
      <c r="Y7" s="2"/>
      <c r="Z7" s="2" t="s">
        <v>31</v>
      </c>
      <c r="AA7" s="2"/>
      <c r="AB7" s="2"/>
      <c r="AC7" s="2"/>
      <c r="AD7" s="2"/>
      <c r="AK7" s="8">
        <f t="shared" si="0"/>
        <v>45945</v>
      </c>
    </row>
    <row r="8" spans="1:37" ht="15" customHeight="1">
      <c r="A8" s="2" t="s">
        <v>282</v>
      </c>
      <c r="B8" s="2">
        <v>3029</v>
      </c>
      <c r="C8" s="2" t="s">
        <v>283</v>
      </c>
      <c r="D8" s="2" t="s">
        <v>272</v>
      </c>
      <c r="E8" s="2" t="s">
        <v>284</v>
      </c>
      <c r="F8" s="3">
        <v>45945</v>
      </c>
      <c r="G8" s="3">
        <v>45945</v>
      </c>
      <c r="H8" s="3">
        <v>45945</v>
      </c>
      <c r="I8" s="2"/>
      <c r="J8" s="2"/>
      <c r="K8" s="2" t="s">
        <v>25</v>
      </c>
      <c r="L8" s="2" t="s">
        <v>26</v>
      </c>
      <c r="M8" s="2"/>
      <c r="N8" s="2" t="s">
        <v>27</v>
      </c>
      <c r="O8" s="2">
        <v>25.93</v>
      </c>
      <c r="P8" s="2">
        <v>4.67</v>
      </c>
      <c r="Q8" s="2">
        <v>30.6</v>
      </c>
      <c r="R8" s="2">
        <v>30.6</v>
      </c>
      <c r="S8" s="2">
        <v>30.6</v>
      </c>
      <c r="T8" s="2" t="s">
        <v>28</v>
      </c>
      <c r="U8" s="2" t="b">
        <v>0</v>
      </c>
      <c r="V8" s="2" t="s">
        <v>29</v>
      </c>
      <c r="W8" s="2" t="s">
        <v>30</v>
      </c>
      <c r="X8" s="2"/>
      <c r="Y8" s="2"/>
      <c r="Z8" s="2" t="s">
        <v>31</v>
      </c>
      <c r="AA8" s="2"/>
      <c r="AB8" s="2"/>
      <c r="AC8" s="2"/>
      <c r="AD8" s="2"/>
      <c r="AK8" s="8">
        <f t="shared" si="0"/>
        <v>45945</v>
      </c>
    </row>
    <row r="9" spans="1:37" ht="15" customHeight="1">
      <c r="A9" s="2" t="s">
        <v>285</v>
      </c>
      <c r="B9" s="2">
        <v>3029</v>
      </c>
      <c r="C9" s="2" t="s">
        <v>283</v>
      </c>
      <c r="D9" s="2" t="s">
        <v>272</v>
      </c>
      <c r="E9" s="2" t="s">
        <v>284</v>
      </c>
      <c r="F9" s="3">
        <v>45945</v>
      </c>
      <c r="G9" s="3">
        <v>45945</v>
      </c>
      <c r="H9" s="3">
        <v>45945</v>
      </c>
      <c r="I9" s="2"/>
      <c r="J9" s="2"/>
      <c r="K9" s="2" t="s">
        <v>25</v>
      </c>
      <c r="L9" s="2" t="s">
        <v>26</v>
      </c>
      <c r="M9" s="2"/>
      <c r="N9" s="2" t="s">
        <v>27</v>
      </c>
      <c r="O9" s="2">
        <v>18.309999999999999</v>
      </c>
      <c r="P9" s="2">
        <v>3.3</v>
      </c>
      <c r="Q9" s="2">
        <v>21.61</v>
      </c>
      <c r="R9" s="2">
        <v>21.61</v>
      </c>
      <c r="S9" s="2">
        <v>21.61</v>
      </c>
      <c r="T9" s="2" t="s">
        <v>28</v>
      </c>
      <c r="U9" s="2" t="b">
        <v>0</v>
      </c>
      <c r="V9" s="2" t="s">
        <v>29</v>
      </c>
      <c r="W9" s="2" t="s">
        <v>30</v>
      </c>
      <c r="X9" s="2"/>
      <c r="Y9" s="2"/>
      <c r="Z9" s="2" t="s">
        <v>31</v>
      </c>
      <c r="AA9" s="2"/>
      <c r="AB9" s="2"/>
      <c r="AC9" s="2"/>
      <c r="AD9" s="2"/>
      <c r="AK9" s="8">
        <f t="shared" si="0"/>
        <v>45945</v>
      </c>
    </row>
    <row r="10" spans="1:37" ht="15" customHeight="1">
      <c r="A10" s="2" t="s">
        <v>286</v>
      </c>
      <c r="B10" s="2">
        <v>3030</v>
      </c>
      <c r="C10" s="2" t="s">
        <v>287</v>
      </c>
      <c r="D10" s="2" t="s">
        <v>272</v>
      </c>
      <c r="E10" s="2" t="s">
        <v>288</v>
      </c>
      <c r="F10" s="3">
        <v>45945</v>
      </c>
      <c r="G10" s="3">
        <v>45945</v>
      </c>
      <c r="H10" s="3">
        <v>45945</v>
      </c>
      <c r="I10" s="2"/>
      <c r="J10" s="2"/>
      <c r="K10" s="2" t="s">
        <v>25</v>
      </c>
      <c r="L10" s="2" t="s">
        <v>26</v>
      </c>
      <c r="M10" s="2"/>
      <c r="N10" s="2" t="s">
        <v>27</v>
      </c>
      <c r="O10" s="2">
        <v>63</v>
      </c>
      <c r="P10" s="2">
        <v>11.34</v>
      </c>
      <c r="Q10" s="2">
        <v>74.34</v>
      </c>
      <c r="R10" s="2">
        <v>74.34</v>
      </c>
      <c r="S10" s="2">
        <v>74.34</v>
      </c>
      <c r="T10" s="2" t="s">
        <v>28</v>
      </c>
      <c r="U10" s="2" t="b">
        <v>0</v>
      </c>
      <c r="V10" s="2" t="s">
        <v>29</v>
      </c>
      <c r="W10" s="2" t="s">
        <v>30</v>
      </c>
      <c r="X10" s="2"/>
      <c r="Y10" s="2"/>
      <c r="Z10" s="2" t="s">
        <v>31</v>
      </c>
      <c r="AA10" s="2"/>
      <c r="AB10" s="2"/>
      <c r="AC10" s="2"/>
      <c r="AD10" s="2"/>
      <c r="AK10" s="8">
        <f t="shared" si="0"/>
        <v>45945</v>
      </c>
    </row>
    <row r="11" spans="1:37" ht="15" customHeight="1">
      <c r="A11" s="2" t="s">
        <v>289</v>
      </c>
      <c r="B11" s="2">
        <v>3030</v>
      </c>
      <c r="C11" s="2" t="s">
        <v>287</v>
      </c>
      <c r="D11" s="2" t="s">
        <v>272</v>
      </c>
      <c r="E11" s="2" t="s">
        <v>288</v>
      </c>
      <c r="F11" s="3">
        <v>45945</v>
      </c>
      <c r="G11" s="3">
        <v>45945</v>
      </c>
      <c r="H11" s="3">
        <v>45945</v>
      </c>
      <c r="I11" s="2"/>
      <c r="J11" s="2"/>
      <c r="K11" s="2" t="s">
        <v>25</v>
      </c>
      <c r="L11" s="2" t="s">
        <v>26</v>
      </c>
      <c r="M11" s="2"/>
      <c r="N11" s="2" t="s">
        <v>27</v>
      </c>
      <c r="O11" s="2">
        <v>300</v>
      </c>
      <c r="P11" s="2">
        <v>54</v>
      </c>
      <c r="Q11" s="2">
        <v>354</v>
      </c>
      <c r="R11" s="2">
        <v>354</v>
      </c>
      <c r="S11" s="2">
        <v>354</v>
      </c>
      <c r="T11" s="2" t="s">
        <v>28</v>
      </c>
      <c r="U11" s="2" t="b">
        <v>0</v>
      </c>
      <c r="V11" s="2" t="s">
        <v>29</v>
      </c>
      <c r="W11" s="2" t="s">
        <v>30</v>
      </c>
      <c r="X11" s="2"/>
      <c r="Y11" s="2"/>
      <c r="Z11" s="2" t="s">
        <v>31</v>
      </c>
      <c r="AA11" s="2"/>
      <c r="AB11" s="2"/>
      <c r="AC11" s="2"/>
      <c r="AD11" s="2"/>
      <c r="AK11" s="8">
        <f t="shared" si="0"/>
        <v>45945</v>
      </c>
    </row>
    <row r="12" spans="1:37" ht="15" customHeight="1">
      <c r="A12" s="2" t="s">
        <v>290</v>
      </c>
      <c r="B12" s="2">
        <v>3030</v>
      </c>
      <c r="C12" s="2" t="s">
        <v>287</v>
      </c>
      <c r="D12" s="2" t="s">
        <v>272</v>
      </c>
      <c r="E12" s="2" t="s">
        <v>288</v>
      </c>
      <c r="F12" s="3">
        <v>45945</v>
      </c>
      <c r="G12" s="3">
        <v>45945</v>
      </c>
      <c r="H12" s="3">
        <v>45945</v>
      </c>
      <c r="I12" s="2"/>
      <c r="J12" s="2"/>
      <c r="K12" s="2" t="s">
        <v>25</v>
      </c>
      <c r="L12" s="2" t="s">
        <v>26</v>
      </c>
      <c r="M12" s="2"/>
      <c r="N12" s="2" t="s">
        <v>27</v>
      </c>
      <c r="O12" s="2">
        <v>785.59</v>
      </c>
      <c r="P12" s="2">
        <v>141.41</v>
      </c>
      <c r="Q12" s="2">
        <v>927</v>
      </c>
      <c r="R12" s="2">
        <v>927</v>
      </c>
      <c r="S12" s="2">
        <v>927</v>
      </c>
      <c r="T12" s="2" t="s">
        <v>28</v>
      </c>
      <c r="U12" s="2" t="b">
        <v>0</v>
      </c>
      <c r="V12" s="2" t="s">
        <v>29</v>
      </c>
      <c r="W12" s="2" t="s">
        <v>30</v>
      </c>
      <c r="X12" s="2"/>
      <c r="Y12" s="2"/>
      <c r="Z12" s="2" t="s">
        <v>31</v>
      </c>
      <c r="AA12" s="2"/>
      <c r="AB12" s="2"/>
      <c r="AC12" s="2"/>
      <c r="AD12" s="2"/>
      <c r="AK12" s="8">
        <f t="shared" si="0"/>
        <v>45945</v>
      </c>
    </row>
    <row r="13" spans="1:37" ht="15" customHeight="1">
      <c r="A13" s="2" t="s">
        <v>291</v>
      </c>
      <c r="B13" s="2">
        <v>3030</v>
      </c>
      <c r="C13" s="2" t="s">
        <v>287</v>
      </c>
      <c r="D13" s="2" t="s">
        <v>272</v>
      </c>
      <c r="E13" s="2" t="s">
        <v>288</v>
      </c>
      <c r="F13" s="3">
        <v>45945</v>
      </c>
      <c r="G13" s="3">
        <v>45945</v>
      </c>
      <c r="H13" s="3">
        <v>45945</v>
      </c>
      <c r="I13" s="2"/>
      <c r="J13" s="2"/>
      <c r="K13" s="2" t="s">
        <v>25</v>
      </c>
      <c r="L13" s="2" t="s">
        <v>26</v>
      </c>
      <c r="M13" s="2"/>
      <c r="N13" s="2" t="s">
        <v>27</v>
      </c>
      <c r="O13" s="2">
        <v>943.14</v>
      </c>
      <c r="P13" s="2">
        <v>169.77</v>
      </c>
      <c r="Q13" s="2">
        <v>1112.9100000000001</v>
      </c>
      <c r="R13" s="2">
        <v>1112.9100000000001</v>
      </c>
      <c r="S13" s="2">
        <v>1112.9100000000001</v>
      </c>
      <c r="T13" s="2" t="s">
        <v>28</v>
      </c>
      <c r="U13" s="2" t="b">
        <v>0</v>
      </c>
      <c r="V13" s="2" t="s">
        <v>29</v>
      </c>
      <c r="W13" s="2" t="s">
        <v>30</v>
      </c>
      <c r="X13" s="2"/>
      <c r="Y13" s="2"/>
      <c r="Z13" s="2" t="s">
        <v>31</v>
      </c>
      <c r="AA13" s="2"/>
      <c r="AB13" s="2"/>
      <c r="AC13" s="2"/>
      <c r="AD13" s="2"/>
      <c r="AK13" s="8">
        <f t="shared" si="0"/>
        <v>45945</v>
      </c>
    </row>
    <row r="14" spans="1:37" ht="15" customHeight="1">
      <c r="A14" s="2" t="s">
        <v>292</v>
      </c>
      <c r="B14" s="2">
        <v>2953</v>
      </c>
      <c r="C14" s="2" t="s">
        <v>293</v>
      </c>
      <c r="D14" s="2" t="s">
        <v>272</v>
      </c>
      <c r="E14" s="2" t="s">
        <v>294</v>
      </c>
      <c r="F14" s="3">
        <v>45945</v>
      </c>
      <c r="G14" s="3">
        <v>45945</v>
      </c>
      <c r="H14" s="3">
        <v>45945</v>
      </c>
      <c r="I14" s="2"/>
      <c r="J14" s="2"/>
      <c r="K14" s="2" t="s">
        <v>25</v>
      </c>
      <c r="L14" s="2" t="s">
        <v>26</v>
      </c>
      <c r="M14" s="2"/>
      <c r="N14" s="2" t="s">
        <v>27</v>
      </c>
      <c r="O14" s="2">
        <v>30</v>
      </c>
      <c r="P14" s="2">
        <v>5.4</v>
      </c>
      <c r="Q14" s="2">
        <v>35.4</v>
      </c>
      <c r="R14" s="2">
        <v>35.4</v>
      </c>
      <c r="S14" s="2">
        <v>35.4</v>
      </c>
      <c r="T14" s="2" t="s">
        <v>28</v>
      </c>
      <c r="U14" s="2" t="b">
        <v>0</v>
      </c>
      <c r="V14" s="2" t="s">
        <v>29</v>
      </c>
      <c r="W14" s="2" t="s">
        <v>30</v>
      </c>
      <c r="X14" s="2"/>
      <c r="Y14" s="2"/>
      <c r="Z14" s="2" t="s">
        <v>31</v>
      </c>
      <c r="AA14" s="2"/>
      <c r="AB14" s="2"/>
      <c r="AC14" s="2"/>
      <c r="AD14" s="2"/>
      <c r="AK14" s="8">
        <f t="shared" si="0"/>
        <v>45945</v>
      </c>
    </row>
    <row r="15" spans="1:37" ht="15" customHeight="1">
      <c r="A15" s="2" t="s">
        <v>295</v>
      </c>
      <c r="B15" s="2">
        <v>2953</v>
      </c>
      <c r="C15" s="2" t="s">
        <v>293</v>
      </c>
      <c r="D15" s="2" t="s">
        <v>272</v>
      </c>
      <c r="E15" s="2" t="s">
        <v>294</v>
      </c>
      <c r="F15" s="3">
        <v>45945</v>
      </c>
      <c r="G15" s="3">
        <v>45945</v>
      </c>
      <c r="H15" s="3">
        <v>45945</v>
      </c>
      <c r="I15" s="2"/>
      <c r="J15" s="2"/>
      <c r="K15" s="2" t="s">
        <v>25</v>
      </c>
      <c r="L15" s="2" t="s">
        <v>26</v>
      </c>
      <c r="M15" s="2"/>
      <c r="N15" s="2" t="s">
        <v>27</v>
      </c>
      <c r="O15" s="2">
        <v>6</v>
      </c>
      <c r="P15" s="2">
        <v>1.08</v>
      </c>
      <c r="Q15" s="2">
        <v>7.08</v>
      </c>
      <c r="R15" s="2">
        <v>7.08</v>
      </c>
      <c r="S15" s="2">
        <v>7.08</v>
      </c>
      <c r="T15" s="2" t="s">
        <v>28</v>
      </c>
      <c r="U15" s="2" t="b">
        <v>0</v>
      </c>
      <c r="V15" s="2" t="s">
        <v>29</v>
      </c>
      <c r="W15" s="2" t="s">
        <v>30</v>
      </c>
      <c r="X15" s="2"/>
      <c r="Y15" s="2"/>
      <c r="Z15" s="2" t="s">
        <v>31</v>
      </c>
      <c r="AA15" s="2"/>
      <c r="AB15" s="2"/>
      <c r="AC15" s="2"/>
      <c r="AD15" s="2"/>
      <c r="AK15" s="8">
        <f t="shared" si="0"/>
        <v>45945</v>
      </c>
    </row>
    <row r="16" spans="1:37" ht="15" customHeight="1">
      <c r="A16" s="2" t="s">
        <v>296</v>
      </c>
      <c r="B16" s="2">
        <v>2953</v>
      </c>
      <c r="C16" s="2" t="s">
        <v>293</v>
      </c>
      <c r="D16" s="2" t="s">
        <v>272</v>
      </c>
      <c r="E16" s="2" t="s">
        <v>294</v>
      </c>
      <c r="F16" s="3">
        <v>45945</v>
      </c>
      <c r="G16" s="3">
        <v>45945</v>
      </c>
      <c r="H16" s="3">
        <v>45945</v>
      </c>
      <c r="I16" s="2"/>
      <c r="J16" s="2"/>
      <c r="K16" s="2" t="s">
        <v>25</v>
      </c>
      <c r="L16" s="2" t="s">
        <v>26</v>
      </c>
      <c r="M16" s="2"/>
      <c r="N16" s="2" t="s">
        <v>27</v>
      </c>
      <c r="O16" s="2">
        <v>2687.46</v>
      </c>
      <c r="P16" s="2">
        <v>483.74</v>
      </c>
      <c r="Q16" s="2">
        <v>3171.2</v>
      </c>
      <c r="R16" s="2">
        <v>3171.2</v>
      </c>
      <c r="S16" s="2">
        <v>3171.2</v>
      </c>
      <c r="T16" s="2" t="s">
        <v>28</v>
      </c>
      <c r="U16" s="2" t="b">
        <v>0</v>
      </c>
      <c r="V16" s="2" t="s">
        <v>29</v>
      </c>
      <c r="W16" s="2" t="s">
        <v>30</v>
      </c>
      <c r="X16" s="2"/>
      <c r="Y16" s="2"/>
      <c r="Z16" s="2" t="s">
        <v>31</v>
      </c>
      <c r="AA16" s="2"/>
      <c r="AB16" s="2"/>
      <c r="AC16" s="2"/>
      <c r="AD16" s="2"/>
      <c r="AK16" s="8">
        <f t="shared" si="0"/>
        <v>45945</v>
      </c>
    </row>
    <row r="17" spans="1:37" ht="15" customHeight="1">
      <c r="A17" s="2" t="s">
        <v>297</v>
      </c>
      <c r="B17" s="2">
        <v>2953</v>
      </c>
      <c r="C17" s="2" t="s">
        <v>293</v>
      </c>
      <c r="D17" s="2" t="s">
        <v>272</v>
      </c>
      <c r="E17" s="2" t="s">
        <v>294</v>
      </c>
      <c r="F17" s="3">
        <v>45945</v>
      </c>
      <c r="G17" s="3">
        <v>45945</v>
      </c>
      <c r="H17" s="3">
        <v>45945</v>
      </c>
      <c r="I17" s="2"/>
      <c r="J17" s="2"/>
      <c r="K17" s="2" t="s">
        <v>25</v>
      </c>
      <c r="L17" s="2" t="s">
        <v>26</v>
      </c>
      <c r="M17" s="2"/>
      <c r="N17" s="2" t="s">
        <v>27</v>
      </c>
      <c r="O17" s="2">
        <v>100</v>
      </c>
      <c r="P17" s="2">
        <v>18</v>
      </c>
      <c r="Q17" s="2">
        <v>118</v>
      </c>
      <c r="R17" s="2">
        <v>118</v>
      </c>
      <c r="S17" s="2">
        <v>118</v>
      </c>
      <c r="T17" s="2" t="s">
        <v>28</v>
      </c>
      <c r="U17" s="2" t="b">
        <v>0</v>
      </c>
      <c r="V17" s="2" t="s">
        <v>29</v>
      </c>
      <c r="W17" s="2" t="s">
        <v>30</v>
      </c>
      <c r="X17" s="2"/>
      <c r="Y17" s="2"/>
      <c r="Z17" s="2" t="s">
        <v>31</v>
      </c>
      <c r="AA17" s="2"/>
      <c r="AB17" s="2"/>
      <c r="AC17" s="2"/>
      <c r="AD17" s="2"/>
      <c r="AK17" s="8">
        <f t="shared" si="0"/>
        <v>45945</v>
      </c>
    </row>
    <row r="18" spans="1:37" ht="15" customHeight="1">
      <c r="A18" s="2" t="s">
        <v>298</v>
      </c>
      <c r="B18" s="2">
        <v>2953</v>
      </c>
      <c r="C18" s="2" t="s">
        <v>293</v>
      </c>
      <c r="D18" s="2" t="s">
        <v>272</v>
      </c>
      <c r="E18" s="2" t="s">
        <v>294</v>
      </c>
      <c r="F18" s="3">
        <v>45945</v>
      </c>
      <c r="G18" s="3">
        <v>45945</v>
      </c>
      <c r="H18" s="3">
        <v>45945</v>
      </c>
      <c r="I18" s="2"/>
      <c r="J18" s="2"/>
      <c r="K18" s="2" t="s">
        <v>25</v>
      </c>
      <c r="L18" s="2" t="s">
        <v>26</v>
      </c>
      <c r="M18" s="2"/>
      <c r="N18" s="2" t="s">
        <v>27</v>
      </c>
      <c r="O18" s="2">
        <v>100</v>
      </c>
      <c r="P18" s="2">
        <v>18</v>
      </c>
      <c r="Q18" s="2">
        <v>118</v>
      </c>
      <c r="R18" s="2">
        <v>118</v>
      </c>
      <c r="S18" s="2">
        <v>118</v>
      </c>
      <c r="T18" s="2" t="s">
        <v>28</v>
      </c>
      <c r="U18" s="2" t="b">
        <v>0</v>
      </c>
      <c r="V18" s="2" t="s">
        <v>29</v>
      </c>
      <c r="W18" s="2" t="s">
        <v>30</v>
      </c>
      <c r="X18" s="2"/>
      <c r="Y18" s="2"/>
      <c r="Z18" s="2" t="s">
        <v>31</v>
      </c>
      <c r="AA18" s="2"/>
      <c r="AB18" s="2"/>
      <c r="AC18" s="2"/>
      <c r="AD18" s="2"/>
      <c r="AK18" s="8">
        <f t="shared" si="0"/>
        <v>45945</v>
      </c>
    </row>
    <row r="19" spans="1:37" ht="15" customHeight="1">
      <c r="A19" s="2" t="s">
        <v>299</v>
      </c>
      <c r="B19" s="2">
        <v>2953</v>
      </c>
      <c r="C19" s="2" t="s">
        <v>293</v>
      </c>
      <c r="D19" s="2" t="s">
        <v>272</v>
      </c>
      <c r="E19" s="2" t="s">
        <v>294</v>
      </c>
      <c r="F19" s="3">
        <v>45945</v>
      </c>
      <c r="G19" s="3">
        <v>45945</v>
      </c>
      <c r="H19" s="3">
        <v>45945</v>
      </c>
      <c r="I19" s="2"/>
      <c r="J19" s="2"/>
      <c r="K19" s="2" t="s">
        <v>25</v>
      </c>
      <c r="L19" s="2" t="s">
        <v>26</v>
      </c>
      <c r="M19" s="2"/>
      <c r="N19" s="2" t="s">
        <v>27</v>
      </c>
      <c r="O19" s="2">
        <v>300</v>
      </c>
      <c r="P19" s="2">
        <v>54</v>
      </c>
      <c r="Q19" s="2">
        <v>354</v>
      </c>
      <c r="R19" s="2">
        <v>354</v>
      </c>
      <c r="S19" s="2">
        <v>354</v>
      </c>
      <c r="T19" s="2" t="s">
        <v>28</v>
      </c>
      <c r="U19" s="2" t="b">
        <v>0</v>
      </c>
      <c r="V19" s="2" t="s">
        <v>29</v>
      </c>
      <c r="W19" s="2" t="s">
        <v>30</v>
      </c>
      <c r="X19" s="2"/>
      <c r="Y19" s="2"/>
      <c r="Z19" s="2" t="s">
        <v>31</v>
      </c>
      <c r="AA19" s="2"/>
      <c r="AB19" s="2"/>
      <c r="AC19" s="2"/>
      <c r="AD19" s="2"/>
      <c r="AK19" s="8">
        <f t="shared" si="0"/>
        <v>45945</v>
      </c>
    </row>
    <row r="20" spans="1:37" ht="15" customHeight="1">
      <c r="A20" s="2" t="s">
        <v>300</v>
      </c>
      <c r="B20" s="2">
        <v>2953</v>
      </c>
      <c r="C20" s="2" t="s">
        <v>293</v>
      </c>
      <c r="D20" s="2" t="s">
        <v>272</v>
      </c>
      <c r="E20" s="2" t="s">
        <v>294</v>
      </c>
      <c r="F20" s="3">
        <v>45945</v>
      </c>
      <c r="G20" s="3">
        <v>45945</v>
      </c>
      <c r="H20" s="3">
        <v>45945</v>
      </c>
      <c r="I20" s="2"/>
      <c r="J20" s="2"/>
      <c r="K20" s="2" t="s">
        <v>25</v>
      </c>
      <c r="L20" s="2" t="s">
        <v>26</v>
      </c>
      <c r="M20" s="2"/>
      <c r="N20" s="2" t="s">
        <v>27</v>
      </c>
      <c r="O20" s="2">
        <v>1630.51</v>
      </c>
      <c r="P20" s="2">
        <v>293.49</v>
      </c>
      <c r="Q20" s="2">
        <v>1924</v>
      </c>
      <c r="R20" s="2">
        <v>1924</v>
      </c>
      <c r="S20" s="2">
        <v>1924</v>
      </c>
      <c r="T20" s="2" t="s">
        <v>28</v>
      </c>
      <c r="U20" s="2" t="b">
        <v>0</v>
      </c>
      <c r="V20" s="2" t="s">
        <v>29</v>
      </c>
      <c r="W20" s="2" t="s">
        <v>30</v>
      </c>
      <c r="X20" s="2"/>
      <c r="Y20" s="2"/>
      <c r="Z20" s="2" t="s">
        <v>31</v>
      </c>
      <c r="AA20" s="2"/>
      <c r="AB20" s="2"/>
      <c r="AC20" s="2"/>
      <c r="AD20" s="2"/>
      <c r="AK20" s="8">
        <f t="shared" si="0"/>
        <v>45945</v>
      </c>
    </row>
    <row r="21" spans="1:37" ht="15" customHeight="1">
      <c r="A21" s="2" t="s">
        <v>301</v>
      </c>
      <c r="B21" s="2">
        <v>2953</v>
      </c>
      <c r="C21" s="2" t="s">
        <v>293</v>
      </c>
      <c r="D21" s="2" t="s">
        <v>272</v>
      </c>
      <c r="E21" s="2" t="s">
        <v>294</v>
      </c>
      <c r="F21" s="3">
        <v>45945</v>
      </c>
      <c r="G21" s="3">
        <v>45945</v>
      </c>
      <c r="H21" s="3">
        <v>45945</v>
      </c>
      <c r="I21" s="2"/>
      <c r="J21" s="2"/>
      <c r="K21" s="2" t="s">
        <v>25</v>
      </c>
      <c r="L21" s="2" t="s">
        <v>26</v>
      </c>
      <c r="M21" s="2"/>
      <c r="N21" s="2" t="s">
        <v>27</v>
      </c>
      <c r="O21" s="2">
        <v>988.4</v>
      </c>
      <c r="P21" s="2">
        <v>177.91</v>
      </c>
      <c r="Q21" s="2">
        <v>1166.31</v>
      </c>
      <c r="R21" s="2">
        <v>1166.31</v>
      </c>
      <c r="S21" s="2">
        <v>1166.31</v>
      </c>
      <c r="T21" s="2" t="s">
        <v>28</v>
      </c>
      <c r="U21" s="2" t="b">
        <v>0</v>
      </c>
      <c r="V21" s="2" t="s">
        <v>29</v>
      </c>
      <c r="W21" s="2" t="s">
        <v>30</v>
      </c>
      <c r="X21" s="2"/>
      <c r="Y21" s="2"/>
      <c r="Z21" s="2" t="s">
        <v>31</v>
      </c>
      <c r="AA21" s="2"/>
      <c r="AB21" s="2"/>
      <c r="AC21" s="2"/>
      <c r="AD21" s="2"/>
      <c r="AK21" s="8">
        <f t="shared" si="0"/>
        <v>45945</v>
      </c>
    </row>
    <row r="22" spans="1:37" ht="15" customHeight="1">
      <c r="A22" s="2" t="s">
        <v>302</v>
      </c>
      <c r="B22" s="2">
        <v>2953</v>
      </c>
      <c r="C22" s="2" t="s">
        <v>293</v>
      </c>
      <c r="D22" s="2" t="s">
        <v>272</v>
      </c>
      <c r="E22" s="2" t="s">
        <v>294</v>
      </c>
      <c r="F22" s="3">
        <v>45945</v>
      </c>
      <c r="G22" s="3">
        <v>45945</v>
      </c>
      <c r="H22" s="3">
        <v>45945</v>
      </c>
      <c r="I22" s="2"/>
      <c r="J22" s="2"/>
      <c r="K22" s="2" t="s">
        <v>25</v>
      </c>
      <c r="L22" s="2" t="s">
        <v>26</v>
      </c>
      <c r="M22" s="2"/>
      <c r="N22" s="2" t="s">
        <v>27</v>
      </c>
      <c r="O22" s="2">
        <v>904.65</v>
      </c>
      <c r="P22" s="2">
        <v>162.84</v>
      </c>
      <c r="Q22" s="2">
        <v>1067.49</v>
      </c>
      <c r="R22" s="2">
        <v>1067.49</v>
      </c>
      <c r="S22" s="2">
        <v>1067.49</v>
      </c>
      <c r="T22" s="2" t="s">
        <v>28</v>
      </c>
      <c r="U22" s="2" t="b">
        <v>0</v>
      </c>
      <c r="V22" s="2" t="s">
        <v>29</v>
      </c>
      <c r="W22" s="2" t="s">
        <v>30</v>
      </c>
      <c r="X22" s="2"/>
      <c r="Y22" s="2"/>
      <c r="Z22" s="2" t="s">
        <v>31</v>
      </c>
      <c r="AA22" s="2"/>
      <c r="AB22" s="2"/>
      <c r="AC22" s="2"/>
      <c r="AD22" s="2"/>
      <c r="AK22" s="8">
        <f t="shared" si="0"/>
        <v>45945</v>
      </c>
    </row>
    <row r="23" spans="1:37" ht="15" customHeight="1">
      <c r="A23" s="2" t="s">
        <v>303</v>
      </c>
      <c r="B23" s="2">
        <v>3081</v>
      </c>
      <c r="C23" s="2" t="s">
        <v>304</v>
      </c>
      <c r="D23" s="2" t="s">
        <v>305</v>
      </c>
      <c r="E23" s="2" t="s">
        <v>32</v>
      </c>
      <c r="F23" s="3">
        <v>45945</v>
      </c>
      <c r="G23" s="3">
        <v>45945</v>
      </c>
      <c r="H23" s="3">
        <v>45945</v>
      </c>
      <c r="I23" s="2"/>
      <c r="J23" s="2"/>
      <c r="K23" s="2" t="s">
        <v>25</v>
      </c>
      <c r="L23" s="2" t="s">
        <v>26</v>
      </c>
      <c r="M23" s="2"/>
      <c r="N23" s="2" t="s">
        <v>27</v>
      </c>
      <c r="O23" s="2">
        <v>14.5</v>
      </c>
      <c r="P23" s="2">
        <v>2.61</v>
      </c>
      <c r="Q23" s="2">
        <v>17.11</v>
      </c>
      <c r="R23" s="2">
        <v>17.11</v>
      </c>
      <c r="S23" s="2">
        <v>17.11</v>
      </c>
      <c r="T23" s="2" t="s">
        <v>28</v>
      </c>
      <c r="U23" s="2" t="b">
        <v>0</v>
      </c>
      <c r="V23" s="2" t="s">
        <v>29</v>
      </c>
      <c r="W23" s="2" t="s">
        <v>30</v>
      </c>
      <c r="X23" s="2"/>
      <c r="Y23" s="2"/>
      <c r="Z23" s="2" t="s">
        <v>31</v>
      </c>
      <c r="AA23" s="2"/>
      <c r="AB23" s="2"/>
      <c r="AC23" s="2"/>
      <c r="AD23" s="2"/>
      <c r="AK23" s="8">
        <f t="shared" si="0"/>
        <v>45945</v>
      </c>
    </row>
    <row r="24" spans="1:37" ht="15" customHeight="1">
      <c r="A24" s="2" t="s">
        <v>306</v>
      </c>
      <c r="B24" s="2">
        <v>3081</v>
      </c>
      <c r="C24" s="2" t="s">
        <v>304</v>
      </c>
      <c r="D24" s="2" t="s">
        <v>305</v>
      </c>
      <c r="E24" s="2" t="s">
        <v>32</v>
      </c>
      <c r="F24" s="3">
        <v>45945</v>
      </c>
      <c r="G24" s="3">
        <v>45945</v>
      </c>
      <c r="H24" s="3">
        <v>45945</v>
      </c>
      <c r="I24" s="2"/>
      <c r="J24" s="2"/>
      <c r="K24" s="2" t="s">
        <v>25</v>
      </c>
      <c r="L24" s="2" t="s">
        <v>26</v>
      </c>
      <c r="M24" s="2"/>
      <c r="N24" s="2" t="s">
        <v>27</v>
      </c>
      <c r="O24" s="2">
        <v>84.5</v>
      </c>
      <c r="P24" s="2">
        <v>15.21</v>
      </c>
      <c r="Q24" s="2">
        <v>99.71</v>
      </c>
      <c r="R24" s="2">
        <v>99.71</v>
      </c>
      <c r="S24" s="2">
        <v>99.71</v>
      </c>
      <c r="T24" s="2" t="s">
        <v>28</v>
      </c>
      <c r="U24" s="2" t="b">
        <v>0</v>
      </c>
      <c r="V24" s="2" t="s">
        <v>29</v>
      </c>
      <c r="W24" s="2" t="s">
        <v>30</v>
      </c>
      <c r="X24" s="2"/>
      <c r="Y24" s="2"/>
      <c r="Z24" s="2" t="s">
        <v>31</v>
      </c>
      <c r="AA24" s="2"/>
      <c r="AB24" s="2"/>
      <c r="AC24" s="2"/>
      <c r="AD24" s="2"/>
      <c r="AK24" s="8">
        <f t="shared" si="0"/>
        <v>45945</v>
      </c>
    </row>
    <row r="25" spans="1:37" ht="15" customHeight="1">
      <c r="A25" s="2" t="s">
        <v>307</v>
      </c>
      <c r="B25" s="2">
        <v>3081</v>
      </c>
      <c r="C25" s="2" t="s">
        <v>304</v>
      </c>
      <c r="D25" s="2" t="s">
        <v>305</v>
      </c>
      <c r="E25" s="2" t="s">
        <v>32</v>
      </c>
      <c r="F25" s="3">
        <v>45945</v>
      </c>
      <c r="G25" s="3">
        <v>45945</v>
      </c>
      <c r="H25" s="3">
        <v>45945</v>
      </c>
      <c r="I25" s="2"/>
      <c r="J25" s="2"/>
      <c r="K25" s="2" t="s">
        <v>25</v>
      </c>
      <c r="L25" s="2" t="s">
        <v>26</v>
      </c>
      <c r="M25" s="2"/>
      <c r="N25" s="2" t="s">
        <v>27</v>
      </c>
      <c r="O25" s="2">
        <v>150</v>
      </c>
      <c r="P25" s="2">
        <v>27</v>
      </c>
      <c r="Q25" s="2">
        <v>177</v>
      </c>
      <c r="R25" s="2">
        <v>177</v>
      </c>
      <c r="S25" s="2">
        <v>177</v>
      </c>
      <c r="T25" s="2" t="s">
        <v>28</v>
      </c>
      <c r="U25" s="2" t="b">
        <v>0</v>
      </c>
      <c r="V25" s="2" t="s">
        <v>29</v>
      </c>
      <c r="W25" s="2" t="s">
        <v>30</v>
      </c>
      <c r="X25" s="2"/>
      <c r="Y25" s="2"/>
      <c r="Z25" s="2" t="s">
        <v>31</v>
      </c>
      <c r="AA25" s="2"/>
      <c r="AB25" s="2"/>
      <c r="AC25" s="2"/>
      <c r="AD25" s="2"/>
      <c r="AK25" s="8">
        <f t="shared" si="0"/>
        <v>45945</v>
      </c>
    </row>
    <row r="26" spans="1:37" ht="15" customHeight="1">
      <c r="A26" s="2" t="s">
        <v>308</v>
      </c>
      <c r="B26" s="2">
        <v>3081</v>
      </c>
      <c r="C26" s="2" t="s">
        <v>304</v>
      </c>
      <c r="D26" s="2" t="s">
        <v>305</v>
      </c>
      <c r="E26" s="2" t="s">
        <v>32</v>
      </c>
      <c r="F26" s="3">
        <v>45945</v>
      </c>
      <c r="G26" s="3">
        <v>45945</v>
      </c>
      <c r="H26" s="3">
        <v>45945</v>
      </c>
      <c r="I26" s="2"/>
      <c r="J26" s="2"/>
      <c r="K26" s="2" t="s">
        <v>25</v>
      </c>
      <c r="L26" s="2" t="s">
        <v>26</v>
      </c>
      <c r="M26" s="2"/>
      <c r="N26" s="2" t="s">
        <v>27</v>
      </c>
      <c r="O26" s="2">
        <v>1600</v>
      </c>
      <c r="P26" s="2">
        <v>288</v>
      </c>
      <c r="Q26" s="2">
        <v>1888</v>
      </c>
      <c r="R26" s="2">
        <v>1888</v>
      </c>
      <c r="S26" s="2">
        <v>1888</v>
      </c>
      <c r="T26" s="2" t="s">
        <v>28</v>
      </c>
      <c r="U26" s="2" t="b">
        <v>0</v>
      </c>
      <c r="V26" s="2" t="s">
        <v>29</v>
      </c>
      <c r="W26" s="2" t="s">
        <v>30</v>
      </c>
      <c r="X26" s="2"/>
      <c r="Y26" s="2"/>
      <c r="Z26" s="2" t="s">
        <v>31</v>
      </c>
      <c r="AA26" s="2"/>
      <c r="AB26" s="2"/>
      <c r="AC26" s="2"/>
      <c r="AD26" s="2"/>
      <c r="AK26" s="8">
        <f t="shared" si="0"/>
        <v>45945</v>
      </c>
    </row>
    <row r="27" spans="1:37" ht="15" customHeight="1">
      <c r="A27" s="2" t="s">
        <v>309</v>
      </c>
      <c r="B27" s="2">
        <v>3081</v>
      </c>
      <c r="C27" s="2" t="s">
        <v>304</v>
      </c>
      <c r="D27" s="2" t="s">
        <v>305</v>
      </c>
      <c r="E27" s="2" t="s">
        <v>32</v>
      </c>
      <c r="F27" s="3">
        <v>45945</v>
      </c>
      <c r="G27" s="3">
        <v>45945</v>
      </c>
      <c r="H27" s="3">
        <v>45945</v>
      </c>
      <c r="I27" s="2"/>
      <c r="J27" s="2"/>
      <c r="K27" s="2" t="s">
        <v>25</v>
      </c>
      <c r="L27" s="2" t="s">
        <v>26</v>
      </c>
      <c r="M27" s="2"/>
      <c r="N27" s="2" t="s">
        <v>27</v>
      </c>
      <c r="O27" s="2">
        <v>1000</v>
      </c>
      <c r="P27" s="2">
        <v>180</v>
      </c>
      <c r="Q27" s="2">
        <v>1180</v>
      </c>
      <c r="R27" s="2">
        <v>1180</v>
      </c>
      <c r="S27" s="2">
        <v>1180</v>
      </c>
      <c r="T27" s="2" t="s">
        <v>28</v>
      </c>
      <c r="U27" s="2" t="b">
        <v>0</v>
      </c>
      <c r="V27" s="2" t="s">
        <v>29</v>
      </c>
      <c r="W27" s="2" t="s">
        <v>30</v>
      </c>
      <c r="X27" s="2"/>
      <c r="Y27" s="2"/>
      <c r="Z27" s="2" t="s">
        <v>31</v>
      </c>
      <c r="AA27" s="2"/>
      <c r="AB27" s="2"/>
      <c r="AC27" s="2"/>
      <c r="AD27" s="2"/>
      <c r="AK27" s="8">
        <f t="shared" si="0"/>
        <v>45945</v>
      </c>
    </row>
    <row r="28" spans="1:37" ht="15" customHeight="1">
      <c r="A28" s="2" t="s">
        <v>310</v>
      </c>
      <c r="B28" s="2">
        <v>3081</v>
      </c>
      <c r="C28" s="2" t="s">
        <v>304</v>
      </c>
      <c r="D28" s="2" t="s">
        <v>305</v>
      </c>
      <c r="E28" s="2" t="s">
        <v>32</v>
      </c>
      <c r="F28" s="3">
        <v>45945</v>
      </c>
      <c r="G28" s="3">
        <v>45945</v>
      </c>
      <c r="H28" s="3">
        <v>45945</v>
      </c>
      <c r="I28" s="2"/>
      <c r="J28" s="2"/>
      <c r="K28" s="2" t="s">
        <v>25</v>
      </c>
      <c r="L28" s="2" t="s">
        <v>26</v>
      </c>
      <c r="M28" s="2"/>
      <c r="N28" s="2" t="s">
        <v>27</v>
      </c>
      <c r="O28" s="2">
        <v>6305.08</v>
      </c>
      <c r="P28" s="2">
        <v>1134.9100000000001</v>
      </c>
      <c r="Q28" s="2">
        <v>7439.99</v>
      </c>
      <c r="R28" s="2">
        <v>7439.99</v>
      </c>
      <c r="S28" s="2">
        <v>7439.99</v>
      </c>
      <c r="T28" s="2" t="s">
        <v>28</v>
      </c>
      <c r="U28" s="2" t="b">
        <v>0</v>
      </c>
      <c r="V28" s="2" t="s">
        <v>29</v>
      </c>
      <c r="W28" s="2" t="s">
        <v>30</v>
      </c>
      <c r="X28" s="2"/>
      <c r="Y28" s="2"/>
      <c r="Z28" s="2" t="s">
        <v>31</v>
      </c>
      <c r="AA28" s="2"/>
      <c r="AB28" s="2"/>
      <c r="AC28" s="2"/>
      <c r="AD28" s="2"/>
      <c r="AK28" s="8">
        <f t="shared" si="0"/>
        <v>45945</v>
      </c>
    </row>
    <row r="29" spans="1:37" ht="15" customHeight="1">
      <c r="A29" s="2" t="s">
        <v>311</v>
      </c>
      <c r="B29" s="2">
        <v>3081</v>
      </c>
      <c r="C29" s="2" t="s">
        <v>304</v>
      </c>
      <c r="D29" s="2" t="s">
        <v>305</v>
      </c>
      <c r="E29" s="2" t="s">
        <v>32</v>
      </c>
      <c r="F29" s="3">
        <v>45945</v>
      </c>
      <c r="G29" s="3">
        <v>45945</v>
      </c>
      <c r="H29" s="3">
        <v>45945</v>
      </c>
      <c r="I29" s="2"/>
      <c r="J29" s="2"/>
      <c r="K29" s="2" t="s">
        <v>25</v>
      </c>
      <c r="L29" s="2" t="s">
        <v>26</v>
      </c>
      <c r="M29" s="2"/>
      <c r="N29" s="2" t="s">
        <v>27</v>
      </c>
      <c r="O29" s="2">
        <v>2880.59</v>
      </c>
      <c r="P29" s="2">
        <v>518.51</v>
      </c>
      <c r="Q29" s="2">
        <v>3399.1</v>
      </c>
      <c r="R29" s="2">
        <v>3399.1</v>
      </c>
      <c r="S29" s="2">
        <v>3399.1</v>
      </c>
      <c r="T29" s="2" t="s">
        <v>28</v>
      </c>
      <c r="U29" s="2" t="b">
        <v>0</v>
      </c>
      <c r="V29" s="2" t="s">
        <v>29</v>
      </c>
      <c r="W29" s="2" t="s">
        <v>30</v>
      </c>
      <c r="X29" s="2"/>
      <c r="Y29" s="2"/>
      <c r="Z29" s="2" t="s">
        <v>31</v>
      </c>
      <c r="AA29" s="2"/>
      <c r="AB29" s="2"/>
      <c r="AC29" s="2"/>
      <c r="AD29" s="2"/>
      <c r="AK29" s="8">
        <f t="shared" si="0"/>
        <v>45945</v>
      </c>
    </row>
    <row r="30" spans="1:37" ht="15" customHeight="1">
      <c r="A30" s="2" t="s">
        <v>312</v>
      </c>
      <c r="B30" s="2">
        <v>3188</v>
      </c>
      <c r="C30" s="2" t="s">
        <v>313</v>
      </c>
      <c r="D30" s="2" t="s">
        <v>305</v>
      </c>
      <c r="E30" s="2" t="s">
        <v>314</v>
      </c>
      <c r="F30" s="3">
        <v>45945</v>
      </c>
      <c r="G30" s="3">
        <v>45945</v>
      </c>
      <c r="H30" s="3">
        <v>45945</v>
      </c>
      <c r="I30" s="2"/>
      <c r="J30" s="2"/>
      <c r="K30" s="2" t="s">
        <v>25</v>
      </c>
      <c r="L30" s="2" t="s">
        <v>26</v>
      </c>
      <c r="M30" s="2"/>
      <c r="N30" s="2" t="s">
        <v>27</v>
      </c>
      <c r="O30" s="2">
        <v>369.41</v>
      </c>
      <c r="P30" s="2">
        <v>66.489999999999995</v>
      </c>
      <c r="Q30" s="2">
        <v>435.9</v>
      </c>
      <c r="R30" s="2">
        <v>435.9</v>
      </c>
      <c r="S30" s="2">
        <v>435.9</v>
      </c>
      <c r="T30" s="2" t="s">
        <v>28</v>
      </c>
      <c r="U30" s="2" t="b">
        <v>0</v>
      </c>
      <c r="V30" s="2" t="s">
        <v>29</v>
      </c>
      <c r="W30" s="2" t="s">
        <v>30</v>
      </c>
      <c r="X30" s="2"/>
      <c r="Y30" s="2"/>
      <c r="Z30" s="2" t="s">
        <v>31</v>
      </c>
      <c r="AA30" s="2"/>
      <c r="AB30" s="2"/>
      <c r="AC30" s="2"/>
      <c r="AD30" s="2"/>
      <c r="AK30" s="8">
        <f t="shared" si="0"/>
        <v>45945</v>
      </c>
    </row>
    <row r="31" spans="1:37" ht="15" customHeight="1">
      <c r="A31" s="2" t="s">
        <v>315</v>
      </c>
      <c r="B31" s="2">
        <v>3188</v>
      </c>
      <c r="C31" s="2" t="s">
        <v>313</v>
      </c>
      <c r="D31" s="2" t="s">
        <v>305</v>
      </c>
      <c r="E31" s="2" t="s">
        <v>314</v>
      </c>
      <c r="F31" s="3">
        <v>45945</v>
      </c>
      <c r="G31" s="3">
        <v>45945</v>
      </c>
      <c r="H31" s="3">
        <v>45945</v>
      </c>
      <c r="I31" s="2"/>
      <c r="J31" s="2"/>
      <c r="K31" s="2" t="s">
        <v>25</v>
      </c>
      <c r="L31" s="2" t="s">
        <v>26</v>
      </c>
      <c r="M31" s="2"/>
      <c r="N31" s="2" t="s">
        <v>27</v>
      </c>
      <c r="O31" s="2">
        <v>256.61</v>
      </c>
      <c r="P31" s="2">
        <v>46.19</v>
      </c>
      <c r="Q31" s="2">
        <v>302.8</v>
      </c>
      <c r="R31" s="2">
        <v>302.8</v>
      </c>
      <c r="S31" s="2">
        <v>302.8</v>
      </c>
      <c r="T31" s="2" t="s">
        <v>28</v>
      </c>
      <c r="U31" s="2" t="b">
        <v>0</v>
      </c>
      <c r="V31" s="2" t="s">
        <v>29</v>
      </c>
      <c r="W31" s="2" t="s">
        <v>30</v>
      </c>
      <c r="X31" s="2"/>
      <c r="Y31" s="2"/>
      <c r="Z31" s="2" t="s">
        <v>31</v>
      </c>
      <c r="AA31" s="2"/>
      <c r="AB31" s="2"/>
      <c r="AC31" s="2"/>
      <c r="AD31" s="2"/>
      <c r="AK31" s="8">
        <f t="shared" si="0"/>
        <v>45945</v>
      </c>
    </row>
    <row r="32" spans="1:37" ht="15" customHeight="1">
      <c r="A32" s="2" t="s">
        <v>316</v>
      </c>
      <c r="B32" s="2">
        <v>3051</v>
      </c>
      <c r="C32" s="2" t="s">
        <v>317</v>
      </c>
      <c r="D32" s="2" t="s">
        <v>305</v>
      </c>
      <c r="E32" s="2" t="s">
        <v>32</v>
      </c>
      <c r="F32" s="3">
        <v>45945</v>
      </c>
      <c r="G32" s="3">
        <v>45945</v>
      </c>
      <c r="H32" s="3">
        <v>45945</v>
      </c>
      <c r="I32" s="2"/>
      <c r="J32" s="2"/>
      <c r="K32" s="2" t="s">
        <v>25</v>
      </c>
      <c r="L32" s="2" t="s">
        <v>26</v>
      </c>
      <c r="M32" s="2"/>
      <c r="N32" s="2" t="s">
        <v>27</v>
      </c>
      <c r="O32" s="2">
        <v>33.9</v>
      </c>
      <c r="P32" s="2">
        <v>6.1</v>
      </c>
      <c r="Q32" s="2">
        <v>40</v>
      </c>
      <c r="R32" s="2">
        <v>40</v>
      </c>
      <c r="S32" s="2">
        <v>40</v>
      </c>
      <c r="T32" s="2" t="s">
        <v>28</v>
      </c>
      <c r="U32" s="2" t="b">
        <v>0</v>
      </c>
      <c r="V32" s="2" t="s">
        <v>29</v>
      </c>
      <c r="W32" s="2" t="s">
        <v>30</v>
      </c>
      <c r="X32" s="2"/>
      <c r="Y32" s="2"/>
      <c r="Z32" s="2" t="s">
        <v>31</v>
      </c>
      <c r="AA32" s="2"/>
      <c r="AB32" s="2"/>
      <c r="AC32" s="2"/>
      <c r="AD32" s="2"/>
      <c r="AK32" s="8">
        <f t="shared" si="0"/>
        <v>45945</v>
      </c>
    </row>
    <row r="33" spans="1:37" ht="15" customHeight="1">
      <c r="A33" s="2" t="s">
        <v>318</v>
      </c>
      <c r="B33" s="2">
        <v>3051</v>
      </c>
      <c r="C33" s="2" t="s">
        <v>317</v>
      </c>
      <c r="D33" s="2" t="s">
        <v>305</v>
      </c>
      <c r="E33" s="2" t="s">
        <v>32</v>
      </c>
      <c r="F33" s="3">
        <v>45945</v>
      </c>
      <c r="G33" s="3">
        <v>45945</v>
      </c>
      <c r="H33" s="3">
        <v>45945</v>
      </c>
      <c r="I33" s="2"/>
      <c r="J33" s="2"/>
      <c r="K33" s="2" t="s">
        <v>25</v>
      </c>
      <c r="L33" s="2" t="s">
        <v>26</v>
      </c>
      <c r="M33" s="2"/>
      <c r="N33" s="2" t="s">
        <v>27</v>
      </c>
      <c r="O33" s="2">
        <v>1400</v>
      </c>
      <c r="P33" s="2">
        <v>252</v>
      </c>
      <c r="Q33" s="2">
        <v>1652</v>
      </c>
      <c r="R33" s="2">
        <v>1652</v>
      </c>
      <c r="S33" s="2">
        <v>1652</v>
      </c>
      <c r="T33" s="2" t="s">
        <v>28</v>
      </c>
      <c r="U33" s="2" t="b">
        <v>0</v>
      </c>
      <c r="V33" s="2" t="s">
        <v>29</v>
      </c>
      <c r="W33" s="2" t="s">
        <v>30</v>
      </c>
      <c r="X33" s="2"/>
      <c r="Y33" s="2"/>
      <c r="Z33" s="2" t="s">
        <v>31</v>
      </c>
      <c r="AA33" s="2"/>
      <c r="AB33" s="2"/>
      <c r="AC33" s="2"/>
      <c r="AD33" s="2"/>
      <c r="AK33" s="8">
        <f t="shared" si="0"/>
        <v>45945</v>
      </c>
    </row>
    <row r="34" spans="1:37" ht="15" customHeight="1">
      <c r="A34" s="2" t="s">
        <v>319</v>
      </c>
      <c r="B34" s="2">
        <v>3051</v>
      </c>
      <c r="C34" s="2" t="s">
        <v>317</v>
      </c>
      <c r="D34" s="2" t="s">
        <v>305</v>
      </c>
      <c r="E34" s="2" t="s">
        <v>32</v>
      </c>
      <c r="F34" s="3">
        <v>45945</v>
      </c>
      <c r="G34" s="3">
        <v>45945</v>
      </c>
      <c r="H34" s="3">
        <v>45945</v>
      </c>
      <c r="I34" s="2"/>
      <c r="J34" s="2"/>
      <c r="K34" s="2" t="s">
        <v>25</v>
      </c>
      <c r="L34" s="2" t="s">
        <v>26</v>
      </c>
      <c r="M34" s="2"/>
      <c r="N34" s="2" t="s">
        <v>27</v>
      </c>
      <c r="O34" s="2">
        <v>3741.1</v>
      </c>
      <c r="P34" s="2">
        <v>673.4</v>
      </c>
      <c r="Q34" s="2">
        <v>4414.5</v>
      </c>
      <c r="R34" s="2">
        <v>4414.5</v>
      </c>
      <c r="S34" s="2">
        <v>4414.5</v>
      </c>
      <c r="T34" s="2" t="s">
        <v>28</v>
      </c>
      <c r="U34" s="2" t="b">
        <v>0</v>
      </c>
      <c r="V34" s="2" t="s">
        <v>29</v>
      </c>
      <c r="W34" s="2" t="s">
        <v>30</v>
      </c>
      <c r="X34" s="2"/>
      <c r="Y34" s="2"/>
      <c r="Z34" s="2" t="s">
        <v>31</v>
      </c>
      <c r="AA34" s="2"/>
      <c r="AB34" s="2"/>
      <c r="AC34" s="2"/>
      <c r="AD34" s="2"/>
      <c r="AK34" s="8">
        <f t="shared" si="0"/>
        <v>45945</v>
      </c>
    </row>
    <row r="35" spans="1:37" ht="15" customHeight="1">
      <c r="A35" s="2" t="s">
        <v>320</v>
      </c>
      <c r="B35" s="2">
        <v>3051</v>
      </c>
      <c r="C35" s="2" t="s">
        <v>317</v>
      </c>
      <c r="D35" s="2" t="s">
        <v>305</v>
      </c>
      <c r="E35" s="2" t="s">
        <v>32</v>
      </c>
      <c r="F35" s="3">
        <v>45945</v>
      </c>
      <c r="G35" s="3">
        <v>45945</v>
      </c>
      <c r="H35" s="3">
        <v>45945</v>
      </c>
      <c r="I35" s="2"/>
      <c r="J35" s="2"/>
      <c r="K35" s="2" t="s">
        <v>25</v>
      </c>
      <c r="L35" s="2" t="s">
        <v>26</v>
      </c>
      <c r="M35" s="2"/>
      <c r="N35" s="2" t="s">
        <v>27</v>
      </c>
      <c r="O35" s="2">
        <v>1571.02</v>
      </c>
      <c r="P35" s="2">
        <v>282.77999999999997</v>
      </c>
      <c r="Q35" s="2">
        <v>1853.8</v>
      </c>
      <c r="R35" s="2">
        <v>1853.8</v>
      </c>
      <c r="S35" s="2">
        <v>1853.8</v>
      </c>
      <c r="T35" s="2" t="s">
        <v>28</v>
      </c>
      <c r="U35" s="2" t="b">
        <v>0</v>
      </c>
      <c r="V35" s="2" t="s">
        <v>29</v>
      </c>
      <c r="W35" s="2" t="s">
        <v>30</v>
      </c>
      <c r="X35" s="2"/>
      <c r="Y35" s="2"/>
      <c r="Z35" s="2" t="s">
        <v>31</v>
      </c>
      <c r="AA35" s="2"/>
      <c r="AB35" s="2"/>
      <c r="AC35" s="2"/>
      <c r="AD35" s="2"/>
      <c r="AK35" s="8">
        <f t="shared" si="0"/>
        <v>45945</v>
      </c>
    </row>
    <row r="36" spans="1:37" ht="15" customHeight="1">
      <c r="A36" s="2" t="s">
        <v>321</v>
      </c>
      <c r="B36" s="2">
        <v>2897</v>
      </c>
      <c r="C36" s="2" t="s">
        <v>322</v>
      </c>
      <c r="D36" s="2" t="s">
        <v>305</v>
      </c>
      <c r="E36" s="2" t="s">
        <v>323</v>
      </c>
      <c r="F36" s="3">
        <v>45945</v>
      </c>
      <c r="G36" s="3">
        <v>45945</v>
      </c>
      <c r="H36" s="3">
        <v>45945</v>
      </c>
      <c r="I36" s="2"/>
      <c r="J36" s="2"/>
      <c r="K36" s="2" t="s">
        <v>25</v>
      </c>
      <c r="L36" s="2" t="s">
        <v>26</v>
      </c>
      <c r="M36" s="2"/>
      <c r="N36" s="2" t="s">
        <v>27</v>
      </c>
      <c r="O36" s="2">
        <v>1820</v>
      </c>
      <c r="P36" s="2">
        <v>327.60000000000002</v>
      </c>
      <c r="Q36" s="2">
        <v>2147.6</v>
      </c>
      <c r="R36" s="2">
        <v>2147.6</v>
      </c>
      <c r="S36" s="2">
        <v>2147.6</v>
      </c>
      <c r="T36" s="2" t="s">
        <v>28</v>
      </c>
      <c r="U36" s="2" t="b">
        <v>0</v>
      </c>
      <c r="V36" s="2" t="s">
        <v>29</v>
      </c>
      <c r="W36" s="2" t="s">
        <v>30</v>
      </c>
      <c r="X36" s="2"/>
      <c r="Y36" s="2"/>
      <c r="Z36" s="2" t="s">
        <v>31</v>
      </c>
      <c r="AA36" s="2"/>
      <c r="AB36" s="2"/>
      <c r="AC36" s="2"/>
      <c r="AD36" s="2"/>
      <c r="AK36" s="8">
        <f t="shared" si="0"/>
        <v>45945</v>
      </c>
    </row>
    <row r="37" spans="1:37" ht="15" customHeight="1">
      <c r="A37" s="2" t="s">
        <v>324</v>
      </c>
      <c r="B37" s="2">
        <v>2897</v>
      </c>
      <c r="C37" s="2" t="s">
        <v>322</v>
      </c>
      <c r="D37" s="2" t="s">
        <v>305</v>
      </c>
      <c r="E37" s="2" t="s">
        <v>323</v>
      </c>
      <c r="F37" s="3">
        <v>45945</v>
      </c>
      <c r="G37" s="3">
        <v>45945</v>
      </c>
      <c r="H37" s="3">
        <v>45945</v>
      </c>
      <c r="I37" s="2"/>
      <c r="J37" s="2"/>
      <c r="K37" s="2" t="s">
        <v>25</v>
      </c>
      <c r="L37" s="2" t="s">
        <v>26</v>
      </c>
      <c r="M37" s="2"/>
      <c r="N37" s="2" t="s">
        <v>27</v>
      </c>
      <c r="O37" s="2">
        <v>2213.98</v>
      </c>
      <c r="P37" s="2">
        <v>398.52</v>
      </c>
      <c r="Q37" s="2">
        <v>2612.5</v>
      </c>
      <c r="R37" s="2">
        <v>2612.5</v>
      </c>
      <c r="S37" s="2">
        <v>2612.5</v>
      </c>
      <c r="T37" s="2" t="s">
        <v>28</v>
      </c>
      <c r="U37" s="2" t="b">
        <v>0</v>
      </c>
      <c r="V37" s="2" t="s">
        <v>29</v>
      </c>
      <c r="W37" s="2" t="s">
        <v>30</v>
      </c>
      <c r="X37" s="2"/>
      <c r="Y37" s="2"/>
      <c r="Z37" s="2" t="s">
        <v>31</v>
      </c>
      <c r="AA37" s="2"/>
      <c r="AB37" s="2"/>
      <c r="AC37" s="2"/>
      <c r="AD37" s="2"/>
      <c r="AK37" s="8">
        <f t="shared" si="0"/>
        <v>45945</v>
      </c>
    </row>
    <row r="38" spans="1:37" ht="15" customHeight="1">
      <c r="A38" s="2" t="s">
        <v>325</v>
      </c>
      <c r="B38" s="2">
        <v>2899</v>
      </c>
      <c r="C38" s="2" t="s">
        <v>326</v>
      </c>
      <c r="D38" s="2" t="s">
        <v>305</v>
      </c>
      <c r="E38" s="2" t="s">
        <v>323</v>
      </c>
      <c r="F38" s="3">
        <v>45945</v>
      </c>
      <c r="G38" s="3">
        <v>45945</v>
      </c>
      <c r="H38" s="3">
        <v>45945</v>
      </c>
      <c r="I38" s="2"/>
      <c r="J38" s="2"/>
      <c r="K38" s="2" t="s">
        <v>25</v>
      </c>
      <c r="L38" s="2" t="s">
        <v>26</v>
      </c>
      <c r="M38" s="2"/>
      <c r="N38" s="2" t="s">
        <v>27</v>
      </c>
      <c r="O38" s="2">
        <v>7.5</v>
      </c>
      <c r="P38" s="2">
        <v>1.35</v>
      </c>
      <c r="Q38" s="2">
        <v>8.85</v>
      </c>
      <c r="R38" s="2">
        <v>8.85</v>
      </c>
      <c r="S38" s="2">
        <v>8.85</v>
      </c>
      <c r="T38" s="2" t="s">
        <v>28</v>
      </c>
      <c r="U38" s="2" t="b">
        <v>0</v>
      </c>
      <c r="V38" s="2" t="s">
        <v>29</v>
      </c>
      <c r="W38" s="2" t="s">
        <v>30</v>
      </c>
      <c r="X38" s="2"/>
      <c r="Y38" s="2"/>
      <c r="Z38" s="2" t="s">
        <v>31</v>
      </c>
      <c r="AA38" s="2"/>
      <c r="AB38" s="2"/>
      <c r="AC38" s="2"/>
      <c r="AD38" s="2"/>
    </row>
    <row r="39" spans="1:37" ht="15" customHeight="1">
      <c r="A39" s="2" t="s">
        <v>327</v>
      </c>
      <c r="B39" s="2">
        <v>2899</v>
      </c>
      <c r="C39" s="2" t="s">
        <v>326</v>
      </c>
      <c r="D39" s="2" t="s">
        <v>305</v>
      </c>
      <c r="E39" s="2" t="s">
        <v>323</v>
      </c>
      <c r="F39" s="3">
        <v>45945</v>
      </c>
      <c r="G39" s="3">
        <v>45945</v>
      </c>
      <c r="H39" s="3">
        <v>45945</v>
      </c>
      <c r="I39" s="2"/>
      <c r="J39" s="2"/>
      <c r="K39" s="2" t="s">
        <v>25</v>
      </c>
      <c r="L39" s="2" t="s">
        <v>26</v>
      </c>
      <c r="M39" s="2"/>
      <c r="N39" s="2" t="s">
        <v>27</v>
      </c>
      <c r="O39" s="2">
        <v>1174.24</v>
      </c>
      <c r="P39" s="2">
        <v>211.36</v>
      </c>
      <c r="Q39" s="2">
        <v>1385.6</v>
      </c>
      <c r="R39" s="2">
        <v>1385.6</v>
      </c>
      <c r="S39" s="2">
        <v>1385.6</v>
      </c>
      <c r="T39" s="2" t="s">
        <v>28</v>
      </c>
      <c r="U39" s="2" t="b">
        <v>0</v>
      </c>
      <c r="V39" s="2" t="s">
        <v>29</v>
      </c>
      <c r="W39" s="2" t="s">
        <v>30</v>
      </c>
      <c r="X39" s="2"/>
      <c r="Y39" s="2"/>
      <c r="Z39" s="2" t="s">
        <v>31</v>
      </c>
      <c r="AA39" s="2"/>
      <c r="AB39" s="2"/>
      <c r="AC39" s="2"/>
      <c r="AD39" s="2"/>
      <c r="AK39" s="8">
        <f t="shared" ref="AK39:AK70" si="1">+IF(AE39&lt;&gt;"",AE39,F39)</f>
        <v>45945</v>
      </c>
    </row>
    <row r="40" spans="1:37" ht="15" customHeight="1">
      <c r="A40" s="2" t="s">
        <v>328</v>
      </c>
      <c r="B40" s="2">
        <v>2899</v>
      </c>
      <c r="C40" s="2" t="s">
        <v>326</v>
      </c>
      <c r="D40" s="2" t="s">
        <v>305</v>
      </c>
      <c r="E40" s="2" t="s">
        <v>323</v>
      </c>
      <c r="F40" s="3">
        <v>45945</v>
      </c>
      <c r="G40" s="3">
        <v>45945</v>
      </c>
      <c r="H40" s="3">
        <v>45945</v>
      </c>
      <c r="I40" s="2"/>
      <c r="J40" s="2"/>
      <c r="K40" s="2" t="s">
        <v>25</v>
      </c>
      <c r="L40" s="2" t="s">
        <v>26</v>
      </c>
      <c r="M40" s="2"/>
      <c r="N40" s="2" t="s">
        <v>27</v>
      </c>
      <c r="O40" s="2">
        <v>1463.05</v>
      </c>
      <c r="P40" s="2">
        <v>263.35000000000002</v>
      </c>
      <c r="Q40" s="2">
        <v>1726.4</v>
      </c>
      <c r="R40" s="2">
        <v>1726.4</v>
      </c>
      <c r="S40" s="2">
        <v>1726.4</v>
      </c>
      <c r="T40" s="2" t="s">
        <v>28</v>
      </c>
      <c r="U40" s="2" t="b">
        <v>0</v>
      </c>
      <c r="V40" s="2" t="s">
        <v>29</v>
      </c>
      <c r="W40" s="2" t="s">
        <v>30</v>
      </c>
      <c r="X40" s="2"/>
      <c r="Y40" s="2"/>
      <c r="Z40" s="2" t="s">
        <v>31</v>
      </c>
      <c r="AA40" s="2"/>
      <c r="AB40" s="2"/>
      <c r="AC40" s="2"/>
      <c r="AD40" s="2"/>
      <c r="AK40" s="8">
        <f t="shared" si="1"/>
        <v>45945</v>
      </c>
    </row>
    <row r="41" spans="1:37" ht="15" customHeight="1">
      <c r="A41" s="2" t="s">
        <v>329</v>
      </c>
      <c r="B41" s="2">
        <v>2898</v>
      </c>
      <c r="C41" s="2" t="s">
        <v>330</v>
      </c>
      <c r="D41" s="2" t="s">
        <v>305</v>
      </c>
      <c r="E41" s="2" t="s">
        <v>323</v>
      </c>
      <c r="F41" s="3">
        <v>45945</v>
      </c>
      <c r="G41" s="3">
        <v>45945</v>
      </c>
      <c r="H41" s="3">
        <v>45945</v>
      </c>
      <c r="I41" s="2"/>
      <c r="J41" s="2"/>
      <c r="K41" s="2" t="s">
        <v>25</v>
      </c>
      <c r="L41" s="2" t="s">
        <v>26</v>
      </c>
      <c r="M41" s="2"/>
      <c r="N41" s="2" t="s">
        <v>27</v>
      </c>
      <c r="O41" s="2">
        <v>6</v>
      </c>
      <c r="P41" s="2">
        <v>1.08</v>
      </c>
      <c r="Q41" s="2">
        <v>7.08</v>
      </c>
      <c r="R41" s="2">
        <v>7.08</v>
      </c>
      <c r="S41" s="2">
        <v>7.08</v>
      </c>
      <c r="T41" s="2" t="s">
        <v>28</v>
      </c>
      <c r="U41" s="2" t="b">
        <v>0</v>
      </c>
      <c r="V41" s="2" t="s">
        <v>29</v>
      </c>
      <c r="W41" s="2" t="s">
        <v>30</v>
      </c>
      <c r="X41" s="2"/>
      <c r="Y41" s="2"/>
      <c r="Z41" s="2" t="s">
        <v>31</v>
      </c>
      <c r="AA41" s="2"/>
      <c r="AB41" s="2"/>
      <c r="AC41" s="2"/>
      <c r="AD41" s="2"/>
      <c r="AK41" s="8">
        <f t="shared" si="1"/>
        <v>45945</v>
      </c>
    </row>
    <row r="42" spans="1:37" ht="15" customHeight="1">
      <c r="A42" s="2" t="s">
        <v>331</v>
      </c>
      <c r="B42" s="2">
        <v>2898</v>
      </c>
      <c r="C42" s="2" t="s">
        <v>330</v>
      </c>
      <c r="D42" s="2" t="s">
        <v>305</v>
      </c>
      <c r="E42" s="2" t="s">
        <v>323</v>
      </c>
      <c r="F42" s="3">
        <v>45945</v>
      </c>
      <c r="G42" s="3">
        <v>45945</v>
      </c>
      <c r="H42" s="3">
        <v>45945</v>
      </c>
      <c r="I42" s="2"/>
      <c r="J42" s="2"/>
      <c r="K42" s="2" t="s">
        <v>25</v>
      </c>
      <c r="L42" s="2" t="s">
        <v>26</v>
      </c>
      <c r="M42" s="2"/>
      <c r="N42" s="2" t="s">
        <v>27</v>
      </c>
      <c r="O42" s="2">
        <v>3056.19</v>
      </c>
      <c r="P42" s="2">
        <v>550.11</v>
      </c>
      <c r="Q42" s="2">
        <v>3606.3</v>
      </c>
      <c r="R42" s="2">
        <v>3606.3</v>
      </c>
      <c r="S42" s="2">
        <v>3606.3</v>
      </c>
      <c r="T42" s="2" t="s">
        <v>28</v>
      </c>
      <c r="U42" s="2" t="b">
        <v>0</v>
      </c>
      <c r="V42" s="2" t="s">
        <v>29</v>
      </c>
      <c r="W42" s="2" t="s">
        <v>30</v>
      </c>
      <c r="X42" s="2"/>
      <c r="Y42" s="2"/>
      <c r="Z42" s="2" t="s">
        <v>31</v>
      </c>
      <c r="AA42" s="2"/>
      <c r="AB42" s="2"/>
      <c r="AC42" s="2"/>
      <c r="AD42" s="2"/>
      <c r="AK42" s="8">
        <f t="shared" si="1"/>
        <v>45945</v>
      </c>
    </row>
    <row r="43" spans="1:37" ht="15" customHeight="1">
      <c r="A43" s="2" t="s">
        <v>332</v>
      </c>
      <c r="B43" s="2">
        <v>2898</v>
      </c>
      <c r="C43" s="2" t="s">
        <v>330</v>
      </c>
      <c r="D43" s="2" t="s">
        <v>305</v>
      </c>
      <c r="E43" s="2" t="s">
        <v>323</v>
      </c>
      <c r="F43" s="3">
        <v>45945</v>
      </c>
      <c r="G43" s="3">
        <v>45945</v>
      </c>
      <c r="H43" s="3">
        <v>45945</v>
      </c>
      <c r="I43" s="2"/>
      <c r="J43" s="2"/>
      <c r="K43" s="2" t="s">
        <v>25</v>
      </c>
      <c r="L43" s="2" t="s">
        <v>26</v>
      </c>
      <c r="M43" s="2"/>
      <c r="N43" s="2" t="s">
        <v>27</v>
      </c>
      <c r="O43" s="2">
        <v>3740.42</v>
      </c>
      <c r="P43" s="2">
        <v>673.28</v>
      </c>
      <c r="Q43" s="2">
        <v>4413.7</v>
      </c>
      <c r="R43" s="2">
        <v>4413.7</v>
      </c>
      <c r="S43" s="2">
        <v>4413.7</v>
      </c>
      <c r="T43" s="2" t="s">
        <v>28</v>
      </c>
      <c r="U43" s="2" t="b">
        <v>0</v>
      </c>
      <c r="V43" s="2" t="s">
        <v>29</v>
      </c>
      <c r="W43" s="2" t="s">
        <v>30</v>
      </c>
      <c r="X43" s="2"/>
      <c r="Y43" s="2"/>
      <c r="Z43" s="2" t="s">
        <v>31</v>
      </c>
      <c r="AA43" s="2"/>
      <c r="AB43" s="2"/>
      <c r="AC43" s="2"/>
      <c r="AD43" s="2"/>
      <c r="AK43" s="8">
        <f t="shared" si="1"/>
        <v>45945</v>
      </c>
    </row>
    <row r="44" spans="1:37" ht="15" customHeight="1">
      <c r="A44" s="2" t="s">
        <v>333</v>
      </c>
      <c r="B44" s="2">
        <v>3094</v>
      </c>
      <c r="C44" s="2" t="s">
        <v>334</v>
      </c>
      <c r="D44" s="2" t="s">
        <v>305</v>
      </c>
      <c r="E44" s="2" t="s">
        <v>335</v>
      </c>
      <c r="F44" s="3">
        <v>45945</v>
      </c>
      <c r="G44" s="3">
        <v>45945</v>
      </c>
      <c r="H44" s="3">
        <v>45945</v>
      </c>
      <c r="I44" s="2"/>
      <c r="J44" s="2"/>
      <c r="K44" s="2" t="s">
        <v>25</v>
      </c>
      <c r="L44" s="2" t="s">
        <v>26</v>
      </c>
      <c r="M44" s="2"/>
      <c r="N44" s="2" t="s">
        <v>27</v>
      </c>
      <c r="O44" s="2">
        <v>1934.24</v>
      </c>
      <c r="P44" s="2">
        <v>348.16</v>
      </c>
      <c r="Q44" s="2">
        <v>2282.4</v>
      </c>
      <c r="R44" s="2">
        <v>2282.4</v>
      </c>
      <c r="S44" s="2">
        <v>2282.4</v>
      </c>
      <c r="T44" s="2" t="s">
        <v>28</v>
      </c>
      <c r="U44" s="2" t="b">
        <v>0</v>
      </c>
      <c r="V44" s="2" t="s">
        <v>29</v>
      </c>
      <c r="W44" s="2" t="s">
        <v>30</v>
      </c>
      <c r="X44" s="2"/>
      <c r="Y44" s="2"/>
      <c r="Z44" s="2" t="s">
        <v>31</v>
      </c>
      <c r="AA44" s="2"/>
      <c r="AB44" s="2"/>
      <c r="AC44" s="2"/>
      <c r="AD44" s="2"/>
      <c r="AK44" s="8">
        <f t="shared" si="1"/>
        <v>45945</v>
      </c>
    </row>
    <row r="45" spans="1:37" ht="15" customHeight="1">
      <c r="A45" s="2" t="s">
        <v>336</v>
      </c>
      <c r="B45" s="2">
        <v>3094</v>
      </c>
      <c r="C45" s="2" t="s">
        <v>334</v>
      </c>
      <c r="D45" s="2" t="s">
        <v>305</v>
      </c>
      <c r="E45" s="2" t="s">
        <v>335</v>
      </c>
      <c r="F45" s="3">
        <v>45945</v>
      </c>
      <c r="G45" s="3">
        <v>45945</v>
      </c>
      <c r="H45" s="3">
        <v>45945</v>
      </c>
      <c r="I45" s="2"/>
      <c r="J45" s="2"/>
      <c r="K45" s="2" t="s">
        <v>25</v>
      </c>
      <c r="L45" s="2" t="s">
        <v>26</v>
      </c>
      <c r="M45" s="2"/>
      <c r="N45" s="2" t="s">
        <v>27</v>
      </c>
      <c r="O45" s="2">
        <v>2316.61</v>
      </c>
      <c r="P45" s="2">
        <v>416.99</v>
      </c>
      <c r="Q45" s="2">
        <v>2733.6</v>
      </c>
      <c r="R45" s="2">
        <v>2733.6</v>
      </c>
      <c r="S45" s="2">
        <v>2733.6</v>
      </c>
      <c r="T45" s="2" t="s">
        <v>28</v>
      </c>
      <c r="U45" s="2" t="b">
        <v>0</v>
      </c>
      <c r="V45" s="2" t="s">
        <v>29</v>
      </c>
      <c r="W45" s="2" t="s">
        <v>30</v>
      </c>
      <c r="X45" s="2"/>
      <c r="Y45" s="2"/>
      <c r="Z45" s="2" t="s">
        <v>31</v>
      </c>
      <c r="AA45" s="2"/>
      <c r="AB45" s="2"/>
      <c r="AC45" s="2"/>
      <c r="AD45" s="2"/>
      <c r="AK45" s="8">
        <f t="shared" si="1"/>
        <v>45945</v>
      </c>
    </row>
    <row r="46" spans="1:37" ht="15" customHeight="1">
      <c r="A46" s="2" t="s">
        <v>337</v>
      </c>
      <c r="B46" s="2">
        <v>3172</v>
      </c>
      <c r="C46" s="2" t="s">
        <v>338</v>
      </c>
      <c r="D46" s="2" t="s">
        <v>305</v>
      </c>
      <c r="E46" s="2" t="s">
        <v>314</v>
      </c>
      <c r="F46" s="3">
        <v>45945</v>
      </c>
      <c r="G46" s="3">
        <v>45945</v>
      </c>
      <c r="H46" s="3">
        <v>45945</v>
      </c>
      <c r="I46" s="2"/>
      <c r="J46" s="2"/>
      <c r="K46" s="2" t="s">
        <v>25</v>
      </c>
      <c r="L46" s="2" t="s">
        <v>26</v>
      </c>
      <c r="M46" s="2"/>
      <c r="N46" s="2" t="s">
        <v>27</v>
      </c>
      <c r="O46" s="2">
        <v>1427.8</v>
      </c>
      <c r="P46" s="2">
        <v>257</v>
      </c>
      <c r="Q46" s="2">
        <v>1684.8</v>
      </c>
      <c r="R46" s="2">
        <v>1684.8</v>
      </c>
      <c r="S46" s="2">
        <v>1684.8</v>
      </c>
      <c r="T46" s="2" t="s">
        <v>28</v>
      </c>
      <c r="U46" s="2" t="b">
        <v>0</v>
      </c>
      <c r="V46" s="2" t="s">
        <v>29</v>
      </c>
      <c r="W46" s="2" t="s">
        <v>30</v>
      </c>
      <c r="X46" s="2"/>
      <c r="Y46" s="2"/>
      <c r="Z46" s="2" t="s">
        <v>31</v>
      </c>
      <c r="AA46" s="2"/>
      <c r="AB46" s="2"/>
      <c r="AC46" s="2"/>
      <c r="AD46" s="2"/>
      <c r="AK46" s="8">
        <f t="shared" si="1"/>
        <v>45945</v>
      </c>
    </row>
    <row r="47" spans="1:37" ht="15" customHeight="1">
      <c r="A47" s="2" t="s">
        <v>339</v>
      </c>
      <c r="B47" s="2">
        <v>3172</v>
      </c>
      <c r="C47" s="2" t="s">
        <v>338</v>
      </c>
      <c r="D47" s="2" t="s">
        <v>305</v>
      </c>
      <c r="E47" s="2" t="s">
        <v>314</v>
      </c>
      <c r="F47" s="3">
        <v>45945</v>
      </c>
      <c r="G47" s="3">
        <v>45945</v>
      </c>
      <c r="H47" s="3">
        <v>45945</v>
      </c>
      <c r="I47" s="2"/>
      <c r="J47" s="2"/>
      <c r="K47" s="2" t="s">
        <v>25</v>
      </c>
      <c r="L47" s="2" t="s">
        <v>26</v>
      </c>
      <c r="M47" s="2"/>
      <c r="N47" s="2" t="s">
        <v>27</v>
      </c>
      <c r="O47" s="2">
        <v>976.78</v>
      </c>
      <c r="P47" s="2">
        <v>175.82</v>
      </c>
      <c r="Q47" s="2">
        <v>1152.5999999999999</v>
      </c>
      <c r="R47" s="2">
        <v>1152.5999999999999</v>
      </c>
      <c r="S47" s="2">
        <v>1152.5999999999999</v>
      </c>
      <c r="T47" s="2" t="s">
        <v>28</v>
      </c>
      <c r="U47" s="2" t="b">
        <v>0</v>
      </c>
      <c r="V47" s="2" t="s">
        <v>29</v>
      </c>
      <c r="W47" s="2" t="s">
        <v>30</v>
      </c>
      <c r="X47" s="2"/>
      <c r="Y47" s="2"/>
      <c r="Z47" s="2" t="s">
        <v>31</v>
      </c>
      <c r="AA47" s="2"/>
      <c r="AB47" s="2"/>
      <c r="AC47" s="2"/>
      <c r="AD47" s="2"/>
      <c r="AK47" s="8">
        <f t="shared" si="1"/>
        <v>45945</v>
      </c>
    </row>
    <row r="48" spans="1:37" ht="15" customHeight="1">
      <c r="A48" s="2" t="s">
        <v>340</v>
      </c>
      <c r="B48" s="2">
        <v>3123</v>
      </c>
      <c r="C48" s="2" t="s">
        <v>341</v>
      </c>
      <c r="D48" s="2" t="s">
        <v>272</v>
      </c>
      <c r="E48" s="2" t="s">
        <v>342</v>
      </c>
      <c r="F48" s="3">
        <v>45944</v>
      </c>
      <c r="G48" s="3">
        <v>45944</v>
      </c>
      <c r="H48" s="3">
        <v>45944</v>
      </c>
      <c r="I48" s="2"/>
      <c r="J48" s="2"/>
      <c r="K48" s="2" t="s">
        <v>25</v>
      </c>
      <c r="L48" s="2" t="s">
        <v>26</v>
      </c>
      <c r="M48" s="2"/>
      <c r="N48" s="2" t="s">
        <v>27</v>
      </c>
      <c r="O48" s="2">
        <v>60</v>
      </c>
      <c r="P48" s="2">
        <v>10.8</v>
      </c>
      <c r="Q48" s="2">
        <v>70.8</v>
      </c>
      <c r="R48" s="2">
        <v>70.8</v>
      </c>
      <c r="S48" s="2">
        <v>70.8</v>
      </c>
      <c r="T48" s="2" t="s">
        <v>28</v>
      </c>
      <c r="U48" s="2" t="b">
        <v>0</v>
      </c>
      <c r="V48" s="2" t="s">
        <v>29</v>
      </c>
      <c r="W48" s="2" t="s">
        <v>30</v>
      </c>
      <c r="X48" s="2"/>
      <c r="Y48" s="2"/>
      <c r="Z48" s="2" t="s">
        <v>31</v>
      </c>
      <c r="AA48" s="2"/>
      <c r="AB48" s="2"/>
      <c r="AC48" s="2"/>
      <c r="AD48" s="2"/>
      <c r="AK48" s="8">
        <f t="shared" si="1"/>
        <v>45944</v>
      </c>
    </row>
    <row r="49" spans="1:37" ht="15" customHeight="1">
      <c r="A49" s="2" t="s">
        <v>343</v>
      </c>
      <c r="B49" s="2">
        <v>3092</v>
      </c>
      <c r="C49" s="2" t="s">
        <v>344</v>
      </c>
      <c r="D49" s="2" t="s">
        <v>305</v>
      </c>
      <c r="E49" s="2" t="s">
        <v>345</v>
      </c>
      <c r="F49" s="3">
        <v>45944</v>
      </c>
      <c r="G49" s="3">
        <v>45944</v>
      </c>
      <c r="H49" s="3">
        <v>45944</v>
      </c>
      <c r="I49" s="2"/>
      <c r="J49" s="2"/>
      <c r="K49" s="2" t="s">
        <v>25</v>
      </c>
      <c r="L49" s="2" t="s">
        <v>26</v>
      </c>
      <c r="M49" s="2"/>
      <c r="N49" s="2" t="s">
        <v>27</v>
      </c>
      <c r="O49" s="2">
        <v>651.53</v>
      </c>
      <c r="P49" s="2">
        <v>117.28</v>
      </c>
      <c r="Q49" s="2">
        <v>768.81</v>
      </c>
      <c r="R49" s="2">
        <v>768.81</v>
      </c>
      <c r="S49" s="2">
        <v>768.81</v>
      </c>
      <c r="T49" s="2" t="s">
        <v>28</v>
      </c>
      <c r="U49" s="2" t="b">
        <v>0</v>
      </c>
      <c r="V49" s="2" t="s">
        <v>29</v>
      </c>
      <c r="W49" s="2" t="s">
        <v>30</v>
      </c>
      <c r="X49" s="2"/>
      <c r="Y49" s="2"/>
      <c r="Z49" s="2" t="s">
        <v>31</v>
      </c>
      <c r="AA49" s="2"/>
      <c r="AB49" s="2"/>
      <c r="AC49" s="2"/>
      <c r="AD49" s="2"/>
      <c r="AK49" s="8">
        <f t="shared" si="1"/>
        <v>45944</v>
      </c>
    </row>
    <row r="50" spans="1:37" ht="15" customHeight="1">
      <c r="A50" s="2" t="s">
        <v>346</v>
      </c>
      <c r="B50" s="2">
        <v>3092</v>
      </c>
      <c r="C50" s="2" t="s">
        <v>344</v>
      </c>
      <c r="D50" s="2" t="s">
        <v>305</v>
      </c>
      <c r="E50" s="2" t="s">
        <v>345</v>
      </c>
      <c r="F50" s="3">
        <v>45944</v>
      </c>
      <c r="G50" s="3">
        <v>45944</v>
      </c>
      <c r="H50" s="3">
        <v>45944</v>
      </c>
      <c r="I50" s="2"/>
      <c r="J50" s="2"/>
      <c r="K50" s="2" t="s">
        <v>25</v>
      </c>
      <c r="L50" s="2" t="s">
        <v>26</v>
      </c>
      <c r="M50" s="2"/>
      <c r="N50" s="2" t="s">
        <v>27</v>
      </c>
      <c r="O50" s="2">
        <v>556.44000000000005</v>
      </c>
      <c r="P50" s="2">
        <v>100.16</v>
      </c>
      <c r="Q50" s="2">
        <v>656.6</v>
      </c>
      <c r="R50" s="2">
        <v>656.6</v>
      </c>
      <c r="S50" s="2">
        <v>656.6</v>
      </c>
      <c r="T50" s="2" t="s">
        <v>28</v>
      </c>
      <c r="U50" s="2" t="b">
        <v>0</v>
      </c>
      <c r="V50" s="2" t="s">
        <v>29</v>
      </c>
      <c r="W50" s="2" t="s">
        <v>30</v>
      </c>
      <c r="X50" s="2"/>
      <c r="Y50" s="2"/>
      <c r="Z50" s="2" t="s">
        <v>31</v>
      </c>
      <c r="AA50" s="2"/>
      <c r="AB50" s="2"/>
      <c r="AC50" s="2"/>
      <c r="AD50" s="2"/>
      <c r="AK50" s="8">
        <f t="shared" si="1"/>
        <v>45944</v>
      </c>
    </row>
    <row r="51" spans="1:37" ht="15" customHeight="1">
      <c r="A51" s="2" t="s">
        <v>347</v>
      </c>
      <c r="B51" s="2">
        <v>3065</v>
      </c>
      <c r="C51" s="2" t="s">
        <v>348</v>
      </c>
      <c r="D51" s="2" t="s">
        <v>305</v>
      </c>
      <c r="E51" s="2" t="s">
        <v>349</v>
      </c>
      <c r="F51" s="3">
        <v>45944</v>
      </c>
      <c r="G51" s="3">
        <v>45944</v>
      </c>
      <c r="H51" s="3">
        <v>45944</v>
      </c>
      <c r="I51" s="2"/>
      <c r="J51" s="2"/>
      <c r="K51" s="2" t="s">
        <v>25</v>
      </c>
      <c r="L51" s="2" t="s">
        <v>26</v>
      </c>
      <c r="M51" s="2"/>
      <c r="N51" s="2" t="s">
        <v>27</v>
      </c>
      <c r="O51" s="2">
        <v>12.5</v>
      </c>
      <c r="P51" s="2">
        <v>2.25</v>
      </c>
      <c r="Q51" s="2">
        <v>14.75</v>
      </c>
      <c r="R51" s="2">
        <v>14.75</v>
      </c>
      <c r="S51" s="2">
        <v>14.75</v>
      </c>
      <c r="T51" s="2" t="s">
        <v>28</v>
      </c>
      <c r="U51" s="2" t="b">
        <v>0</v>
      </c>
      <c r="V51" s="2" t="s">
        <v>29</v>
      </c>
      <c r="W51" s="2" t="s">
        <v>30</v>
      </c>
      <c r="X51" s="2"/>
      <c r="Y51" s="2"/>
      <c r="Z51" s="2" t="s">
        <v>31</v>
      </c>
      <c r="AA51" s="2"/>
      <c r="AB51" s="2"/>
      <c r="AC51" s="2"/>
      <c r="AD51" s="2"/>
      <c r="AK51" s="8">
        <f t="shared" si="1"/>
        <v>45944</v>
      </c>
    </row>
    <row r="52" spans="1:37" ht="15" customHeight="1">
      <c r="A52" s="2" t="s">
        <v>350</v>
      </c>
      <c r="B52" s="2">
        <v>3065</v>
      </c>
      <c r="C52" s="2" t="s">
        <v>348</v>
      </c>
      <c r="D52" s="2" t="s">
        <v>305</v>
      </c>
      <c r="E52" s="2" t="s">
        <v>349</v>
      </c>
      <c r="F52" s="3">
        <v>45944</v>
      </c>
      <c r="G52" s="3">
        <v>45944</v>
      </c>
      <c r="H52" s="3">
        <v>45944</v>
      </c>
      <c r="I52" s="2"/>
      <c r="J52" s="2"/>
      <c r="K52" s="2" t="s">
        <v>25</v>
      </c>
      <c r="L52" s="2" t="s">
        <v>26</v>
      </c>
      <c r="M52" s="2"/>
      <c r="N52" s="2" t="s">
        <v>27</v>
      </c>
      <c r="O52" s="2">
        <v>1271.19</v>
      </c>
      <c r="P52" s="2">
        <v>228.81</v>
      </c>
      <c r="Q52" s="2">
        <v>1500</v>
      </c>
      <c r="R52" s="2">
        <v>1500</v>
      </c>
      <c r="S52" s="2">
        <v>1500</v>
      </c>
      <c r="T52" s="2" t="s">
        <v>28</v>
      </c>
      <c r="U52" s="2" t="b">
        <v>0</v>
      </c>
      <c r="V52" s="2" t="s">
        <v>29</v>
      </c>
      <c r="W52" s="2" t="s">
        <v>30</v>
      </c>
      <c r="X52" s="2"/>
      <c r="Y52" s="2"/>
      <c r="Z52" s="2" t="s">
        <v>31</v>
      </c>
      <c r="AA52" s="2"/>
      <c r="AB52" s="2"/>
      <c r="AC52" s="2"/>
      <c r="AD52" s="2"/>
      <c r="AK52" s="8">
        <f t="shared" si="1"/>
        <v>45944</v>
      </c>
    </row>
    <row r="53" spans="1:37" ht="15" customHeight="1">
      <c r="A53" s="2" t="s">
        <v>351</v>
      </c>
      <c r="B53" s="2">
        <v>3065</v>
      </c>
      <c r="C53" s="2" t="s">
        <v>348</v>
      </c>
      <c r="D53" s="2" t="s">
        <v>305</v>
      </c>
      <c r="E53" s="2" t="s">
        <v>349</v>
      </c>
      <c r="F53" s="3">
        <v>45944</v>
      </c>
      <c r="G53" s="3">
        <v>45944</v>
      </c>
      <c r="H53" s="3">
        <v>45944</v>
      </c>
      <c r="I53" s="2"/>
      <c r="J53" s="2"/>
      <c r="K53" s="2" t="s">
        <v>25</v>
      </c>
      <c r="L53" s="2" t="s">
        <v>26</v>
      </c>
      <c r="M53" s="2"/>
      <c r="N53" s="2" t="s">
        <v>27</v>
      </c>
      <c r="O53" s="2">
        <v>4676.95</v>
      </c>
      <c r="P53" s="2">
        <v>841.85</v>
      </c>
      <c r="Q53" s="2">
        <v>5518.8</v>
      </c>
      <c r="R53" s="2">
        <v>5518.8</v>
      </c>
      <c r="S53" s="2">
        <v>5518.8</v>
      </c>
      <c r="T53" s="2" t="s">
        <v>28</v>
      </c>
      <c r="U53" s="2" t="b">
        <v>0</v>
      </c>
      <c r="V53" s="2" t="s">
        <v>29</v>
      </c>
      <c r="W53" s="2" t="s">
        <v>30</v>
      </c>
      <c r="X53" s="2"/>
      <c r="Y53" s="2"/>
      <c r="Z53" s="2" t="s">
        <v>31</v>
      </c>
      <c r="AA53" s="2"/>
      <c r="AB53" s="2"/>
      <c r="AC53" s="2"/>
      <c r="AD53" s="2"/>
      <c r="AK53" s="8">
        <f t="shared" si="1"/>
        <v>45944</v>
      </c>
    </row>
    <row r="54" spans="1:37" ht="15" customHeight="1">
      <c r="A54" s="2" t="s">
        <v>352</v>
      </c>
      <c r="B54" s="2">
        <v>3065</v>
      </c>
      <c r="C54" s="2" t="s">
        <v>348</v>
      </c>
      <c r="D54" s="2" t="s">
        <v>305</v>
      </c>
      <c r="E54" s="2" t="s">
        <v>349</v>
      </c>
      <c r="F54" s="3">
        <v>45944</v>
      </c>
      <c r="G54" s="3">
        <v>45944</v>
      </c>
      <c r="H54" s="3">
        <v>45944</v>
      </c>
      <c r="I54" s="2"/>
      <c r="J54" s="2"/>
      <c r="K54" s="2" t="s">
        <v>25</v>
      </c>
      <c r="L54" s="2" t="s">
        <v>26</v>
      </c>
      <c r="M54" s="2"/>
      <c r="N54" s="2" t="s">
        <v>27</v>
      </c>
      <c r="O54" s="2">
        <v>150</v>
      </c>
      <c r="P54" s="2">
        <v>27</v>
      </c>
      <c r="Q54" s="2">
        <v>177</v>
      </c>
      <c r="R54" s="2">
        <v>177</v>
      </c>
      <c r="S54" s="2">
        <v>177</v>
      </c>
      <c r="T54" s="2" t="s">
        <v>28</v>
      </c>
      <c r="U54" s="2" t="b">
        <v>0</v>
      </c>
      <c r="V54" s="2" t="s">
        <v>29</v>
      </c>
      <c r="W54" s="2" t="s">
        <v>30</v>
      </c>
      <c r="X54" s="2"/>
      <c r="Y54" s="2"/>
      <c r="Z54" s="2" t="s">
        <v>31</v>
      </c>
      <c r="AA54" s="2"/>
      <c r="AB54" s="2"/>
      <c r="AC54" s="2"/>
      <c r="AD54" s="2"/>
      <c r="AK54" s="8">
        <f t="shared" si="1"/>
        <v>45944</v>
      </c>
    </row>
    <row r="55" spans="1:37" ht="15" customHeight="1">
      <c r="A55" s="2" t="s">
        <v>353</v>
      </c>
      <c r="B55" s="2">
        <v>3065</v>
      </c>
      <c r="C55" s="2" t="s">
        <v>348</v>
      </c>
      <c r="D55" s="2" t="s">
        <v>305</v>
      </c>
      <c r="E55" s="2" t="s">
        <v>349</v>
      </c>
      <c r="F55" s="3">
        <v>45944</v>
      </c>
      <c r="G55" s="3">
        <v>45944</v>
      </c>
      <c r="H55" s="3">
        <v>45944</v>
      </c>
      <c r="I55" s="2"/>
      <c r="J55" s="2"/>
      <c r="K55" s="2" t="s">
        <v>25</v>
      </c>
      <c r="L55" s="2" t="s">
        <v>26</v>
      </c>
      <c r="M55" s="2"/>
      <c r="N55" s="2" t="s">
        <v>27</v>
      </c>
      <c r="O55" s="2">
        <v>900</v>
      </c>
      <c r="P55" s="2">
        <v>162</v>
      </c>
      <c r="Q55" s="2">
        <v>1062</v>
      </c>
      <c r="R55" s="2">
        <v>1062</v>
      </c>
      <c r="S55" s="2">
        <v>1062</v>
      </c>
      <c r="T55" s="2" t="s">
        <v>28</v>
      </c>
      <c r="U55" s="2" t="b">
        <v>0</v>
      </c>
      <c r="V55" s="2" t="s">
        <v>29</v>
      </c>
      <c r="W55" s="2" t="s">
        <v>30</v>
      </c>
      <c r="X55" s="2"/>
      <c r="Y55" s="2"/>
      <c r="Z55" s="2" t="s">
        <v>31</v>
      </c>
      <c r="AA55" s="2"/>
      <c r="AB55" s="2"/>
      <c r="AC55" s="2"/>
      <c r="AD55" s="2"/>
      <c r="AK55" s="8">
        <f t="shared" si="1"/>
        <v>45944</v>
      </c>
    </row>
    <row r="56" spans="1:37" ht="15" customHeight="1">
      <c r="A56" s="2" t="s">
        <v>354</v>
      </c>
      <c r="B56" s="2">
        <v>3123</v>
      </c>
      <c r="C56" s="2" t="s">
        <v>341</v>
      </c>
      <c r="D56" s="2" t="s">
        <v>272</v>
      </c>
      <c r="E56" s="2" t="s">
        <v>342</v>
      </c>
      <c r="F56" s="3">
        <v>45943</v>
      </c>
      <c r="G56" s="3">
        <v>45943</v>
      </c>
      <c r="H56" s="3">
        <v>45943</v>
      </c>
      <c r="I56" s="2"/>
      <c r="J56" s="2"/>
      <c r="K56" s="2" t="s">
        <v>25</v>
      </c>
      <c r="L56" s="2" t="s">
        <v>26</v>
      </c>
      <c r="M56" s="2"/>
      <c r="N56" s="2" t="s">
        <v>27</v>
      </c>
      <c r="O56" s="2">
        <v>500</v>
      </c>
      <c r="P56" s="2">
        <v>90</v>
      </c>
      <c r="Q56" s="2">
        <v>590</v>
      </c>
      <c r="R56" s="2">
        <v>590</v>
      </c>
      <c r="S56" s="2">
        <v>590</v>
      </c>
      <c r="T56" s="2" t="s">
        <v>28</v>
      </c>
      <c r="U56" s="2" t="b">
        <v>0</v>
      </c>
      <c r="V56" s="2" t="s">
        <v>29</v>
      </c>
      <c r="W56" s="2" t="s">
        <v>30</v>
      </c>
      <c r="X56" s="2"/>
      <c r="Y56" s="2"/>
      <c r="Z56" s="2" t="s">
        <v>31</v>
      </c>
      <c r="AA56" s="2"/>
      <c r="AB56" s="2"/>
      <c r="AC56" s="2"/>
      <c r="AD56" s="2"/>
      <c r="AK56" s="8">
        <f t="shared" si="1"/>
        <v>45943</v>
      </c>
    </row>
    <row r="57" spans="1:37" ht="15" customHeight="1">
      <c r="A57" s="2" t="s">
        <v>355</v>
      </c>
      <c r="B57" s="2">
        <v>3123</v>
      </c>
      <c r="C57" s="2" t="s">
        <v>341</v>
      </c>
      <c r="D57" s="2" t="s">
        <v>272</v>
      </c>
      <c r="E57" s="2" t="s">
        <v>342</v>
      </c>
      <c r="F57" s="3">
        <v>45943</v>
      </c>
      <c r="G57" s="3">
        <v>45943</v>
      </c>
      <c r="H57" s="3">
        <v>45943</v>
      </c>
      <c r="I57" s="2"/>
      <c r="J57" s="2"/>
      <c r="K57" s="2" t="s">
        <v>25</v>
      </c>
      <c r="L57" s="2" t="s">
        <v>26</v>
      </c>
      <c r="M57" s="2"/>
      <c r="N57" s="2" t="s">
        <v>27</v>
      </c>
      <c r="O57" s="2">
        <v>1000</v>
      </c>
      <c r="P57" s="2">
        <v>180</v>
      </c>
      <c r="Q57" s="2">
        <v>1180</v>
      </c>
      <c r="R57" s="2">
        <v>1180</v>
      </c>
      <c r="S57" s="2">
        <v>1180</v>
      </c>
      <c r="T57" s="2" t="s">
        <v>28</v>
      </c>
      <c r="U57" s="2" t="b">
        <v>0</v>
      </c>
      <c r="V57" s="2" t="s">
        <v>29</v>
      </c>
      <c r="W57" s="2" t="s">
        <v>30</v>
      </c>
      <c r="X57" s="2"/>
      <c r="Y57" s="2"/>
      <c r="Z57" s="2" t="s">
        <v>31</v>
      </c>
      <c r="AA57" s="2"/>
      <c r="AB57" s="2"/>
      <c r="AC57" s="2"/>
      <c r="AD57" s="2"/>
      <c r="AK57" s="8">
        <f t="shared" si="1"/>
        <v>45943</v>
      </c>
    </row>
    <row r="58" spans="1:37" ht="15" customHeight="1">
      <c r="A58" s="2" t="s">
        <v>356</v>
      </c>
      <c r="B58" s="2">
        <v>3123</v>
      </c>
      <c r="C58" s="2" t="s">
        <v>341</v>
      </c>
      <c r="D58" s="2" t="s">
        <v>272</v>
      </c>
      <c r="E58" s="2" t="s">
        <v>342</v>
      </c>
      <c r="F58" s="3">
        <v>45943</v>
      </c>
      <c r="G58" s="3">
        <v>45943</v>
      </c>
      <c r="H58" s="3">
        <v>45943</v>
      </c>
      <c r="I58" s="2"/>
      <c r="J58" s="2"/>
      <c r="K58" s="2" t="s">
        <v>25</v>
      </c>
      <c r="L58" s="2" t="s">
        <v>26</v>
      </c>
      <c r="M58" s="2"/>
      <c r="N58" s="2" t="s">
        <v>27</v>
      </c>
      <c r="O58" s="2">
        <v>1800</v>
      </c>
      <c r="P58" s="2">
        <v>324</v>
      </c>
      <c r="Q58" s="2">
        <v>2124</v>
      </c>
      <c r="R58" s="2">
        <v>2124</v>
      </c>
      <c r="S58" s="2">
        <v>2124</v>
      </c>
      <c r="T58" s="2" t="s">
        <v>28</v>
      </c>
      <c r="U58" s="2" t="b">
        <v>0</v>
      </c>
      <c r="V58" s="2" t="s">
        <v>29</v>
      </c>
      <c r="W58" s="2" t="s">
        <v>30</v>
      </c>
      <c r="X58" s="2"/>
      <c r="Y58" s="2"/>
      <c r="Z58" s="2" t="s">
        <v>31</v>
      </c>
      <c r="AA58" s="2"/>
      <c r="AB58" s="2"/>
      <c r="AC58" s="2"/>
      <c r="AD58" s="2"/>
      <c r="AK58" s="8">
        <f t="shared" si="1"/>
        <v>45943</v>
      </c>
    </row>
    <row r="59" spans="1:37" ht="15" customHeight="1">
      <c r="A59" s="2" t="s">
        <v>357</v>
      </c>
      <c r="B59" s="2">
        <v>3123</v>
      </c>
      <c r="C59" s="2" t="s">
        <v>341</v>
      </c>
      <c r="D59" s="2" t="s">
        <v>272</v>
      </c>
      <c r="E59" s="2" t="s">
        <v>342</v>
      </c>
      <c r="F59" s="3">
        <v>45943</v>
      </c>
      <c r="G59" s="3">
        <v>45943</v>
      </c>
      <c r="H59" s="3">
        <v>45943</v>
      </c>
      <c r="I59" s="2"/>
      <c r="J59" s="2"/>
      <c r="K59" s="2" t="s">
        <v>25</v>
      </c>
      <c r="L59" s="2" t="s">
        <v>26</v>
      </c>
      <c r="M59" s="2"/>
      <c r="N59" s="2" t="s">
        <v>27</v>
      </c>
      <c r="O59" s="2">
        <v>638.30999999999995</v>
      </c>
      <c r="P59" s="2">
        <v>114.9</v>
      </c>
      <c r="Q59" s="2">
        <v>753.21</v>
      </c>
      <c r="R59" s="2">
        <v>753.21</v>
      </c>
      <c r="S59" s="2">
        <v>753.21</v>
      </c>
      <c r="T59" s="2" t="s">
        <v>28</v>
      </c>
      <c r="U59" s="2" t="b">
        <v>0</v>
      </c>
      <c r="V59" s="2" t="s">
        <v>29</v>
      </c>
      <c r="W59" s="2" t="s">
        <v>30</v>
      </c>
      <c r="X59" s="2"/>
      <c r="Y59" s="2"/>
      <c r="Z59" s="2" t="s">
        <v>31</v>
      </c>
      <c r="AA59" s="2"/>
      <c r="AB59" s="2"/>
      <c r="AC59" s="2"/>
      <c r="AD59" s="2"/>
      <c r="AK59" s="8">
        <f t="shared" si="1"/>
        <v>45943</v>
      </c>
    </row>
    <row r="60" spans="1:37" ht="15" customHeight="1">
      <c r="A60" s="2" t="s">
        <v>358</v>
      </c>
      <c r="B60" s="2">
        <v>3123</v>
      </c>
      <c r="C60" s="2" t="s">
        <v>341</v>
      </c>
      <c r="D60" s="2" t="s">
        <v>272</v>
      </c>
      <c r="E60" s="2" t="s">
        <v>342</v>
      </c>
      <c r="F60" s="3">
        <v>45943</v>
      </c>
      <c r="G60" s="3">
        <v>45943</v>
      </c>
      <c r="H60" s="3">
        <v>45943</v>
      </c>
      <c r="I60" s="2"/>
      <c r="J60" s="2"/>
      <c r="K60" s="2" t="s">
        <v>25</v>
      </c>
      <c r="L60" s="2" t="s">
        <v>26</v>
      </c>
      <c r="M60" s="2"/>
      <c r="N60" s="2" t="s">
        <v>27</v>
      </c>
      <c r="O60" s="2">
        <v>652.20000000000005</v>
      </c>
      <c r="P60" s="2">
        <v>117.4</v>
      </c>
      <c r="Q60" s="2">
        <v>769.6</v>
      </c>
      <c r="R60" s="2">
        <v>769.6</v>
      </c>
      <c r="S60" s="2">
        <v>769.6</v>
      </c>
      <c r="T60" s="2" t="s">
        <v>28</v>
      </c>
      <c r="U60" s="2" t="b">
        <v>0</v>
      </c>
      <c r="V60" s="2" t="s">
        <v>29</v>
      </c>
      <c r="W60" s="2" t="s">
        <v>30</v>
      </c>
      <c r="X60" s="2"/>
      <c r="Y60" s="2"/>
      <c r="Z60" s="2" t="s">
        <v>31</v>
      </c>
      <c r="AA60" s="2"/>
      <c r="AB60" s="2"/>
      <c r="AC60" s="2"/>
      <c r="AD60" s="2"/>
      <c r="AK60" s="8">
        <f t="shared" si="1"/>
        <v>45943</v>
      </c>
    </row>
    <row r="61" spans="1:37" ht="15" customHeight="1">
      <c r="A61" s="2" t="s">
        <v>359</v>
      </c>
      <c r="B61" s="2">
        <v>3168</v>
      </c>
      <c r="C61" s="2" t="s">
        <v>360</v>
      </c>
      <c r="D61" s="2" t="s">
        <v>305</v>
      </c>
      <c r="E61" s="2" t="s">
        <v>314</v>
      </c>
      <c r="F61" s="3">
        <v>45943</v>
      </c>
      <c r="G61" s="3">
        <v>45943</v>
      </c>
      <c r="H61" s="3">
        <v>45943</v>
      </c>
      <c r="I61" s="2"/>
      <c r="J61" s="2"/>
      <c r="K61" s="2" t="s">
        <v>25</v>
      </c>
      <c r="L61" s="2" t="s">
        <v>26</v>
      </c>
      <c r="M61" s="2"/>
      <c r="N61" s="2" t="s">
        <v>27</v>
      </c>
      <c r="O61" s="2">
        <v>75</v>
      </c>
      <c r="P61" s="2">
        <v>13.5</v>
      </c>
      <c r="Q61" s="2">
        <v>88.5</v>
      </c>
      <c r="R61" s="2">
        <v>88.5</v>
      </c>
      <c r="S61" s="2">
        <v>88.5</v>
      </c>
      <c r="T61" s="2" t="s">
        <v>28</v>
      </c>
      <c r="U61" s="2" t="b">
        <v>0</v>
      </c>
      <c r="V61" s="2" t="s">
        <v>29</v>
      </c>
      <c r="W61" s="2" t="s">
        <v>30</v>
      </c>
      <c r="X61" s="2"/>
      <c r="Y61" s="2"/>
      <c r="Z61" s="2" t="s">
        <v>31</v>
      </c>
      <c r="AA61" s="2"/>
      <c r="AB61" s="2"/>
      <c r="AC61" s="2"/>
      <c r="AD61" s="2"/>
      <c r="AK61" s="8">
        <f t="shared" si="1"/>
        <v>45943</v>
      </c>
    </row>
    <row r="62" spans="1:37" ht="15" customHeight="1">
      <c r="A62" s="2" t="s">
        <v>361</v>
      </c>
      <c r="B62" s="2">
        <v>3168</v>
      </c>
      <c r="C62" s="2" t="s">
        <v>360</v>
      </c>
      <c r="D62" s="2" t="s">
        <v>305</v>
      </c>
      <c r="E62" s="2" t="s">
        <v>314</v>
      </c>
      <c r="F62" s="3">
        <v>45943</v>
      </c>
      <c r="G62" s="3">
        <v>45943</v>
      </c>
      <c r="H62" s="3">
        <v>45943</v>
      </c>
      <c r="I62" s="2"/>
      <c r="J62" s="2"/>
      <c r="K62" s="2" t="s">
        <v>25</v>
      </c>
      <c r="L62" s="2" t="s">
        <v>26</v>
      </c>
      <c r="M62" s="2"/>
      <c r="N62" s="2" t="s">
        <v>27</v>
      </c>
      <c r="O62" s="2">
        <v>423.73</v>
      </c>
      <c r="P62" s="2">
        <v>76.27</v>
      </c>
      <c r="Q62" s="2">
        <v>500</v>
      </c>
      <c r="R62" s="2">
        <v>500</v>
      </c>
      <c r="S62" s="2">
        <v>500</v>
      </c>
      <c r="T62" s="2" t="s">
        <v>28</v>
      </c>
      <c r="U62" s="2" t="b">
        <v>0</v>
      </c>
      <c r="V62" s="2" t="s">
        <v>29</v>
      </c>
      <c r="W62" s="2" t="s">
        <v>30</v>
      </c>
      <c r="X62" s="2"/>
      <c r="Y62" s="2"/>
      <c r="Z62" s="2" t="s">
        <v>31</v>
      </c>
      <c r="AA62" s="2"/>
      <c r="AB62" s="2"/>
      <c r="AC62" s="2"/>
      <c r="AD62" s="2"/>
      <c r="AK62" s="8">
        <f t="shared" si="1"/>
        <v>45943</v>
      </c>
    </row>
    <row r="63" spans="1:37" ht="15" customHeight="1">
      <c r="A63" s="2" t="s">
        <v>362</v>
      </c>
      <c r="B63" s="2">
        <v>3168</v>
      </c>
      <c r="C63" s="2" t="s">
        <v>360</v>
      </c>
      <c r="D63" s="2" t="s">
        <v>305</v>
      </c>
      <c r="E63" s="2" t="s">
        <v>314</v>
      </c>
      <c r="F63" s="3">
        <v>45943</v>
      </c>
      <c r="G63" s="3">
        <v>45943</v>
      </c>
      <c r="H63" s="3">
        <v>45943</v>
      </c>
      <c r="I63" s="2"/>
      <c r="J63" s="2"/>
      <c r="K63" s="2" t="s">
        <v>25</v>
      </c>
      <c r="L63" s="2" t="s">
        <v>26</v>
      </c>
      <c r="M63" s="2"/>
      <c r="N63" s="2" t="s">
        <v>27</v>
      </c>
      <c r="O63" s="2">
        <v>1695.17</v>
      </c>
      <c r="P63" s="2">
        <v>305.13</v>
      </c>
      <c r="Q63" s="2">
        <v>2000.3</v>
      </c>
      <c r="R63" s="2">
        <v>2000.3</v>
      </c>
      <c r="S63" s="2">
        <v>2000.3</v>
      </c>
      <c r="T63" s="2" t="s">
        <v>28</v>
      </c>
      <c r="U63" s="2" t="b">
        <v>0</v>
      </c>
      <c r="V63" s="2" t="s">
        <v>29</v>
      </c>
      <c r="W63" s="2" t="s">
        <v>30</v>
      </c>
      <c r="X63" s="2"/>
      <c r="Y63" s="2"/>
      <c r="Z63" s="2" t="s">
        <v>31</v>
      </c>
      <c r="AA63" s="2"/>
      <c r="AB63" s="2"/>
      <c r="AC63" s="2"/>
      <c r="AD63" s="2"/>
      <c r="AK63" s="8">
        <f t="shared" si="1"/>
        <v>45943</v>
      </c>
    </row>
    <row r="64" spans="1:37" ht="15" customHeight="1">
      <c r="A64" s="2" t="s">
        <v>363</v>
      </c>
      <c r="B64" s="2">
        <v>3168</v>
      </c>
      <c r="C64" s="2" t="s">
        <v>360</v>
      </c>
      <c r="D64" s="2" t="s">
        <v>305</v>
      </c>
      <c r="E64" s="2" t="s">
        <v>314</v>
      </c>
      <c r="F64" s="3">
        <v>45943</v>
      </c>
      <c r="G64" s="3">
        <v>45943</v>
      </c>
      <c r="H64" s="3">
        <v>45943</v>
      </c>
      <c r="I64" s="2"/>
      <c r="J64" s="2"/>
      <c r="K64" s="2" t="s">
        <v>25</v>
      </c>
      <c r="L64" s="2" t="s">
        <v>26</v>
      </c>
      <c r="M64" s="2"/>
      <c r="N64" s="2" t="s">
        <v>27</v>
      </c>
      <c r="O64" s="2">
        <v>1163.56</v>
      </c>
      <c r="P64" s="2">
        <v>209.44</v>
      </c>
      <c r="Q64" s="2">
        <v>1373</v>
      </c>
      <c r="R64" s="2">
        <v>1373</v>
      </c>
      <c r="S64" s="2">
        <v>1373</v>
      </c>
      <c r="T64" s="2" t="s">
        <v>28</v>
      </c>
      <c r="U64" s="2" t="b">
        <v>0</v>
      </c>
      <c r="V64" s="2" t="s">
        <v>29</v>
      </c>
      <c r="W64" s="2" t="s">
        <v>30</v>
      </c>
      <c r="X64" s="2"/>
      <c r="Y64" s="2"/>
      <c r="Z64" s="2" t="s">
        <v>31</v>
      </c>
      <c r="AA64" s="2"/>
      <c r="AB64" s="2"/>
      <c r="AC64" s="2"/>
      <c r="AD64" s="2"/>
      <c r="AK64" s="8">
        <f t="shared" si="1"/>
        <v>45943</v>
      </c>
    </row>
    <row r="65" spans="1:37" ht="15" customHeight="1">
      <c r="A65" s="2" t="s">
        <v>364</v>
      </c>
      <c r="B65" s="2">
        <v>3147</v>
      </c>
      <c r="C65" s="2" t="s">
        <v>365</v>
      </c>
      <c r="D65" s="2" t="s">
        <v>305</v>
      </c>
      <c r="E65" s="2" t="s">
        <v>366</v>
      </c>
      <c r="F65" s="3">
        <v>45943</v>
      </c>
      <c r="G65" s="3">
        <v>45943</v>
      </c>
      <c r="H65" s="3">
        <v>45943</v>
      </c>
      <c r="I65" s="2"/>
      <c r="J65" s="2"/>
      <c r="K65" s="2" t="s">
        <v>25</v>
      </c>
      <c r="L65" s="2" t="s">
        <v>26</v>
      </c>
      <c r="M65" s="2"/>
      <c r="N65" s="2" t="s">
        <v>27</v>
      </c>
      <c r="O65" s="2">
        <v>375.53</v>
      </c>
      <c r="P65" s="2">
        <v>67.599999999999994</v>
      </c>
      <c r="Q65" s="2">
        <v>443.13</v>
      </c>
      <c r="R65" s="2">
        <v>443.13</v>
      </c>
      <c r="S65" s="2">
        <v>443.13</v>
      </c>
      <c r="T65" s="2" t="s">
        <v>28</v>
      </c>
      <c r="U65" s="2" t="b">
        <v>0</v>
      </c>
      <c r="V65" s="2" t="s">
        <v>29</v>
      </c>
      <c r="W65" s="2" t="s">
        <v>30</v>
      </c>
      <c r="X65" s="2"/>
      <c r="Y65" s="2"/>
      <c r="Z65" s="2" t="s">
        <v>31</v>
      </c>
      <c r="AA65" s="2"/>
      <c r="AB65" s="2"/>
      <c r="AC65" s="2"/>
      <c r="AD65" s="2"/>
      <c r="AK65" s="8">
        <f t="shared" si="1"/>
        <v>45943</v>
      </c>
    </row>
    <row r="66" spans="1:37" ht="15" customHeight="1">
      <c r="A66" s="2" t="s">
        <v>367</v>
      </c>
      <c r="B66" s="2">
        <v>3147</v>
      </c>
      <c r="C66" s="2" t="s">
        <v>365</v>
      </c>
      <c r="D66" s="2" t="s">
        <v>305</v>
      </c>
      <c r="E66" s="2" t="s">
        <v>366</v>
      </c>
      <c r="F66" s="3">
        <v>45943</v>
      </c>
      <c r="G66" s="3">
        <v>45943</v>
      </c>
      <c r="H66" s="3">
        <v>45943</v>
      </c>
      <c r="I66" s="2"/>
      <c r="J66" s="2"/>
      <c r="K66" s="2" t="s">
        <v>25</v>
      </c>
      <c r="L66" s="2" t="s">
        <v>26</v>
      </c>
      <c r="M66" s="2"/>
      <c r="N66" s="2" t="s">
        <v>27</v>
      </c>
      <c r="O66" s="2">
        <v>268.52999999999997</v>
      </c>
      <c r="P66" s="2">
        <v>48.34</v>
      </c>
      <c r="Q66" s="2">
        <v>316.87</v>
      </c>
      <c r="R66" s="2">
        <v>316.87</v>
      </c>
      <c r="S66" s="2">
        <v>316.87</v>
      </c>
      <c r="T66" s="2" t="s">
        <v>28</v>
      </c>
      <c r="U66" s="2" t="b">
        <v>0</v>
      </c>
      <c r="V66" s="2" t="s">
        <v>29</v>
      </c>
      <c r="W66" s="2" t="s">
        <v>30</v>
      </c>
      <c r="X66" s="2"/>
      <c r="Y66" s="2"/>
      <c r="Z66" s="2" t="s">
        <v>31</v>
      </c>
      <c r="AA66" s="2"/>
      <c r="AB66" s="2"/>
      <c r="AC66" s="2"/>
      <c r="AD66" s="2"/>
      <c r="AK66" s="8">
        <f t="shared" si="1"/>
        <v>45943</v>
      </c>
    </row>
    <row r="67" spans="1:37" ht="15" customHeight="1">
      <c r="A67" s="2" t="s">
        <v>368</v>
      </c>
      <c r="B67" s="2">
        <v>3190</v>
      </c>
      <c r="C67" s="2" t="s">
        <v>369</v>
      </c>
      <c r="D67" s="2" t="s">
        <v>305</v>
      </c>
      <c r="E67" s="2" t="s">
        <v>314</v>
      </c>
      <c r="F67" s="3">
        <v>45943</v>
      </c>
      <c r="G67" s="3">
        <v>45943</v>
      </c>
      <c r="H67" s="3">
        <v>45943</v>
      </c>
      <c r="I67" s="2"/>
      <c r="J67" s="2"/>
      <c r="K67" s="2" t="s">
        <v>25</v>
      </c>
      <c r="L67" s="2" t="s">
        <v>26</v>
      </c>
      <c r="M67" s="2"/>
      <c r="N67" s="2" t="s">
        <v>27</v>
      </c>
      <c r="O67" s="2">
        <v>708.9</v>
      </c>
      <c r="P67" s="2">
        <v>127.6</v>
      </c>
      <c r="Q67" s="2">
        <v>836.5</v>
      </c>
      <c r="R67" s="2">
        <v>836.5</v>
      </c>
      <c r="S67" s="2">
        <v>836.5</v>
      </c>
      <c r="T67" s="2" t="s">
        <v>28</v>
      </c>
      <c r="U67" s="2" t="b">
        <v>0</v>
      </c>
      <c r="V67" s="2" t="s">
        <v>29</v>
      </c>
      <c r="W67" s="2" t="s">
        <v>30</v>
      </c>
      <c r="X67" s="2"/>
      <c r="Y67" s="2"/>
      <c r="Z67" s="2" t="s">
        <v>31</v>
      </c>
      <c r="AA67" s="2"/>
      <c r="AB67" s="2"/>
      <c r="AC67" s="2"/>
      <c r="AD67" s="2"/>
      <c r="AK67" s="8">
        <f t="shared" si="1"/>
        <v>45943</v>
      </c>
    </row>
    <row r="68" spans="1:37" ht="15" customHeight="1">
      <c r="A68" s="2" t="s">
        <v>370</v>
      </c>
      <c r="B68" s="2">
        <v>3190</v>
      </c>
      <c r="C68" s="2" t="s">
        <v>369</v>
      </c>
      <c r="D68" s="2" t="s">
        <v>305</v>
      </c>
      <c r="E68" s="2" t="s">
        <v>314</v>
      </c>
      <c r="F68" s="3">
        <v>45943</v>
      </c>
      <c r="G68" s="3">
        <v>45943</v>
      </c>
      <c r="H68" s="3">
        <v>45943</v>
      </c>
      <c r="I68" s="2"/>
      <c r="J68" s="2"/>
      <c r="K68" s="2" t="s">
        <v>25</v>
      </c>
      <c r="L68" s="2" t="s">
        <v>26</v>
      </c>
      <c r="M68" s="2"/>
      <c r="N68" s="2" t="s">
        <v>27</v>
      </c>
      <c r="O68" s="2">
        <v>488.81</v>
      </c>
      <c r="P68" s="2">
        <v>87.99</v>
      </c>
      <c r="Q68" s="2">
        <v>576.79999999999995</v>
      </c>
      <c r="R68" s="2">
        <v>576.79999999999995</v>
      </c>
      <c r="S68" s="2">
        <v>576.79999999999995</v>
      </c>
      <c r="T68" s="2" t="s">
        <v>28</v>
      </c>
      <c r="U68" s="2" t="b">
        <v>0</v>
      </c>
      <c r="V68" s="2" t="s">
        <v>29</v>
      </c>
      <c r="W68" s="2" t="s">
        <v>30</v>
      </c>
      <c r="X68" s="2"/>
      <c r="Y68" s="2"/>
      <c r="Z68" s="2" t="s">
        <v>31</v>
      </c>
      <c r="AA68" s="2"/>
      <c r="AB68" s="2"/>
      <c r="AC68" s="2"/>
      <c r="AD68" s="2"/>
      <c r="AK68" s="8">
        <f t="shared" si="1"/>
        <v>45943</v>
      </c>
    </row>
    <row r="69" spans="1:37" ht="15" customHeight="1">
      <c r="A69" s="2" t="s">
        <v>371</v>
      </c>
      <c r="B69" s="2">
        <v>3149</v>
      </c>
      <c r="C69" s="2" t="s">
        <v>372</v>
      </c>
      <c r="D69" s="2" t="s">
        <v>272</v>
      </c>
      <c r="E69" s="2" t="s">
        <v>373</v>
      </c>
      <c r="F69" s="3">
        <v>45941</v>
      </c>
      <c r="G69" s="3">
        <v>45941</v>
      </c>
      <c r="H69" s="3">
        <v>45941</v>
      </c>
      <c r="I69" s="2"/>
      <c r="J69" s="2"/>
      <c r="K69" s="2" t="s">
        <v>25</v>
      </c>
      <c r="L69" s="2" t="s">
        <v>26</v>
      </c>
      <c r="M69" s="2"/>
      <c r="N69" s="2" t="s">
        <v>27</v>
      </c>
      <c r="O69" s="2">
        <v>79.75</v>
      </c>
      <c r="P69" s="2">
        <v>14.36</v>
      </c>
      <c r="Q69" s="2">
        <v>94.11</v>
      </c>
      <c r="R69" s="2">
        <v>94.11</v>
      </c>
      <c r="S69" s="2">
        <v>94.11</v>
      </c>
      <c r="T69" s="2" t="s">
        <v>28</v>
      </c>
      <c r="U69" s="2" t="b">
        <v>0</v>
      </c>
      <c r="V69" s="2" t="s">
        <v>29</v>
      </c>
      <c r="W69" s="2" t="s">
        <v>30</v>
      </c>
      <c r="X69" s="2"/>
      <c r="Y69" s="2"/>
      <c r="Z69" s="2" t="s">
        <v>31</v>
      </c>
      <c r="AA69" s="2"/>
      <c r="AB69" s="2"/>
      <c r="AC69" s="2"/>
      <c r="AD69" s="2"/>
      <c r="AK69" s="8">
        <f t="shared" si="1"/>
        <v>45941</v>
      </c>
    </row>
    <row r="70" spans="1:37" ht="15" customHeight="1">
      <c r="A70" s="2" t="s">
        <v>374</v>
      </c>
      <c r="B70" s="2">
        <v>3149</v>
      </c>
      <c r="C70" s="2" t="s">
        <v>372</v>
      </c>
      <c r="D70" s="2" t="s">
        <v>272</v>
      </c>
      <c r="E70" s="2" t="s">
        <v>373</v>
      </c>
      <c r="F70" s="3">
        <v>45940</v>
      </c>
      <c r="G70" s="3">
        <v>45940</v>
      </c>
      <c r="H70" s="3">
        <v>45940</v>
      </c>
      <c r="I70" s="2"/>
      <c r="J70" s="2"/>
      <c r="K70" s="2" t="s">
        <v>25</v>
      </c>
      <c r="L70" s="2" t="s">
        <v>26</v>
      </c>
      <c r="M70" s="2"/>
      <c r="N70" s="2" t="s">
        <v>27</v>
      </c>
      <c r="O70" s="2">
        <v>73.47</v>
      </c>
      <c r="P70" s="2">
        <v>13.22</v>
      </c>
      <c r="Q70" s="2">
        <v>86.69</v>
      </c>
      <c r="R70" s="2">
        <v>86.69</v>
      </c>
      <c r="S70" s="2">
        <v>86.69</v>
      </c>
      <c r="T70" s="2" t="s">
        <v>28</v>
      </c>
      <c r="U70" s="2" t="b">
        <v>0</v>
      </c>
      <c r="V70" s="2" t="s">
        <v>29</v>
      </c>
      <c r="W70" s="2" t="s">
        <v>30</v>
      </c>
      <c r="X70" s="2"/>
      <c r="Y70" s="2"/>
      <c r="Z70" s="2" t="s">
        <v>31</v>
      </c>
      <c r="AA70" s="2"/>
      <c r="AB70" s="2"/>
      <c r="AC70" s="2"/>
      <c r="AD70" s="2"/>
      <c r="AK70" s="8">
        <f t="shared" si="1"/>
        <v>45940</v>
      </c>
    </row>
    <row r="71" spans="1:37" ht="15" customHeight="1">
      <c r="A71" s="2" t="s">
        <v>375</v>
      </c>
      <c r="B71" s="2">
        <v>3157</v>
      </c>
      <c r="C71" s="2" t="s">
        <v>376</v>
      </c>
      <c r="D71" s="2" t="s">
        <v>305</v>
      </c>
      <c r="E71" s="2" t="s">
        <v>34</v>
      </c>
      <c r="F71" s="3">
        <v>45940</v>
      </c>
      <c r="G71" s="3">
        <v>45940</v>
      </c>
      <c r="H71" s="3">
        <v>45940</v>
      </c>
      <c r="I71" s="2"/>
      <c r="J71" s="2"/>
      <c r="K71" s="2" t="s">
        <v>25</v>
      </c>
      <c r="L71" s="2" t="s">
        <v>26</v>
      </c>
      <c r="M71" s="2"/>
      <c r="N71" s="2" t="s">
        <v>27</v>
      </c>
      <c r="O71" s="2">
        <v>482.54</v>
      </c>
      <c r="P71" s="2">
        <v>86.86</v>
      </c>
      <c r="Q71" s="2">
        <v>569.4</v>
      </c>
      <c r="R71" s="2">
        <v>569.4</v>
      </c>
      <c r="S71" s="2">
        <v>569.4</v>
      </c>
      <c r="T71" s="2" t="s">
        <v>28</v>
      </c>
      <c r="U71" s="2" t="b">
        <v>0</v>
      </c>
      <c r="V71" s="2" t="s">
        <v>29</v>
      </c>
      <c r="W71" s="2" t="s">
        <v>30</v>
      </c>
      <c r="X71" s="2"/>
      <c r="Y71" s="2"/>
      <c r="Z71" s="2" t="s">
        <v>31</v>
      </c>
      <c r="AA71" s="2"/>
      <c r="AB71" s="2"/>
      <c r="AC71" s="2"/>
      <c r="AD71" s="2"/>
      <c r="AK71" s="8">
        <f t="shared" ref="AK71:AK134" si="2">+IF(AE71&lt;&gt;"",AE71,F71)</f>
        <v>45940</v>
      </c>
    </row>
    <row r="72" spans="1:37" ht="15" customHeight="1">
      <c r="A72" s="2" t="s">
        <v>377</v>
      </c>
      <c r="B72" s="2">
        <v>3157</v>
      </c>
      <c r="C72" s="2" t="s">
        <v>376</v>
      </c>
      <c r="D72" s="2" t="s">
        <v>305</v>
      </c>
      <c r="E72" s="2" t="s">
        <v>34</v>
      </c>
      <c r="F72" s="3">
        <v>45939</v>
      </c>
      <c r="G72" s="3">
        <v>45939</v>
      </c>
      <c r="H72" s="3">
        <v>45939</v>
      </c>
      <c r="I72" s="2"/>
      <c r="J72" s="2"/>
      <c r="K72" s="2" t="s">
        <v>25</v>
      </c>
      <c r="L72" s="2" t="s">
        <v>26</v>
      </c>
      <c r="M72" s="2"/>
      <c r="N72" s="2" t="s">
        <v>27</v>
      </c>
      <c r="O72" s="2">
        <v>317.5</v>
      </c>
      <c r="P72" s="2">
        <v>57.15</v>
      </c>
      <c r="Q72" s="2">
        <v>374.65</v>
      </c>
      <c r="R72" s="2">
        <v>374.65</v>
      </c>
      <c r="S72" s="2">
        <v>374.65</v>
      </c>
      <c r="T72" s="2" t="s">
        <v>28</v>
      </c>
      <c r="U72" s="2" t="b">
        <v>0</v>
      </c>
      <c r="V72" s="2" t="s">
        <v>29</v>
      </c>
      <c r="W72" s="2" t="s">
        <v>30</v>
      </c>
      <c r="X72" s="2"/>
      <c r="Y72" s="2"/>
      <c r="Z72" s="2" t="s">
        <v>31</v>
      </c>
      <c r="AA72" s="2"/>
      <c r="AB72" s="2"/>
      <c r="AC72" s="2"/>
      <c r="AD72" s="2"/>
      <c r="AK72" s="8">
        <f t="shared" si="2"/>
        <v>45939</v>
      </c>
    </row>
    <row r="73" spans="1:37" ht="15" customHeight="1">
      <c r="A73" s="2" t="s">
        <v>378</v>
      </c>
      <c r="B73" s="2">
        <v>3185</v>
      </c>
      <c r="C73" s="2" t="s">
        <v>379</v>
      </c>
      <c r="D73" s="2" t="s">
        <v>272</v>
      </c>
      <c r="E73" s="2" t="s">
        <v>380</v>
      </c>
      <c r="F73" s="3">
        <v>45937</v>
      </c>
      <c r="G73" s="3">
        <v>45937</v>
      </c>
      <c r="H73" s="3">
        <v>45937</v>
      </c>
      <c r="I73" s="2"/>
      <c r="J73" s="2"/>
      <c r="K73" s="2" t="s">
        <v>25</v>
      </c>
      <c r="L73" s="2" t="s">
        <v>26</v>
      </c>
      <c r="M73" s="2"/>
      <c r="N73" s="2" t="s">
        <v>27</v>
      </c>
      <c r="O73" s="2">
        <v>4123.66</v>
      </c>
      <c r="P73" s="2">
        <v>742.26</v>
      </c>
      <c r="Q73" s="2">
        <v>4865.92</v>
      </c>
      <c r="R73" s="2">
        <v>4865.92</v>
      </c>
      <c r="S73" s="2">
        <v>4865.92</v>
      </c>
      <c r="T73" s="2" t="s">
        <v>28</v>
      </c>
      <c r="U73" s="2" t="b">
        <v>0</v>
      </c>
      <c r="V73" s="2" t="s">
        <v>29</v>
      </c>
      <c r="W73" s="2" t="s">
        <v>30</v>
      </c>
      <c r="X73" s="2"/>
      <c r="Y73" s="2"/>
      <c r="Z73" s="2" t="s">
        <v>31</v>
      </c>
      <c r="AA73" s="2"/>
      <c r="AB73" s="2"/>
      <c r="AC73" s="2"/>
      <c r="AD73" s="2"/>
      <c r="AK73" s="8">
        <f t="shared" si="2"/>
        <v>45937</v>
      </c>
    </row>
    <row r="74" spans="1:37" ht="15" customHeight="1">
      <c r="A74" s="2" t="s">
        <v>381</v>
      </c>
      <c r="B74" s="2">
        <v>3065</v>
      </c>
      <c r="C74" s="2" t="s">
        <v>348</v>
      </c>
      <c r="D74" s="2" t="s">
        <v>305</v>
      </c>
      <c r="E74" s="2" t="s">
        <v>349</v>
      </c>
      <c r="F74" s="3">
        <v>45937</v>
      </c>
      <c r="G74" s="3">
        <v>45937</v>
      </c>
      <c r="H74" s="3">
        <v>45937</v>
      </c>
      <c r="I74" s="2"/>
      <c r="J74" s="2"/>
      <c r="K74" s="2" t="s">
        <v>25</v>
      </c>
      <c r="L74" s="2" t="s">
        <v>26</v>
      </c>
      <c r="M74" s="2"/>
      <c r="N74" s="2" t="s">
        <v>27</v>
      </c>
      <c r="O74" s="2">
        <v>5603.9</v>
      </c>
      <c r="P74" s="2">
        <v>1008.7</v>
      </c>
      <c r="Q74" s="2">
        <v>6612.6</v>
      </c>
      <c r="R74" s="2">
        <v>6612.6</v>
      </c>
      <c r="S74" s="2">
        <v>6612.6</v>
      </c>
      <c r="T74" s="2" t="s">
        <v>28</v>
      </c>
      <c r="U74" s="2" t="b">
        <v>0</v>
      </c>
      <c r="V74" s="2" t="s">
        <v>29</v>
      </c>
      <c r="W74" s="2" t="s">
        <v>30</v>
      </c>
      <c r="X74" s="2"/>
      <c r="Y74" s="2"/>
      <c r="Z74" s="2" t="s">
        <v>31</v>
      </c>
      <c r="AA74" s="2"/>
      <c r="AB74" s="2"/>
      <c r="AC74" s="2"/>
      <c r="AD74" s="2"/>
      <c r="AK74" s="8">
        <f t="shared" si="2"/>
        <v>45937</v>
      </c>
    </row>
    <row r="75" spans="1:37" ht="15" customHeight="1">
      <c r="A75" s="2" t="s">
        <v>382</v>
      </c>
      <c r="B75" s="2">
        <v>0</v>
      </c>
      <c r="C75" s="2"/>
      <c r="D75" s="2" t="s">
        <v>305</v>
      </c>
      <c r="E75" s="2" t="s">
        <v>383</v>
      </c>
      <c r="F75" s="3">
        <v>45698</v>
      </c>
      <c r="G75" s="3">
        <v>45698</v>
      </c>
      <c r="H75" s="3">
        <v>45698</v>
      </c>
      <c r="I75" s="2"/>
      <c r="J75" s="2"/>
      <c r="K75" s="2" t="s">
        <v>25</v>
      </c>
      <c r="L75" s="2" t="s">
        <v>26</v>
      </c>
      <c r="M75" s="2"/>
      <c r="N75" s="2" t="s">
        <v>27</v>
      </c>
      <c r="O75" s="2">
        <v>1230</v>
      </c>
      <c r="P75" s="2">
        <v>221.4</v>
      </c>
      <c r="Q75" s="2">
        <v>1451.4</v>
      </c>
      <c r="R75" s="2">
        <v>1451.4</v>
      </c>
      <c r="S75" s="2">
        <v>1451.4</v>
      </c>
      <c r="T75" s="2" t="s">
        <v>28</v>
      </c>
      <c r="U75" s="2" t="b">
        <v>0</v>
      </c>
      <c r="V75" s="2" t="s">
        <v>29</v>
      </c>
      <c r="W75" s="2" t="s">
        <v>104</v>
      </c>
      <c r="X75" s="2" t="s">
        <v>105</v>
      </c>
      <c r="Y75" s="2" t="s">
        <v>384</v>
      </c>
      <c r="Z75" s="2" t="s">
        <v>31</v>
      </c>
      <c r="AA75" s="2"/>
      <c r="AB75" s="2"/>
      <c r="AC75" s="2"/>
      <c r="AD75" s="2"/>
      <c r="AK75" s="8">
        <f t="shared" si="2"/>
        <v>45698</v>
      </c>
    </row>
    <row r="76" spans="1:37" ht="15" customHeight="1">
      <c r="A76" s="2" t="s">
        <v>385</v>
      </c>
      <c r="B76" s="2">
        <v>0</v>
      </c>
      <c r="C76" s="2"/>
      <c r="D76" s="2" t="s">
        <v>305</v>
      </c>
      <c r="E76" s="2" t="s">
        <v>34</v>
      </c>
      <c r="F76" s="3">
        <v>45698</v>
      </c>
      <c r="G76" s="3">
        <v>45698</v>
      </c>
      <c r="H76" s="3">
        <v>45698</v>
      </c>
      <c r="I76" s="2"/>
      <c r="J76" s="2"/>
      <c r="K76" s="2" t="s">
        <v>25</v>
      </c>
      <c r="L76" s="2" t="s">
        <v>26</v>
      </c>
      <c r="M76" s="2"/>
      <c r="N76" s="2" t="s">
        <v>27</v>
      </c>
      <c r="O76" s="2">
        <v>1241</v>
      </c>
      <c r="P76" s="2">
        <v>223.38</v>
      </c>
      <c r="Q76" s="2">
        <v>1464.38</v>
      </c>
      <c r="R76" s="2">
        <v>1464.38</v>
      </c>
      <c r="S76" s="2">
        <v>1464.38</v>
      </c>
      <c r="T76" s="2" t="s">
        <v>28</v>
      </c>
      <c r="U76" s="2" t="b">
        <v>0</v>
      </c>
      <c r="V76" s="2" t="s">
        <v>29</v>
      </c>
      <c r="W76" s="2" t="s">
        <v>104</v>
      </c>
      <c r="X76" s="2" t="s">
        <v>105</v>
      </c>
      <c r="Y76" s="2" t="s">
        <v>386</v>
      </c>
      <c r="Z76" s="2" t="s">
        <v>31</v>
      </c>
      <c r="AA76" s="2"/>
      <c r="AB76" s="2"/>
      <c r="AC76" s="2"/>
      <c r="AD76" s="2"/>
      <c r="AK76" s="8">
        <f t="shared" si="2"/>
        <v>45698</v>
      </c>
    </row>
    <row r="77" spans="1:37" ht="15" customHeight="1">
      <c r="A77" s="2" t="s">
        <v>387</v>
      </c>
      <c r="B77" s="2">
        <v>0</v>
      </c>
      <c r="C77" s="2"/>
      <c r="D77" s="2" t="s">
        <v>305</v>
      </c>
      <c r="E77" s="2" t="s">
        <v>35</v>
      </c>
      <c r="F77" s="3">
        <v>45698</v>
      </c>
      <c r="G77" s="3">
        <v>45698</v>
      </c>
      <c r="H77" s="3">
        <v>45698</v>
      </c>
      <c r="I77" s="2"/>
      <c r="J77" s="2"/>
      <c r="K77" s="2" t="s">
        <v>25</v>
      </c>
      <c r="L77" s="2" t="s">
        <v>26</v>
      </c>
      <c r="M77" s="2"/>
      <c r="N77" s="2" t="s">
        <v>27</v>
      </c>
      <c r="O77" s="2">
        <v>400</v>
      </c>
      <c r="P77" s="2">
        <v>72</v>
      </c>
      <c r="Q77" s="2">
        <v>472</v>
      </c>
      <c r="R77" s="2">
        <v>472</v>
      </c>
      <c r="S77" s="2">
        <v>472</v>
      </c>
      <c r="T77" s="2" t="s">
        <v>28</v>
      </c>
      <c r="U77" s="2" t="b">
        <v>0</v>
      </c>
      <c r="V77" s="2" t="s">
        <v>29</v>
      </c>
      <c r="W77" s="2" t="s">
        <v>104</v>
      </c>
      <c r="X77" s="2" t="s">
        <v>105</v>
      </c>
      <c r="Y77" s="2" t="s">
        <v>388</v>
      </c>
      <c r="Z77" s="2" t="s">
        <v>31</v>
      </c>
      <c r="AA77" s="2"/>
      <c r="AB77" s="2"/>
      <c r="AC77" s="2"/>
      <c r="AD77" s="2"/>
      <c r="AK77" s="8">
        <f t="shared" si="2"/>
        <v>45698</v>
      </c>
    </row>
    <row r="78" spans="1:37" ht="15" customHeight="1">
      <c r="A78" s="2" t="s">
        <v>389</v>
      </c>
      <c r="B78" s="2">
        <v>0</v>
      </c>
      <c r="C78" s="2"/>
      <c r="D78" s="2" t="s">
        <v>305</v>
      </c>
      <c r="E78" s="2" t="s">
        <v>36</v>
      </c>
      <c r="F78" s="3">
        <v>45695</v>
      </c>
      <c r="G78" s="3">
        <v>45695</v>
      </c>
      <c r="H78" s="3">
        <v>45695</v>
      </c>
      <c r="I78" s="2"/>
      <c r="J78" s="2"/>
      <c r="K78" s="2" t="s">
        <v>25</v>
      </c>
      <c r="L78" s="2" t="s">
        <v>26</v>
      </c>
      <c r="M78" s="2"/>
      <c r="N78" s="2" t="s">
        <v>27</v>
      </c>
      <c r="O78" s="2">
        <v>107.37</v>
      </c>
      <c r="P78" s="2">
        <v>19.329999999999998</v>
      </c>
      <c r="Q78" s="2">
        <v>126.7</v>
      </c>
      <c r="R78" s="2">
        <v>126.7</v>
      </c>
      <c r="S78" s="2">
        <v>126.7</v>
      </c>
      <c r="T78" s="2" t="s">
        <v>28</v>
      </c>
      <c r="U78" s="2" t="b">
        <v>0</v>
      </c>
      <c r="V78" s="2" t="s">
        <v>29</v>
      </c>
      <c r="W78" s="2" t="s">
        <v>104</v>
      </c>
      <c r="X78" s="2" t="s">
        <v>105</v>
      </c>
      <c r="Y78" s="2" t="s">
        <v>390</v>
      </c>
      <c r="Z78" s="2" t="s">
        <v>31</v>
      </c>
      <c r="AA78" s="2"/>
      <c r="AB78" s="2"/>
      <c r="AC78" s="2"/>
      <c r="AD78" s="2"/>
      <c r="AK78" s="8">
        <f t="shared" si="2"/>
        <v>45695</v>
      </c>
    </row>
    <row r="79" spans="1:37" ht="15" customHeight="1">
      <c r="A79" s="2" t="s">
        <v>391</v>
      </c>
      <c r="B79" s="2">
        <v>0</v>
      </c>
      <c r="C79" s="2"/>
      <c r="D79" s="2" t="s">
        <v>305</v>
      </c>
      <c r="E79" s="2" t="s">
        <v>36</v>
      </c>
      <c r="F79" s="3">
        <v>45695</v>
      </c>
      <c r="G79" s="3">
        <v>45695</v>
      </c>
      <c r="H79" s="3">
        <v>45695</v>
      </c>
      <c r="I79" s="2"/>
      <c r="J79" s="2"/>
      <c r="K79" s="2" t="s">
        <v>25</v>
      </c>
      <c r="L79" s="2" t="s">
        <v>26</v>
      </c>
      <c r="M79" s="2"/>
      <c r="N79" s="2" t="s">
        <v>27</v>
      </c>
      <c r="O79" s="2">
        <v>30.68</v>
      </c>
      <c r="P79" s="2">
        <v>5.52</v>
      </c>
      <c r="Q79" s="2">
        <v>36.200000000000003</v>
      </c>
      <c r="R79" s="2">
        <v>36.200000000000003</v>
      </c>
      <c r="S79" s="2">
        <v>36.200000000000003</v>
      </c>
      <c r="T79" s="2" t="s">
        <v>28</v>
      </c>
      <c r="U79" s="2" t="b">
        <v>0</v>
      </c>
      <c r="V79" s="2" t="s">
        <v>29</v>
      </c>
      <c r="W79" s="2" t="s">
        <v>104</v>
      </c>
      <c r="X79" s="2" t="s">
        <v>105</v>
      </c>
      <c r="Y79" s="2" t="s">
        <v>392</v>
      </c>
      <c r="Z79" s="2" t="s">
        <v>31</v>
      </c>
      <c r="AA79" s="2"/>
      <c r="AB79" s="2"/>
      <c r="AC79" s="2"/>
      <c r="AD79" s="2"/>
      <c r="AK79" s="8">
        <f t="shared" si="2"/>
        <v>45695</v>
      </c>
    </row>
    <row r="80" spans="1:37" ht="15" customHeight="1">
      <c r="A80" s="2" t="s">
        <v>393</v>
      </c>
      <c r="B80" s="2">
        <v>0</v>
      </c>
      <c r="C80" s="2"/>
      <c r="D80" s="2" t="s">
        <v>305</v>
      </c>
      <c r="E80" s="2" t="s">
        <v>36</v>
      </c>
      <c r="F80" s="3">
        <v>45695</v>
      </c>
      <c r="G80" s="3">
        <v>45695</v>
      </c>
      <c r="H80" s="3">
        <v>45695</v>
      </c>
      <c r="I80" s="2"/>
      <c r="J80" s="2"/>
      <c r="K80" s="2" t="s">
        <v>25</v>
      </c>
      <c r="L80" s="2" t="s">
        <v>26</v>
      </c>
      <c r="M80" s="2"/>
      <c r="N80" s="2" t="s">
        <v>27</v>
      </c>
      <c r="O80" s="2">
        <v>20.190000000000001</v>
      </c>
      <c r="P80" s="2">
        <v>3.64</v>
      </c>
      <c r="Q80" s="2">
        <v>23.83</v>
      </c>
      <c r="R80" s="2">
        <v>23.83</v>
      </c>
      <c r="S80" s="2">
        <v>23.83</v>
      </c>
      <c r="T80" s="2" t="s">
        <v>28</v>
      </c>
      <c r="U80" s="2" t="b">
        <v>0</v>
      </c>
      <c r="V80" s="2" t="s">
        <v>29</v>
      </c>
      <c r="W80" s="2" t="s">
        <v>104</v>
      </c>
      <c r="X80" s="2" t="s">
        <v>105</v>
      </c>
      <c r="Y80" s="2" t="s">
        <v>394</v>
      </c>
      <c r="Z80" s="2" t="s">
        <v>31</v>
      </c>
      <c r="AA80" s="2"/>
      <c r="AB80" s="2"/>
      <c r="AC80" s="2"/>
      <c r="AD80" s="2"/>
      <c r="AK80" s="8">
        <f t="shared" si="2"/>
        <v>45695</v>
      </c>
    </row>
    <row r="81" spans="1:37" ht="15" customHeight="1">
      <c r="A81" s="2" t="s">
        <v>395</v>
      </c>
      <c r="B81" s="2">
        <v>0</v>
      </c>
      <c r="C81" s="2"/>
      <c r="D81" s="2" t="s">
        <v>272</v>
      </c>
      <c r="E81" s="2" t="s">
        <v>396</v>
      </c>
      <c r="F81" s="3">
        <v>45695</v>
      </c>
      <c r="G81" s="3">
        <v>45695</v>
      </c>
      <c r="H81" s="3">
        <v>45695</v>
      </c>
      <c r="I81" s="2"/>
      <c r="J81" s="2"/>
      <c r="K81" s="2" t="s">
        <v>25</v>
      </c>
      <c r="L81" s="2" t="s">
        <v>26</v>
      </c>
      <c r="M81" s="2"/>
      <c r="N81" s="2" t="s">
        <v>27</v>
      </c>
      <c r="O81" s="2">
        <v>50.85</v>
      </c>
      <c r="P81" s="2">
        <v>9.15</v>
      </c>
      <c r="Q81" s="2">
        <v>60</v>
      </c>
      <c r="R81" s="2">
        <v>60</v>
      </c>
      <c r="S81" s="2">
        <v>60</v>
      </c>
      <c r="T81" s="2" t="s">
        <v>28</v>
      </c>
      <c r="U81" s="2" t="b">
        <v>0</v>
      </c>
      <c r="V81" s="2" t="s">
        <v>29</v>
      </c>
      <c r="W81" s="2" t="s">
        <v>104</v>
      </c>
      <c r="X81" s="2" t="s">
        <v>105</v>
      </c>
      <c r="Y81" s="2" t="s">
        <v>397</v>
      </c>
      <c r="Z81" s="2" t="s">
        <v>31</v>
      </c>
      <c r="AA81" s="2"/>
      <c r="AB81" s="2"/>
      <c r="AC81" s="2"/>
      <c r="AD81" s="2"/>
      <c r="AK81" s="8">
        <f t="shared" si="2"/>
        <v>45695</v>
      </c>
    </row>
    <row r="82" spans="1:37" ht="15" customHeight="1">
      <c r="A82" s="2" t="s">
        <v>398</v>
      </c>
      <c r="B82" s="2">
        <v>0</v>
      </c>
      <c r="C82" s="2"/>
      <c r="D82" s="2" t="s">
        <v>272</v>
      </c>
      <c r="E82" s="2" t="s">
        <v>396</v>
      </c>
      <c r="F82" s="3">
        <v>45695</v>
      </c>
      <c r="G82" s="3">
        <v>45695</v>
      </c>
      <c r="H82" s="3">
        <v>45695</v>
      </c>
      <c r="I82" s="2"/>
      <c r="J82" s="2"/>
      <c r="K82" s="2" t="s">
        <v>25</v>
      </c>
      <c r="L82" s="2" t="s">
        <v>26</v>
      </c>
      <c r="M82" s="2"/>
      <c r="N82" s="2" t="s">
        <v>27</v>
      </c>
      <c r="O82" s="2">
        <v>60</v>
      </c>
      <c r="P82" s="2">
        <v>10.8</v>
      </c>
      <c r="Q82" s="2">
        <v>70.8</v>
      </c>
      <c r="R82" s="2">
        <v>70.8</v>
      </c>
      <c r="S82" s="2">
        <v>70.8</v>
      </c>
      <c r="T82" s="2" t="s">
        <v>28</v>
      </c>
      <c r="U82" s="2" t="b">
        <v>0</v>
      </c>
      <c r="V82" s="2" t="s">
        <v>29</v>
      </c>
      <c r="W82" s="2" t="s">
        <v>104</v>
      </c>
      <c r="X82" s="2" t="s">
        <v>105</v>
      </c>
      <c r="Y82" s="2" t="s">
        <v>399</v>
      </c>
      <c r="Z82" s="2" t="s">
        <v>31</v>
      </c>
      <c r="AA82" s="2"/>
      <c r="AB82" s="2"/>
      <c r="AC82" s="2"/>
      <c r="AD82" s="2"/>
      <c r="AK82" s="8">
        <f t="shared" si="2"/>
        <v>45695</v>
      </c>
    </row>
    <row r="83" spans="1:37" ht="15" customHeight="1">
      <c r="A83" s="2" t="s">
        <v>400</v>
      </c>
      <c r="B83" s="2">
        <v>0</v>
      </c>
      <c r="C83" s="2"/>
      <c r="D83" s="2" t="s">
        <v>305</v>
      </c>
      <c r="E83" s="2" t="s">
        <v>401</v>
      </c>
      <c r="F83" s="3">
        <v>45693</v>
      </c>
      <c r="G83" s="3">
        <v>45693</v>
      </c>
      <c r="H83" s="3">
        <v>45693</v>
      </c>
      <c r="I83" s="2"/>
      <c r="J83" s="2"/>
      <c r="K83" s="2" t="s">
        <v>25</v>
      </c>
      <c r="L83" s="2" t="s">
        <v>26</v>
      </c>
      <c r="M83" s="2"/>
      <c r="N83" s="2" t="s">
        <v>27</v>
      </c>
      <c r="O83" s="2">
        <v>12.75</v>
      </c>
      <c r="P83" s="2">
        <v>2.29</v>
      </c>
      <c r="Q83" s="2">
        <v>15.04</v>
      </c>
      <c r="R83" s="2">
        <v>15.04</v>
      </c>
      <c r="S83" s="2">
        <v>15.04</v>
      </c>
      <c r="T83" s="2" t="s">
        <v>28</v>
      </c>
      <c r="U83" s="2" t="b">
        <v>0</v>
      </c>
      <c r="V83" s="2" t="s">
        <v>29</v>
      </c>
      <c r="W83" s="2" t="s">
        <v>104</v>
      </c>
      <c r="X83" s="2" t="s">
        <v>105</v>
      </c>
      <c r="Y83" s="2" t="s">
        <v>402</v>
      </c>
      <c r="Z83" s="2" t="s">
        <v>31</v>
      </c>
      <c r="AA83" s="2"/>
      <c r="AB83" s="2"/>
      <c r="AC83" s="2"/>
      <c r="AD83" s="2"/>
      <c r="AK83" s="8">
        <f t="shared" si="2"/>
        <v>45693</v>
      </c>
    </row>
    <row r="84" spans="1:37" ht="15" customHeight="1">
      <c r="A84" s="2" t="s">
        <v>403</v>
      </c>
      <c r="B84" s="2">
        <v>0</v>
      </c>
      <c r="C84" s="2"/>
      <c r="D84" s="2" t="s">
        <v>305</v>
      </c>
      <c r="E84" s="2" t="s">
        <v>401</v>
      </c>
      <c r="F84" s="3">
        <v>45693</v>
      </c>
      <c r="G84" s="3">
        <v>45693</v>
      </c>
      <c r="H84" s="3">
        <v>45693</v>
      </c>
      <c r="I84" s="2"/>
      <c r="J84" s="2"/>
      <c r="K84" s="2" t="s">
        <v>25</v>
      </c>
      <c r="L84" s="2" t="s">
        <v>26</v>
      </c>
      <c r="M84" s="2"/>
      <c r="N84" s="2" t="s">
        <v>27</v>
      </c>
      <c r="O84" s="2">
        <v>392.2</v>
      </c>
      <c r="P84" s="2">
        <v>70.599999999999994</v>
      </c>
      <c r="Q84" s="2">
        <v>462.8</v>
      </c>
      <c r="R84" s="2">
        <v>462.8</v>
      </c>
      <c r="S84" s="2">
        <v>462.8</v>
      </c>
      <c r="T84" s="2" t="s">
        <v>28</v>
      </c>
      <c r="U84" s="2" t="b">
        <v>0</v>
      </c>
      <c r="V84" s="2" t="s">
        <v>29</v>
      </c>
      <c r="W84" s="2" t="s">
        <v>104</v>
      </c>
      <c r="X84" s="2" t="s">
        <v>105</v>
      </c>
      <c r="Y84" s="2" t="s">
        <v>404</v>
      </c>
      <c r="Z84" s="2" t="s">
        <v>31</v>
      </c>
      <c r="AA84" s="2"/>
      <c r="AB84" s="2"/>
      <c r="AC84" s="2"/>
      <c r="AD84" s="2"/>
      <c r="AK84" s="8">
        <f t="shared" si="2"/>
        <v>45693</v>
      </c>
    </row>
    <row r="85" spans="1:37" ht="15" customHeight="1">
      <c r="A85" s="2" t="s">
        <v>405</v>
      </c>
      <c r="B85" s="2">
        <v>0</v>
      </c>
      <c r="C85" s="2"/>
      <c r="D85" s="2" t="s">
        <v>305</v>
      </c>
      <c r="E85" s="2" t="s">
        <v>401</v>
      </c>
      <c r="F85" s="3">
        <v>45693</v>
      </c>
      <c r="G85" s="3">
        <v>45693</v>
      </c>
      <c r="H85" s="3">
        <v>45693</v>
      </c>
      <c r="I85" s="2"/>
      <c r="J85" s="2"/>
      <c r="K85" s="2" t="s">
        <v>25</v>
      </c>
      <c r="L85" s="2" t="s">
        <v>26</v>
      </c>
      <c r="M85" s="2"/>
      <c r="N85" s="2" t="s">
        <v>27</v>
      </c>
      <c r="O85" s="2">
        <v>527.39</v>
      </c>
      <c r="P85" s="2">
        <v>94.93</v>
      </c>
      <c r="Q85" s="2">
        <v>622.32000000000005</v>
      </c>
      <c r="R85" s="2">
        <v>622.32000000000005</v>
      </c>
      <c r="S85" s="2">
        <v>622.32000000000005</v>
      </c>
      <c r="T85" s="2" t="s">
        <v>28</v>
      </c>
      <c r="U85" s="2" t="b">
        <v>0</v>
      </c>
      <c r="V85" s="2" t="s">
        <v>29</v>
      </c>
      <c r="W85" s="2" t="s">
        <v>104</v>
      </c>
      <c r="X85" s="2" t="s">
        <v>105</v>
      </c>
      <c r="Y85" s="2" t="s">
        <v>406</v>
      </c>
      <c r="Z85" s="2" t="s">
        <v>31</v>
      </c>
      <c r="AA85" s="2"/>
      <c r="AB85" s="2"/>
      <c r="AC85" s="2"/>
      <c r="AD85" s="2"/>
      <c r="AK85" s="8">
        <f t="shared" si="2"/>
        <v>45693</v>
      </c>
    </row>
    <row r="86" spans="1:37" ht="15" customHeight="1">
      <c r="A86" s="2" t="s">
        <v>407</v>
      </c>
      <c r="B86" s="2">
        <v>0</v>
      </c>
      <c r="C86" s="2"/>
      <c r="D86" s="2" t="s">
        <v>305</v>
      </c>
      <c r="E86" s="2" t="s">
        <v>408</v>
      </c>
      <c r="F86" s="3">
        <v>45693</v>
      </c>
      <c r="G86" s="3">
        <v>45693</v>
      </c>
      <c r="H86" s="3">
        <v>45693</v>
      </c>
      <c r="I86" s="2"/>
      <c r="J86" s="2"/>
      <c r="K86" s="2" t="s">
        <v>25</v>
      </c>
      <c r="L86" s="2" t="s">
        <v>26</v>
      </c>
      <c r="M86" s="2"/>
      <c r="N86" s="2" t="s">
        <v>27</v>
      </c>
      <c r="O86" s="2">
        <v>190.17</v>
      </c>
      <c r="P86" s="2">
        <v>34.229999999999997</v>
      </c>
      <c r="Q86" s="2">
        <v>224.4</v>
      </c>
      <c r="R86" s="2">
        <v>224.4</v>
      </c>
      <c r="S86" s="2">
        <v>224.4</v>
      </c>
      <c r="T86" s="2" t="s">
        <v>28</v>
      </c>
      <c r="U86" s="2" t="b">
        <v>0</v>
      </c>
      <c r="V86" s="2" t="s">
        <v>29</v>
      </c>
      <c r="W86" s="2" t="s">
        <v>104</v>
      </c>
      <c r="X86" s="2" t="s">
        <v>105</v>
      </c>
      <c r="Y86" s="2" t="s">
        <v>409</v>
      </c>
      <c r="Z86" s="2" t="s">
        <v>31</v>
      </c>
      <c r="AA86" s="2"/>
      <c r="AB86" s="2"/>
      <c r="AC86" s="2"/>
      <c r="AD86" s="2"/>
      <c r="AK86" s="8">
        <f t="shared" si="2"/>
        <v>45693</v>
      </c>
    </row>
    <row r="87" spans="1:37" ht="15" customHeight="1">
      <c r="A87" s="2" t="s">
        <v>410</v>
      </c>
      <c r="B87" s="2">
        <v>0</v>
      </c>
      <c r="C87" s="2"/>
      <c r="D87" s="2" t="s">
        <v>305</v>
      </c>
      <c r="E87" s="2" t="s">
        <v>408</v>
      </c>
      <c r="F87" s="3">
        <v>45693</v>
      </c>
      <c r="G87" s="3">
        <v>45693</v>
      </c>
      <c r="H87" s="3">
        <v>45693</v>
      </c>
      <c r="I87" s="2"/>
      <c r="J87" s="2"/>
      <c r="K87" s="2" t="s">
        <v>25</v>
      </c>
      <c r="L87" s="2" t="s">
        <v>26</v>
      </c>
      <c r="M87" s="2"/>
      <c r="N87" s="2" t="s">
        <v>27</v>
      </c>
      <c r="O87" s="2">
        <v>140.34</v>
      </c>
      <c r="P87" s="2">
        <v>25.26</v>
      </c>
      <c r="Q87" s="2">
        <v>165.6</v>
      </c>
      <c r="R87" s="2">
        <v>165.6</v>
      </c>
      <c r="S87" s="2">
        <v>165.6</v>
      </c>
      <c r="T87" s="2" t="s">
        <v>28</v>
      </c>
      <c r="U87" s="2" t="b">
        <v>0</v>
      </c>
      <c r="V87" s="2" t="s">
        <v>29</v>
      </c>
      <c r="W87" s="2" t="s">
        <v>104</v>
      </c>
      <c r="X87" s="2" t="s">
        <v>105</v>
      </c>
      <c r="Y87" s="2" t="s">
        <v>411</v>
      </c>
      <c r="Z87" s="2" t="s">
        <v>31</v>
      </c>
      <c r="AA87" s="2"/>
      <c r="AB87" s="2"/>
      <c r="AC87" s="2"/>
      <c r="AD87" s="2"/>
      <c r="AK87" s="8">
        <f t="shared" si="2"/>
        <v>45693</v>
      </c>
    </row>
    <row r="88" spans="1:37" ht="15" customHeight="1">
      <c r="A88" s="2" t="s">
        <v>412</v>
      </c>
      <c r="B88" s="2">
        <v>0</v>
      </c>
      <c r="C88" s="2"/>
      <c r="D88" s="2" t="s">
        <v>305</v>
      </c>
      <c r="E88" s="2" t="s">
        <v>413</v>
      </c>
      <c r="F88" s="3">
        <v>45693</v>
      </c>
      <c r="G88" s="3">
        <v>45693</v>
      </c>
      <c r="H88" s="3">
        <v>45693</v>
      </c>
      <c r="I88" s="2"/>
      <c r="J88" s="2"/>
      <c r="K88" s="2" t="s">
        <v>25</v>
      </c>
      <c r="L88" s="2" t="s">
        <v>26</v>
      </c>
      <c r="M88" s="2"/>
      <c r="N88" s="2" t="s">
        <v>27</v>
      </c>
      <c r="O88" s="2">
        <v>18.64</v>
      </c>
      <c r="P88" s="2">
        <v>3.36</v>
      </c>
      <c r="Q88" s="2">
        <v>22</v>
      </c>
      <c r="R88" s="2">
        <v>22</v>
      </c>
      <c r="S88" s="2">
        <v>22</v>
      </c>
      <c r="T88" s="2" t="s">
        <v>28</v>
      </c>
      <c r="U88" s="2" t="b">
        <v>0</v>
      </c>
      <c r="V88" s="2" t="s">
        <v>29</v>
      </c>
      <c r="W88" s="2" t="s">
        <v>104</v>
      </c>
      <c r="X88" s="2" t="s">
        <v>105</v>
      </c>
      <c r="Y88" s="2" t="s">
        <v>414</v>
      </c>
      <c r="Z88" s="2" t="s">
        <v>31</v>
      </c>
      <c r="AA88" s="2"/>
      <c r="AB88" s="2"/>
      <c r="AC88" s="2"/>
      <c r="AD88" s="2"/>
      <c r="AK88" s="8">
        <f t="shared" si="2"/>
        <v>45693</v>
      </c>
    </row>
    <row r="89" spans="1:37" ht="15" customHeight="1">
      <c r="A89" s="2" t="s">
        <v>415</v>
      </c>
      <c r="B89" s="2">
        <v>0</v>
      </c>
      <c r="C89" s="2"/>
      <c r="D89" s="2" t="s">
        <v>305</v>
      </c>
      <c r="E89" s="2" t="s">
        <v>413</v>
      </c>
      <c r="F89" s="3">
        <v>45693</v>
      </c>
      <c r="G89" s="3">
        <v>45693</v>
      </c>
      <c r="H89" s="3">
        <v>45693</v>
      </c>
      <c r="I89" s="2"/>
      <c r="J89" s="2"/>
      <c r="K89" s="2" t="s">
        <v>25</v>
      </c>
      <c r="L89" s="2" t="s">
        <v>26</v>
      </c>
      <c r="M89" s="2"/>
      <c r="N89" s="2" t="s">
        <v>27</v>
      </c>
      <c r="O89" s="2">
        <v>12.71</v>
      </c>
      <c r="P89" s="2">
        <v>2.29</v>
      </c>
      <c r="Q89" s="2">
        <v>15</v>
      </c>
      <c r="R89" s="2">
        <v>15</v>
      </c>
      <c r="S89" s="2">
        <v>15</v>
      </c>
      <c r="T89" s="2" t="s">
        <v>28</v>
      </c>
      <c r="U89" s="2" t="b">
        <v>0</v>
      </c>
      <c r="V89" s="2" t="s">
        <v>29</v>
      </c>
      <c r="W89" s="2" t="s">
        <v>104</v>
      </c>
      <c r="X89" s="2" t="s">
        <v>105</v>
      </c>
      <c r="Y89" s="2" t="s">
        <v>416</v>
      </c>
      <c r="Z89" s="2" t="s">
        <v>31</v>
      </c>
      <c r="AA89" s="2"/>
      <c r="AB89" s="2"/>
      <c r="AC89" s="2"/>
      <c r="AD89" s="2"/>
      <c r="AK89" s="8">
        <f t="shared" si="2"/>
        <v>45693</v>
      </c>
    </row>
    <row r="90" spans="1:37" ht="15" customHeight="1">
      <c r="A90" s="2" t="s">
        <v>417</v>
      </c>
      <c r="B90" s="2">
        <v>0</v>
      </c>
      <c r="C90" s="2"/>
      <c r="D90" s="2" t="s">
        <v>305</v>
      </c>
      <c r="E90" s="2" t="s">
        <v>413</v>
      </c>
      <c r="F90" s="3">
        <v>45693</v>
      </c>
      <c r="G90" s="3">
        <v>45693</v>
      </c>
      <c r="H90" s="3">
        <v>45693</v>
      </c>
      <c r="I90" s="2"/>
      <c r="J90" s="2"/>
      <c r="K90" s="2" t="s">
        <v>25</v>
      </c>
      <c r="L90" s="2" t="s">
        <v>26</v>
      </c>
      <c r="M90" s="2"/>
      <c r="N90" s="2" t="s">
        <v>27</v>
      </c>
      <c r="O90" s="2">
        <v>6.95</v>
      </c>
      <c r="P90" s="2">
        <v>1.25</v>
      </c>
      <c r="Q90" s="2">
        <v>8.1999999999999993</v>
      </c>
      <c r="R90" s="2">
        <v>8.1999999999999993</v>
      </c>
      <c r="S90" s="2">
        <v>8.1999999999999993</v>
      </c>
      <c r="T90" s="2" t="s">
        <v>28</v>
      </c>
      <c r="U90" s="2" t="b">
        <v>0</v>
      </c>
      <c r="V90" s="2" t="s">
        <v>29</v>
      </c>
      <c r="W90" s="2" t="s">
        <v>104</v>
      </c>
      <c r="X90" s="2" t="s">
        <v>105</v>
      </c>
      <c r="Y90" s="2" t="s">
        <v>418</v>
      </c>
      <c r="Z90" s="2" t="s">
        <v>31</v>
      </c>
      <c r="AA90" s="2"/>
      <c r="AB90" s="2"/>
      <c r="AC90" s="2"/>
      <c r="AD90" s="2"/>
      <c r="AK90" s="8">
        <f t="shared" si="2"/>
        <v>45693</v>
      </c>
    </row>
    <row r="91" spans="1:37" ht="15" customHeight="1">
      <c r="A91" s="2" t="s">
        <v>419</v>
      </c>
      <c r="B91" s="2">
        <v>0</v>
      </c>
      <c r="C91" s="2"/>
      <c r="D91" s="2" t="s">
        <v>305</v>
      </c>
      <c r="E91" s="2" t="s">
        <v>413</v>
      </c>
      <c r="F91" s="3">
        <v>45693</v>
      </c>
      <c r="G91" s="3">
        <v>45693</v>
      </c>
      <c r="H91" s="3">
        <v>45693</v>
      </c>
      <c r="I91" s="2"/>
      <c r="J91" s="2"/>
      <c r="K91" s="2" t="s">
        <v>25</v>
      </c>
      <c r="L91" s="2" t="s">
        <v>26</v>
      </c>
      <c r="M91" s="2"/>
      <c r="N91" s="2" t="s">
        <v>27</v>
      </c>
      <c r="O91" s="2">
        <v>4.58</v>
      </c>
      <c r="P91" s="2">
        <v>0.82</v>
      </c>
      <c r="Q91" s="2">
        <v>5.4</v>
      </c>
      <c r="R91" s="2">
        <v>5.4</v>
      </c>
      <c r="S91" s="2">
        <v>5.4</v>
      </c>
      <c r="T91" s="2" t="s">
        <v>28</v>
      </c>
      <c r="U91" s="2" t="b">
        <v>0</v>
      </c>
      <c r="V91" s="2" t="s">
        <v>29</v>
      </c>
      <c r="W91" s="2" t="s">
        <v>104</v>
      </c>
      <c r="X91" s="2" t="s">
        <v>105</v>
      </c>
      <c r="Y91" s="2" t="s">
        <v>420</v>
      </c>
      <c r="Z91" s="2" t="s">
        <v>31</v>
      </c>
      <c r="AA91" s="2"/>
      <c r="AB91" s="2"/>
      <c r="AC91" s="2"/>
      <c r="AD91" s="2"/>
      <c r="AK91" s="8">
        <f t="shared" si="2"/>
        <v>45693</v>
      </c>
    </row>
    <row r="92" spans="1:37" ht="15" customHeight="1">
      <c r="A92" s="2" t="s">
        <v>421</v>
      </c>
      <c r="B92" s="2">
        <v>0</v>
      </c>
      <c r="C92" s="2"/>
      <c r="D92" s="2" t="s">
        <v>305</v>
      </c>
      <c r="E92" s="2" t="s">
        <v>422</v>
      </c>
      <c r="F92" s="3">
        <v>45693</v>
      </c>
      <c r="G92" s="3">
        <v>45693</v>
      </c>
      <c r="H92" s="3">
        <v>45693</v>
      </c>
      <c r="I92" s="2"/>
      <c r="J92" s="2"/>
      <c r="K92" s="2" t="s">
        <v>25</v>
      </c>
      <c r="L92" s="2" t="s">
        <v>26</v>
      </c>
      <c r="M92" s="2"/>
      <c r="N92" s="2" t="s">
        <v>27</v>
      </c>
      <c r="O92" s="2">
        <v>1</v>
      </c>
      <c r="P92" s="2">
        <v>0.18</v>
      </c>
      <c r="Q92" s="2">
        <v>1.18</v>
      </c>
      <c r="R92" s="2">
        <v>1.18</v>
      </c>
      <c r="S92" s="2">
        <v>1.18</v>
      </c>
      <c r="T92" s="2" t="s">
        <v>28</v>
      </c>
      <c r="U92" s="2" t="b">
        <v>0</v>
      </c>
      <c r="V92" s="2" t="s">
        <v>29</v>
      </c>
      <c r="W92" s="2" t="s">
        <v>104</v>
      </c>
      <c r="X92" s="2" t="s">
        <v>105</v>
      </c>
      <c r="Y92" s="2" t="s">
        <v>423</v>
      </c>
      <c r="Z92" s="2" t="s">
        <v>31</v>
      </c>
      <c r="AA92" s="2"/>
      <c r="AB92" s="2"/>
      <c r="AC92" s="2"/>
      <c r="AD92" s="2"/>
      <c r="AK92" s="8">
        <f t="shared" si="2"/>
        <v>45693</v>
      </c>
    </row>
    <row r="93" spans="1:37" ht="15" customHeight="1">
      <c r="A93" s="2" t="s">
        <v>424</v>
      </c>
      <c r="B93" s="2">
        <v>0</v>
      </c>
      <c r="C93" s="2"/>
      <c r="D93" s="2" t="s">
        <v>305</v>
      </c>
      <c r="E93" s="2" t="s">
        <v>422</v>
      </c>
      <c r="F93" s="3">
        <v>45693</v>
      </c>
      <c r="G93" s="3">
        <v>45693</v>
      </c>
      <c r="H93" s="3">
        <v>45693</v>
      </c>
      <c r="I93" s="2"/>
      <c r="J93" s="2"/>
      <c r="K93" s="2" t="s">
        <v>25</v>
      </c>
      <c r="L93" s="2" t="s">
        <v>26</v>
      </c>
      <c r="M93" s="2"/>
      <c r="N93" s="2" t="s">
        <v>27</v>
      </c>
      <c r="O93" s="2">
        <v>200</v>
      </c>
      <c r="P93" s="2">
        <v>36</v>
      </c>
      <c r="Q93" s="2">
        <v>236</v>
      </c>
      <c r="R93" s="2">
        <v>236</v>
      </c>
      <c r="S93" s="2">
        <v>236</v>
      </c>
      <c r="T93" s="2" t="s">
        <v>28</v>
      </c>
      <c r="U93" s="2" t="b">
        <v>0</v>
      </c>
      <c r="V93" s="2" t="s">
        <v>29</v>
      </c>
      <c r="W93" s="2" t="s">
        <v>104</v>
      </c>
      <c r="X93" s="2" t="s">
        <v>105</v>
      </c>
      <c r="Y93" s="2" t="s">
        <v>425</v>
      </c>
      <c r="Z93" s="2" t="s">
        <v>31</v>
      </c>
      <c r="AA93" s="2"/>
      <c r="AB93" s="2"/>
      <c r="AC93" s="2"/>
      <c r="AD93" s="2"/>
      <c r="AK93" s="8">
        <f t="shared" si="2"/>
        <v>45693</v>
      </c>
    </row>
    <row r="94" spans="1:37" ht="15" customHeight="1">
      <c r="A94" s="2" t="s">
        <v>426</v>
      </c>
      <c r="B94" s="2">
        <v>0</v>
      </c>
      <c r="C94" s="2"/>
      <c r="D94" s="2" t="s">
        <v>305</v>
      </c>
      <c r="E94" s="2" t="s">
        <v>422</v>
      </c>
      <c r="F94" s="3">
        <v>45693</v>
      </c>
      <c r="G94" s="3">
        <v>45693</v>
      </c>
      <c r="H94" s="3">
        <v>45693</v>
      </c>
      <c r="I94" s="2"/>
      <c r="J94" s="2"/>
      <c r="K94" s="2" t="s">
        <v>25</v>
      </c>
      <c r="L94" s="2" t="s">
        <v>26</v>
      </c>
      <c r="M94" s="2"/>
      <c r="N94" s="2" t="s">
        <v>27</v>
      </c>
      <c r="O94" s="2">
        <v>69.42</v>
      </c>
      <c r="P94" s="2">
        <v>12.5</v>
      </c>
      <c r="Q94" s="2">
        <v>81.92</v>
      </c>
      <c r="R94" s="2">
        <v>81.92</v>
      </c>
      <c r="S94" s="2">
        <v>81.92</v>
      </c>
      <c r="T94" s="2" t="s">
        <v>28</v>
      </c>
      <c r="U94" s="2" t="b">
        <v>0</v>
      </c>
      <c r="V94" s="2" t="s">
        <v>29</v>
      </c>
      <c r="W94" s="2" t="s">
        <v>104</v>
      </c>
      <c r="X94" s="2" t="s">
        <v>105</v>
      </c>
      <c r="Y94" s="2" t="s">
        <v>427</v>
      </c>
      <c r="Z94" s="2" t="s">
        <v>31</v>
      </c>
      <c r="AA94" s="2"/>
      <c r="AB94" s="2"/>
      <c r="AC94" s="2"/>
      <c r="AD94" s="2"/>
      <c r="AK94" s="8">
        <f t="shared" si="2"/>
        <v>45693</v>
      </c>
    </row>
    <row r="95" spans="1:37" ht="15" customHeight="1">
      <c r="A95" s="2" t="s">
        <v>428</v>
      </c>
      <c r="B95" s="2">
        <v>0</v>
      </c>
      <c r="C95" s="2"/>
      <c r="D95" s="2" t="s">
        <v>305</v>
      </c>
      <c r="E95" s="2" t="s">
        <v>422</v>
      </c>
      <c r="F95" s="3">
        <v>45693</v>
      </c>
      <c r="G95" s="3">
        <v>45693</v>
      </c>
      <c r="H95" s="3">
        <v>45693</v>
      </c>
      <c r="I95" s="2"/>
      <c r="J95" s="2"/>
      <c r="K95" s="2" t="s">
        <v>25</v>
      </c>
      <c r="L95" s="2" t="s">
        <v>26</v>
      </c>
      <c r="M95" s="2"/>
      <c r="N95" s="2" t="s">
        <v>27</v>
      </c>
      <c r="O95" s="2">
        <v>42.58</v>
      </c>
      <c r="P95" s="2">
        <v>7.66</v>
      </c>
      <c r="Q95" s="2">
        <v>50.24</v>
      </c>
      <c r="R95" s="2">
        <v>50.24</v>
      </c>
      <c r="S95" s="2">
        <v>50.24</v>
      </c>
      <c r="T95" s="2" t="s">
        <v>28</v>
      </c>
      <c r="U95" s="2" t="b">
        <v>0</v>
      </c>
      <c r="V95" s="2" t="s">
        <v>29</v>
      </c>
      <c r="W95" s="2" t="s">
        <v>104</v>
      </c>
      <c r="X95" s="2" t="s">
        <v>105</v>
      </c>
      <c r="Y95" s="2" t="s">
        <v>429</v>
      </c>
      <c r="Z95" s="2" t="s">
        <v>31</v>
      </c>
      <c r="AA95" s="2"/>
      <c r="AB95" s="2"/>
      <c r="AC95" s="2"/>
      <c r="AD95" s="2"/>
      <c r="AK95" s="8">
        <f t="shared" si="2"/>
        <v>45693</v>
      </c>
    </row>
    <row r="96" spans="1:37" ht="15" customHeight="1">
      <c r="A96" s="2" t="s">
        <v>430</v>
      </c>
      <c r="B96" s="2">
        <v>0</v>
      </c>
      <c r="C96" s="2"/>
      <c r="D96" s="2" t="s">
        <v>305</v>
      </c>
      <c r="E96" s="2" t="s">
        <v>431</v>
      </c>
      <c r="F96" s="3">
        <v>45693</v>
      </c>
      <c r="G96" s="3">
        <v>45693</v>
      </c>
      <c r="H96" s="3">
        <v>45693</v>
      </c>
      <c r="I96" s="2"/>
      <c r="J96" s="2"/>
      <c r="K96" s="2" t="s">
        <v>25</v>
      </c>
      <c r="L96" s="2" t="s">
        <v>26</v>
      </c>
      <c r="M96" s="2"/>
      <c r="N96" s="2" t="s">
        <v>27</v>
      </c>
      <c r="O96" s="2">
        <v>10</v>
      </c>
      <c r="P96" s="2">
        <v>1.8</v>
      </c>
      <c r="Q96" s="2">
        <v>11.8</v>
      </c>
      <c r="R96" s="2">
        <v>11.8</v>
      </c>
      <c r="S96" s="2">
        <v>11.8</v>
      </c>
      <c r="T96" s="2" t="s">
        <v>28</v>
      </c>
      <c r="U96" s="2" t="b">
        <v>0</v>
      </c>
      <c r="V96" s="2" t="s">
        <v>29</v>
      </c>
      <c r="W96" s="2" t="s">
        <v>104</v>
      </c>
      <c r="X96" s="2" t="s">
        <v>105</v>
      </c>
      <c r="Y96" s="2" t="s">
        <v>432</v>
      </c>
      <c r="Z96" s="2" t="s">
        <v>31</v>
      </c>
      <c r="AA96" s="2"/>
      <c r="AB96" s="2"/>
      <c r="AC96" s="2"/>
      <c r="AD96" s="2"/>
      <c r="AK96" s="8">
        <f t="shared" si="2"/>
        <v>45693</v>
      </c>
    </row>
    <row r="97" spans="1:37" ht="15" customHeight="1">
      <c r="A97" s="2" t="s">
        <v>433</v>
      </c>
      <c r="B97" s="2">
        <v>0</v>
      </c>
      <c r="C97" s="2"/>
      <c r="D97" s="2" t="s">
        <v>305</v>
      </c>
      <c r="E97" s="2" t="s">
        <v>431</v>
      </c>
      <c r="F97" s="3">
        <v>45693</v>
      </c>
      <c r="G97" s="3">
        <v>45693</v>
      </c>
      <c r="H97" s="3">
        <v>45693</v>
      </c>
      <c r="I97" s="2"/>
      <c r="J97" s="2"/>
      <c r="K97" s="2" t="s">
        <v>25</v>
      </c>
      <c r="L97" s="2" t="s">
        <v>26</v>
      </c>
      <c r="M97" s="2"/>
      <c r="N97" s="2" t="s">
        <v>27</v>
      </c>
      <c r="O97" s="2">
        <v>600</v>
      </c>
      <c r="P97" s="2">
        <v>108</v>
      </c>
      <c r="Q97" s="2">
        <v>708</v>
      </c>
      <c r="R97" s="2">
        <v>708</v>
      </c>
      <c r="S97" s="2">
        <v>708</v>
      </c>
      <c r="T97" s="2" t="s">
        <v>28</v>
      </c>
      <c r="U97" s="2" t="b">
        <v>0</v>
      </c>
      <c r="V97" s="2" t="s">
        <v>29</v>
      </c>
      <c r="W97" s="2" t="s">
        <v>104</v>
      </c>
      <c r="X97" s="2" t="s">
        <v>105</v>
      </c>
      <c r="Y97" s="2" t="s">
        <v>434</v>
      </c>
      <c r="Z97" s="2" t="s">
        <v>31</v>
      </c>
      <c r="AA97" s="2"/>
      <c r="AB97" s="2"/>
      <c r="AC97" s="2"/>
      <c r="AD97" s="2"/>
      <c r="AK97" s="8">
        <f t="shared" si="2"/>
        <v>45693</v>
      </c>
    </row>
    <row r="98" spans="1:37" ht="15" customHeight="1">
      <c r="A98" s="2" t="s">
        <v>435</v>
      </c>
      <c r="B98" s="2">
        <v>0</v>
      </c>
      <c r="C98" s="2"/>
      <c r="D98" s="2" t="s">
        <v>305</v>
      </c>
      <c r="E98" s="2" t="s">
        <v>431</v>
      </c>
      <c r="F98" s="3">
        <v>45693</v>
      </c>
      <c r="G98" s="3">
        <v>45693</v>
      </c>
      <c r="H98" s="3">
        <v>45693</v>
      </c>
      <c r="I98" s="2"/>
      <c r="J98" s="2"/>
      <c r="K98" s="2" t="s">
        <v>25</v>
      </c>
      <c r="L98" s="2" t="s">
        <v>26</v>
      </c>
      <c r="M98" s="2"/>
      <c r="N98" s="2" t="s">
        <v>27</v>
      </c>
      <c r="O98" s="2">
        <v>1200</v>
      </c>
      <c r="P98" s="2">
        <v>216</v>
      </c>
      <c r="Q98" s="2">
        <v>1416</v>
      </c>
      <c r="R98" s="2">
        <v>1416</v>
      </c>
      <c r="S98" s="2">
        <v>1416</v>
      </c>
      <c r="T98" s="2" t="s">
        <v>28</v>
      </c>
      <c r="U98" s="2" t="b">
        <v>0</v>
      </c>
      <c r="V98" s="2" t="s">
        <v>29</v>
      </c>
      <c r="W98" s="2" t="s">
        <v>104</v>
      </c>
      <c r="X98" s="2" t="s">
        <v>105</v>
      </c>
      <c r="Y98" s="2" t="s">
        <v>436</v>
      </c>
      <c r="Z98" s="2" t="s">
        <v>31</v>
      </c>
      <c r="AA98" s="2"/>
      <c r="AB98" s="2"/>
      <c r="AC98" s="2"/>
      <c r="AD98" s="2"/>
      <c r="AK98" s="8">
        <f t="shared" si="2"/>
        <v>45693</v>
      </c>
    </row>
    <row r="99" spans="1:37" ht="15" customHeight="1">
      <c r="A99" s="2" t="s">
        <v>437</v>
      </c>
      <c r="B99" s="2">
        <v>0</v>
      </c>
      <c r="C99" s="2"/>
      <c r="D99" s="2" t="s">
        <v>305</v>
      </c>
      <c r="E99" s="2" t="s">
        <v>431</v>
      </c>
      <c r="F99" s="3">
        <v>45693</v>
      </c>
      <c r="G99" s="3">
        <v>45693</v>
      </c>
      <c r="H99" s="3">
        <v>45693</v>
      </c>
      <c r="I99" s="2"/>
      <c r="J99" s="2"/>
      <c r="K99" s="2" t="s">
        <v>25</v>
      </c>
      <c r="L99" s="2" t="s">
        <v>26</v>
      </c>
      <c r="M99" s="2"/>
      <c r="N99" s="2" t="s">
        <v>27</v>
      </c>
      <c r="O99" s="2">
        <v>1693.39</v>
      </c>
      <c r="P99" s="2">
        <v>304.81</v>
      </c>
      <c r="Q99" s="2">
        <v>1998.2</v>
      </c>
      <c r="R99" s="2">
        <v>1998.2</v>
      </c>
      <c r="S99" s="2">
        <v>1998.2</v>
      </c>
      <c r="T99" s="2" t="s">
        <v>28</v>
      </c>
      <c r="U99" s="2" t="b">
        <v>0</v>
      </c>
      <c r="V99" s="2" t="s">
        <v>29</v>
      </c>
      <c r="W99" s="2" t="s">
        <v>104</v>
      </c>
      <c r="X99" s="2" t="s">
        <v>105</v>
      </c>
      <c r="Y99" s="2" t="s">
        <v>438</v>
      </c>
      <c r="Z99" s="2" t="s">
        <v>31</v>
      </c>
      <c r="AA99" s="2"/>
      <c r="AB99" s="2"/>
      <c r="AC99" s="2"/>
      <c r="AD99" s="2"/>
      <c r="AK99" s="8">
        <f t="shared" si="2"/>
        <v>45693</v>
      </c>
    </row>
    <row r="100" spans="1:37" ht="15" customHeight="1">
      <c r="A100" s="2" t="s">
        <v>439</v>
      </c>
      <c r="B100" s="2">
        <v>0</v>
      </c>
      <c r="C100" s="2"/>
      <c r="D100" s="2" t="s">
        <v>305</v>
      </c>
      <c r="E100" s="2" t="s">
        <v>431</v>
      </c>
      <c r="F100" s="3">
        <v>45693</v>
      </c>
      <c r="G100" s="3">
        <v>45693</v>
      </c>
      <c r="H100" s="3">
        <v>45693</v>
      </c>
      <c r="I100" s="2"/>
      <c r="J100" s="2"/>
      <c r="K100" s="2" t="s">
        <v>25</v>
      </c>
      <c r="L100" s="2" t="s">
        <v>26</v>
      </c>
      <c r="M100" s="2"/>
      <c r="N100" s="2" t="s">
        <v>27</v>
      </c>
      <c r="O100" s="2">
        <v>660</v>
      </c>
      <c r="P100" s="2">
        <v>118.8</v>
      </c>
      <c r="Q100" s="2">
        <v>778.8</v>
      </c>
      <c r="R100" s="2">
        <v>778.8</v>
      </c>
      <c r="S100" s="2">
        <v>778.8</v>
      </c>
      <c r="T100" s="2" t="s">
        <v>28</v>
      </c>
      <c r="U100" s="2" t="b">
        <v>0</v>
      </c>
      <c r="V100" s="2" t="s">
        <v>29</v>
      </c>
      <c r="W100" s="2" t="s">
        <v>104</v>
      </c>
      <c r="X100" s="2" t="s">
        <v>105</v>
      </c>
      <c r="Y100" s="2" t="s">
        <v>440</v>
      </c>
      <c r="Z100" s="2" t="s">
        <v>31</v>
      </c>
      <c r="AA100" s="2"/>
      <c r="AB100" s="2"/>
      <c r="AC100" s="2"/>
      <c r="AD100" s="2"/>
      <c r="AK100" s="8">
        <f t="shared" si="2"/>
        <v>45693</v>
      </c>
    </row>
    <row r="101" spans="1:37" ht="15" customHeight="1">
      <c r="A101" s="2" t="s">
        <v>441</v>
      </c>
      <c r="B101" s="2">
        <v>0</v>
      </c>
      <c r="C101" s="2"/>
      <c r="D101" s="2" t="s">
        <v>305</v>
      </c>
      <c r="E101" s="2" t="s">
        <v>442</v>
      </c>
      <c r="F101" s="3">
        <v>45693</v>
      </c>
      <c r="G101" s="3">
        <v>45693</v>
      </c>
      <c r="H101" s="3">
        <v>45693</v>
      </c>
      <c r="I101" s="2"/>
      <c r="J101" s="2"/>
      <c r="K101" s="2" t="s">
        <v>25</v>
      </c>
      <c r="L101" s="2" t="s">
        <v>26</v>
      </c>
      <c r="M101" s="2"/>
      <c r="N101" s="2" t="s">
        <v>27</v>
      </c>
      <c r="O101" s="2">
        <v>308</v>
      </c>
      <c r="P101" s="2">
        <v>55.44</v>
      </c>
      <c r="Q101" s="2">
        <v>363.44</v>
      </c>
      <c r="R101" s="2">
        <v>363.44</v>
      </c>
      <c r="S101" s="2">
        <v>363.44</v>
      </c>
      <c r="T101" s="2" t="s">
        <v>28</v>
      </c>
      <c r="U101" s="2" t="b">
        <v>0</v>
      </c>
      <c r="V101" s="2" t="s">
        <v>29</v>
      </c>
      <c r="W101" s="2" t="s">
        <v>104</v>
      </c>
      <c r="X101" s="2" t="s">
        <v>105</v>
      </c>
      <c r="Y101" s="2" t="s">
        <v>443</v>
      </c>
      <c r="Z101" s="2" t="s">
        <v>31</v>
      </c>
      <c r="AA101" s="2"/>
      <c r="AB101" s="2"/>
      <c r="AC101" s="2"/>
      <c r="AD101" s="2"/>
      <c r="AK101" s="8">
        <f t="shared" si="2"/>
        <v>45693</v>
      </c>
    </row>
    <row r="102" spans="1:37" ht="15" customHeight="1">
      <c r="A102" s="2" t="s">
        <v>444</v>
      </c>
      <c r="B102" s="2">
        <v>0</v>
      </c>
      <c r="C102" s="2"/>
      <c r="D102" s="2" t="s">
        <v>305</v>
      </c>
      <c r="E102" s="2" t="s">
        <v>442</v>
      </c>
      <c r="F102" s="3">
        <v>45693</v>
      </c>
      <c r="G102" s="3">
        <v>45693</v>
      </c>
      <c r="H102" s="3">
        <v>45693</v>
      </c>
      <c r="I102" s="2"/>
      <c r="J102" s="2"/>
      <c r="K102" s="2" t="s">
        <v>25</v>
      </c>
      <c r="L102" s="2" t="s">
        <v>26</v>
      </c>
      <c r="M102" s="2"/>
      <c r="N102" s="2" t="s">
        <v>27</v>
      </c>
      <c r="O102" s="2">
        <v>298.87</v>
      </c>
      <c r="P102" s="2">
        <v>53.8</v>
      </c>
      <c r="Q102" s="2">
        <v>352.67</v>
      </c>
      <c r="R102" s="2">
        <v>352.67</v>
      </c>
      <c r="S102" s="2">
        <v>352.67</v>
      </c>
      <c r="T102" s="2" t="s">
        <v>28</v>
      </c>
      <c r="U102" s="2" t="b">
        <v>0</v>
      </c>
      <c r="V102" s="2" t="s">
        <v>29</v>
      </c>
      <c r="W102" s="2" t="s">
        <v>104</v>
      </c>
      <c r="X102" s="2" t="s">
        <v>105</v>
      </c>
      <c r="Y102" s="2" t="s">
        <v>445</v>
      </c>
      <c r="Z102" s="2" t="s">
        <v>31</v>
      </c>
      <c r="AA102" s="2"/>
      <c r="AB102" s="2"/>
      <c r="AC102" s="2"/>
      <c r="AD102" s="2"/>
      <c r="AK102" s="8">
        <f t="shared" si="2"/>
        <v>45693</v>
      </c>
    </row>
    <row r="103" spans="1:37" ht="15" customHeight="1">
      <c r="A103" s="2" t="s">
        <v>446</v>
      </c>
      <c r="B103" s="2">
        <v>0</v>
      </c>
      <c r="C103" s="2"/>
      <c r="D103" s="2" t="s">
        <v>305</v>
      </c>
      <c r="E103" s="2" t="s">
        <v>442</v>
      </c>
      <c r="F103" s="3">
        <v>45693</v>
      </c>
      <c r="G103" s="3">
        <v>45693</v>
      </c>
      <c r="H103" s="3">
        <v>45693</v>
      </c>
      <c r="I103" s="2"/>
      <c r="J103" s="2"/>
      <c r="K103" s="2" t="s">
        <v>25</v>
      </c>
      <c r="L103" s="2" t="s">
        <v>26</v>
      </c>
      <c r="M103" s="2"/>
      <c r="N103" s="2" t="s">
        <v>27</v>
      </c>
      <c r="O103" s="2">
        <v>183.02</v>
      </c>
      <c r="P103" s="2">
        <v>32.94</v>
      </c>
      <c r="Q103" s="2">
        <v>215.96</v>
      </c>
      <c r="R103" s="2">
        <v>215.96</v>
      </c>
      <c r="S103" s="2">
        <v>215.96</v>
      </c>
      <c r="T103" s="2" t="s">
        <v>28</v>
      </c>
      <c r="U103" s="2" t="b">
        <v>0</v>
      </c>
      <c r="V103" s="2" t="s">
        <v>29</v>
      </c>
      <c r="W103" s="2" t="s">
        <v>104</v>
      </c>
      <c r="X103" s="2" t="s">
        <v>105</v>
      </c>
      <c r="Y103" s="2" t="s">
        <v>447</v>
      </c>
      <c r="Z103" s="2" t="s">
        <v>31</v>
      </c>
      <c r="AA103" s="2"/>
      <c r="AB103" s="2"/>
      <c r="AC103" s="2"/>
      <c r="AD103" s="2"/>
      <c r="AK103" s="8">
        <f t="shared" si="2"/>
        <v>45693</v>
      </c>
    </row>
    <row r="104" spans="1:37" ht="15" customHeight="1">
      <c r="A104" s="2" t="s">
        <v>448</v>
      </c>
      <c r="B104" s="2">
        <v>0</v>
      </c>
      <c r="C104" s="2"/>
      <c r="D104" s="2" t="s">
        <v>305</v>
      </c>
      <c r="E104" s="2" t="s">
        <v>449</v>
      </c>
      <c r="F104" s="3">
        <v>45693</v>
      </c>
      <c r="G104" s="3">
        <v>45693</v>
      </c>
      <c r="H104" s="3">
        <v>45693</v>
      </c>
      <c r="I104" s="2"/>
      <c r="J104" s="2"/>
      <c r="K104" s="2" t="s">
        <v>25</v>
      </c>
      <c r="L104" s="2" t="s">
        <v>26</v>
      </c>
      <c r="M104" s="2"/>
      <c r="N104" s="2" t="s">
        <v>27</v>
      </c>
      <c r="O104" s="2">
        <v>54.07</v>
      </c>
      <c r="P104" s="2">
        <v>9.73</v>
      </c>
      <c r="Q104" s="2">
        <v>63.8</v>
      </c>
      <c r="R104" s="2">
        <v>63.8</v>
      </c>
      <c r="S104" s="2">
        <v>63.8</v>
      </c>
      <c r="T104" s="2" t="s">
        <v>28</v>
      </c>
      <c r="U104" s="2" t="b">
        <v>0</v>
      </c>
      <c r="V104" s="2" t="s">
        <v>29</v>
      </c>
      <c r="W104" s="2" t="s">
        <v>104</v>
      </c>
      <c r="X104" s="2" t="s">
        <v>105</v>
      </c>
      <c r="Y104" s="2" t="s">
        <v>450</v>
      </c>
      <c r="Z104" s="2" t="s">
        <v>31</v>
      </c>
      <c r="AA104" s="2"/>
      <c r="AB104" s="2"/>
      <c r="AC104" s="2"/>
      <c r="AD104" s="2"/>
      <c r="AK104" s="8">
        <f t="shared" si="2"/>
        <v>45693</v>
      </c>
    </row>
    <row r="105" spans="1:37" ht="15" customHeight="1">
      <c r="A105" s="2" t="s">
        <v>451</v>
      </c>
      <c r="B105" s="2">
        <v>0</v>
      </c>
      <c r="C105" s="2"/>
      <c r="D105" s="2" t="s">
        <v>305</v>
      </c>
      <c r="E105" s="2" t="s">
        <v>449</v>
      </c>
      <c r="F105" s="3">
        <v>45693</v>
      </c>
      <c r="G105" s="3">
        <v>45693</v>
      </c>
      <c r="H105" s="3">
        <v>45693</v>
      </c>
      <c r="I105" s="2"/>
      <c r="J105" s="2"/>
      <c r="K105" s="2" t="s">
        <v>25</v>
      </c>
      <c r="L105" s="2" t="s">
        <v>26</v>
      </c>
      <c r="M105" s="2"/>
      <c r="N105" s="2" t="s">
        <v>27</v>
      </c>
      <c r="O105" s="2">
        <v>29.49</v>
      </c>
      <c r="P105" s="2">
        <v>5.31</v>
      </c>
      <c r="Q105" s="2">
        <v>34.799999999999997</v>
      </c>
      <c r="R105" s="2">
        <v>34.799999999999997</v>
      </c>
      <c r="S105" s="2">
        <v>34.799999999999997</v>
      </c>
      <c r="T105" s="2" t="s">
        <v>28</v>
      </c>
      <c r="U105" s="2" t="b">
        <v>0</v>
      </c>
      <c r="V105" s="2" t="s">
        <v>29</v>
      </c>
      <c r="W105" s="2" t="s">
        <v>104</v>
      </c>
      <c r="X105" s="2" t="s">
        <v>105</v>
      </c>
      <c r="Y105" s="2" t="s">
        <v>452</v>
      </c>
      <c r="Z105" s="2" t="s">
        <v>31</v>
      </c>
      <c r="AA105" s="2"/>
      <c r="AB105" s="2"/>
      <c r="AC105" s="2"/>
      <c r="AD105" s="2"/>
      <c r="AK105" s="8">
        <f t="shared" si="2"/>
        <v>45693</v>
      </c>
    </row>
    <row r="106" spans="1:37" ht="15" customHeight="1">
      <c r="A106" s="2" t="s">
        <v>453</v>
      </c>
      <c r="B106" s="2">
        <v>0</v>
      </c>
      <c r="C106" s="2"/>
      <c r="D106" s="2" t="s">
        <v>305</v>
      </c>
      <c r="E106" s="2" t="s">
        <v>454</v>
      </c>
      <c r="F106" s="3">
        <v>45693</v>
      </c>
      <c r="G106" s="3">
        <v>45693</v>
      </c>
      <c r="H106" s="3">
        <v>45693</v>
      </c>
      <c r="I106" s="2"/>
      <c r="J106" s="2"/>
      <c r="K106" s="2" t="s">
        <v>25</v>
      </c>
      <c r="L106" s="2" t="s">
        <v>26</v>
      </c>
      <c r="M106" s="2"/>
      <c r="N106" s="2" t="s">
        <v>27</v>
      </c>
      <c r="O106" s="2">
        <v>16.440000000000001</v>
      </c>
      <c r="P106" s="2">
        <v>2.96</v>
      </c>
      <c r="Q106" s="2">
        <v>19.399999999999999</v>
      </c>
      <c r="R106" s="2">
        <v>19.399999999999999</v>
      </c>
      <c r="S106" s="2">
        <v>19.399999999999999</v>
      </c>
      <c r="T106" s="2" t="s">
        <v>28</v>
      </c>
      <c r="U106" s="2" t="b">
        <v>0</v>
      </c>
      <c r="V106" s="2" t="s">
        <v>29</v>
      </c>
      <c r="W106" s="2" t="s">
        <v>104</v>
      </c>
      <c r="X106" s="2" t="s">
        <v>105</v>
      </c>
      <c r="Y106" s="2" t="s">
        <v>455</v>
      </c>
      <c r="Z106" s="2" t="s">
        <v>31</v>
      </c>
      <c r="AA106" s="2"/>
      <c r="AB106" s="2"/>
      <c r="AC106" s="2"/>
      <c r="AD106" s="2"/>
      <c r="AK106" s="8">
        <f t="shared" si="2"/>
        <v>45693</v>
      </c>
    </row>
    <row r="107" spans="1:37" ht="15" customHeight="1">
      <c r="A107" s="2" t="s">
        <v>456</v>
      </c>
      <c r="B107" s="2">
        <v>0</v>
      </c>
      <c r="C107" s="2"/>
      <c r="D107" s="2" t="s">
        <v>305</v>
      </c>
      <c r="E107" s="2" t="s">
        <v>454</v>
      </c>
      <c r="F107" s="3">
        <v>45693</v>
      </c>
      <c r="G107" s="3">
        <v>45693</v>
      </c>
      <c r="H107" s="3">
        <v>45693</v>
      </c>
      <c r="I107" s="2"/>
      <c r="J107" s="2"/>
      <c r="K107" s="2" t="s">
        <v>25</v>
      </c>
      <c r="L107" s="2" t="s">
        <v>26</v>
      </c>
      <c r="M107" s="2"/>
      <c r="N107" s="2" t="s">
        <v>27</v>
      </c>
      <c r="O107" s="2">
        <v>18.05</v>
      </c>
      <c r="P107" s="2">
        <v>3.25</v>
      </c>
      <c r="Q107" s="2">
        <v>21.3</v>
      </c>
      <c r="R107" s="2">
        <v>21.3</v>
      </c>
      <c r="S107" s="2">
        <v>21.3</v>
      </c>
      <c r="T107" s="2" t="s">
        <v>28</v>
      </c>
      <c r="U107" s="2" t="b">
        <v>0</v>
      </c>
      <c r="V107" s="2" t="s">
        <v>29</v>
      </c>
      <c r="W107" s="2" t="s">
        <v>104</v>
      </c>
      <c r="X107" s="2" t="s">
        <v>105</v>
      </c>
      <c r="Y107" s="2" t="s">
        <v>457</v>
      </c>
      <c r="Z107" s="2" t="s">
        <v>31</v>
      </c>
      <c r="AA107" s="2"/>
      <c r="AB107" s="2"/>
      <c r="AC107" s="2"/>
      <c r="AD107" s="2"/>
      <c r="AK107" s="8">
        <f t="shared" si="2"/>
        <v>45693</v>
      </c>
    </row>
    <row r="108" spans="1:37" ht="15" customHeight="1">
      <c r="A108" s="2" t="s">
        <v>458</v>
      </c>
      <c r="B108" s="2">
        <v>0</v>
      </c>
      <c r="C108" s="2"/>
      <c r="D108" s="2" t="s">
        <v>305</v>
      </c>
      <c r="E108" s="2" t="s">
        <v>459</v>
      </c>
      <c r="F108" s="3">
        <v>45693</v>
      </c>
      <c r="G108" s="3">
        <v>45693</v>
      </c>
      <c r="H108" s="3">
        <v>45693</v>
      </c>
      <c r="I108" s="2"/>
      <c r="J108" s="2"/>
      <c r="K108" s="2" t="s">
        <v>25</v>
      </c>
      <c r="L108" s="2" t="s">
        <v>26</v>
      </c>
      <c r="M108" s="2"/>
      <c r="N108" s="2" t="s">
        <v>27</v>
      </c>
      <c r="O108" s="2">
        <v>30.34</v>
      </c>
      <c r="P108" s="2">
        <v>5.46</v>
      </c>
      <c r="Q108" s="2">
        <v>35.799999999999997</v>
      </c>
      <c r="R108" s="2">
        <v>35.799999999999997</v>
      </c>
      <c r="S108" s="2">
        <v>35.799999999999997</v>
      </c>
      <c r="T108" s="2" t="s">
        <v>28</v>
      </c>
      <c r="U108" s="2" t="b">
        <v>0</v>
      </c>
      <c r="V108" s="2" t="s">
        <v>29</v>
      </c>
      <c r="W108" s="2" t="s">
        <v>104</v>
      </c>
      <c r="X108" s="2" t="s">
        <v>105</v>
      </c>
      <c r="Y108" s="2" t="s">
        <v>460</v>
      </c>
      <c r="Z108" s="2" t="s">
        <v>31</v>
      </c>
      <c r="AA108" s="2"/>
      <c r="AB108" s="2"/>
      <c r="AC108" s="2"/>
      <c r="AD108" s="2"/>
      <c r="AK108" s="8">
        <f t="shared" si="2"/>
        <v>45693</v>
      </c>
    </row>
    <row r="109" spans="1:37" ht="15" customHeight="1">
      <c r="A109" s="2" t="s">
        <v>461</v>
      </c>
      <c r="B109" s="2">
        <v>0</v>
      </c>
      <c r="C109" s="2"/>
      <c r="D109" s="2" t="s">
        <v>305</v>
      </c>
      <c r="E109" s="2" t="s">
        <v>459</v>
      </c>
      <c r="F109" s="3">
        <v>45693</v>
      </c>
      <c r="G109" s="3">
        <v>45693</v>
      </c>
      <c r="H109" s="3">
        <v>45693</v>
      </c>
      <c r="I109" s="2"/>
      <c r="J109" s="2"/>
      <c r="K109" s="2" t="s">
        <v>25</v>
      </c>
      <c r="L109" s="2" t="s">
        <v>26</v>
      </c>
      <c r="M109" s="2"/>
      <c r="N109" s="2" t="s">
        <v>27</v>
      </c>
      <c r="O109" s="2">
        <v>17.29</v>
      </c>
      <c r="P109" s="2">
        <v>3.11</v>
      </c>
      <c r="Q109" s="2">
        <v>20.399999999999999</v>
      </c>
      <c r="R109" s="2">
        <v>20.399999999999999</v>
      </c>
      <c r="S109" s="2">
        <v>20.399999999999999</v>
      </c>
      <c r="T109" s="2" t="s">
        <v>28</v>
      </c>
      <c r="U109" s="2" t="b">
        <v>0</v>
      </c>
      <c r="V109" s="2" t="s">
        <v>29</v>
      </c>
      <c r="W109" s="2" t="s">
        <v>104</v>
      </c>
      <c r="X109" s="2" t="s">
        <v>105</v>
      </c>
      <c r="Y109" s="2" t="s">
        <v>462</v>
      </c>
      <c r="Z109" s="2" t="s">
        <v>31</v>
      </c>
      <c r="AA109" s="2"/>
      <c r="AB109" s="2"/>
      <c r="AC109" s="2"/>
      <c r="AD109" s="2"/>
      <c r="AK109" s="8">
        <f t="shared" si="2"/>
        <v>45693</v>
      </c>
    </row>
    <row r="110" spans="1:37" ht="15" customHeight="1">
      <c r="A110" s="2" t="s">
        <v>463</v>
      </c>
      <c r="B110" s="2">
        <v>0</v>
      </c>
      <c r="C110" s="2"/>
      <c r="D110" s="2" t="s">
        <v>305</v>
      </c>
      <c r="E110" s="2" t="s">
        <v>464</v>
      </c>
      <c r="F110" s="3">
        <v>45693</v>
      </c>
      <c r="G110" s="3">
        <v>45693</v>
      </c>
      <c r="H110" s="3">
        <v>45693</v>
      </c>
      <c r="I110" s="2"/>
      <c r="J110" s="2"/>
      <c r="K110" s="2" t="s">
        <v>25</v>
      </c>
      <c r="L110" s="2" t="s">
        <v>26</v>
      </c>
      <c r="M110" s="2"/>
      <c r="N110" s="2" t="s">
        <v>27</v>
      </c>
      <c r="O110" s="2">
        <v>11.47</v>
      </c>
      <c r="P110" s="2">
        <v>2.0699999999999998</v>
      </c>
      <c r="Q110" s="2">
        <v>13.54</v>
      </c>
      <c r="R110" s="2">
        <v>13.54</v>
      </c>
      <c r="S110" s="2">
        <v>13.54</v>
      </c>
      <c r="T110" s="2" t="s">
        <v>28</v>
      </c>
      <c r="U110" s="2" t="b">
        <v>0</v>
      </c>
      <c r="V110" s="2" t="s">
        <v>29</v>
      </c>
      <c r="W110" s="2" t="s">
        <v>104</v>
      </c>
      <c r="X110" s="2" t="s">
        <v>105</v>
      </c>
      <c r="Y110" s="2" t="s">
        <v>465</v>
      </c>
      <c r="Z110" s="2" t="s">
        <v>31</v>
      </c>
      <c r="AA110" s="2"/>
      <c r="AB110" s="2"/>
      <c r="AC110" s="2"/>
      <c r="AD110" s="2"/>
      <c r="AK110" s="8">
        <f t="shared" si="2"/>
        <v>45693</v>
      </c>
    </row>
    <row r="111" spans="1:37" ht="15" customHeight="1">
      <c r="A111" s="2" t="s">
        <v>466</v>
      </c>
      <c r="B111" s="2">
        <v>0</v>
      </c>
      <c r="C111" s="2"/>
      <c r="D111" s="2" t="s">
        <v>305</v>
      </c>
      <c r="E111" s="2" t="s">
        <v>464</v>
      </c>
      <c r="F111" s="3">
        <v>45693</v>
      </c>
      <c r="G111" s="3">
        <v>45693</v>
      </c>
      <c r="H111" s="3">
        <v>45693</v>
      </c>
      <c r="I111" s="2"/>
      <c r="J111" s="2"/>
      <c r="K111" s="2" t="s">
        <v>25</v>
      </c>
      <c r="L111" s="2" t="s">
        <v>26</v>
      </c>
      <c r="M111" s="2"/>
      <c r="N111" s="2" t="s">
        <v>27</v>
      </c>
      <c r="O111" s="2">
        <v>12.2</v>
      </c>
      <c r="P111" s="2">
        <v>2.2000000000000002</v>
      </c>
      <c r="Q111" s="2">
        <v>14.4</v>
      </c>
      <c r="R111" s="2">
        <v>14.4</v>
      </c>
      <c r="S111" s="2">
        <v>14.4</v>
      </c>
      <c r="T111" s="2" t="s">
        <v>28</v>
      </c>
      <c r="U111" s="2" t="b">
        <v>0</v>
      </c>
      <c r="V111" s="2" t="s">
        <v>29</v>
      </c>
      <c r="W111" s="2" t="s">
        <v>104</v>
      </c>
      <c r="X111" s="2" t="s">
        <v>105</v>
      </c>
      <c r="Y111" s="2" t="s">
        <v>467</v>
      </c>
      <c r="Z111" s="2" t="s">
        <v>31</v>
      </c>
      <c r="AA111" s="2"/>
      <c r="AB111" s="2"/>
      <c r="AC111" s="2"/>
      <c r="AD111" s="2"/>
      <c r="AK111" s="8">
        <f t="shared" si="2"/>
        <v>45693</v>
      </c>
    </row>
    <row r="112" spans="1:37" ht="15" customHeight="1">
      <c r="A112" s="2" t="s">
        <v>468</v>
      </c>
      <c r="B112" s="2">
        <v>0</v>
      </c>
      <c r="C112" s="2"/>
      <c r="D112" s="2" t="s">
        <v>305</v>
      </c>
      <c r="E112" s="2" t="s">
        <v>469</v>
      </c>
      <c r="F112" s="3">
        <v>45693</v>
      </c>
      <c r="G112" s="3">
        <v>45693</v>
      </c>
      <c r="H112" s="3">
        <v>45693</v>
      </c>
      <c r="I112" s="2"/>
      <c r="J112" s="2"/>
      <c r="K112" s="2" t="s">
        <v>25</v>
      </c>
      <c r="L112" s="2" t="s">
        <v>26</v>
      </c>
      <c r="M112" s="2"/>
      <c r="N112" s="2" t="s">
        <v>27</v>
      </c>
      <c r="O112" s="2">
        <v>1553.9</v>
      </c>
      <c r="P112" s="2">
        <v>279.7</v>
      </c>
      <c r="Q112" s="2">
        <v>1833.6</v>
      </c>
      <c r="R112" s="2">
        <v>1833.6</v>
      </c>
      <c r="S112" s="2">
        <v>1833.6</v>
      </c>
      <c r="T112" s="2" t="s">
        <v>28</v>
      </c>
      <c r="U112" s="2" t="b">
        <v>0</v>
      </c>
      <c r="V112" s="2" t="s">
        <v>29</v>
      </c>
      <c r="W112" s="2" t="s">
        <v>104</v>
      </c>
      <c r="X112" s="2" t="s">
        <v>105</v>
      </c>
      <c r="Y112" s="2" t="s">
        <v>470</v>
      </c>
      <c r="Z112" s="2" t="s">
        <v>31</v>
      </c>
      <c r="AA112" s="2"/>
      <c r="AB112" s="2"/>
      <c r="AC112" s="2"/>
      <c r="AD112" s="2"/>
      <c r="AK112" s="8">
        <f t="shared" si="2"/>
        <v>45693</v>
      </c>
    </row>
    <row r="113" spans="1:37" ht="15" customHeight="1">
      <c r="A113" s="2" t="s">
        <v>471</v>
      </c>
      <c r="B113" s="2">
        <v>0</v>
      </c>
      <c r="C113" s="2"/>
      <c r="D113" s="2" t="s">
        <v>305</v>
      </c>
      <c r="E113" s="2" t="s">
        <v>469</v>
      </c>
      <c r="F113" s="3">
        <v>45693</v>
      </c>
      <c r="G113" s="3">
        <v>45693</v>
      </c>
      <c r="H113" s="3">
        <v>45693</v>
      </c>
      <c r="I113" s="2"/>
      <c r="J113" s="2"/>
      <c r="K113" s="2" t="s">
        <v>25</v>
      </c>
      <c r="L113" s="2" t="s">
        <v>26</v>
      </c>
      <c r="M113" s="2"/>
      <c r="N113" s="2" t="s">
        <v>27</v>
      </c>
      <c r="O113" s="2">
        <v>1180.25</v>
      </c>
      <c r="P113" s="2">
        <v>212.45</v>
      </c>
      <c r="Q113" s="2">
        <v>1392.7</v>
      </c>
      <c r="R113" s="2">
        <v>1392.7</v>
      </c>
      <c r="S113" s="2">
        <v>1392.7</v>
      </c>
      <c r="T113" s="2" t="s">
        <v>28</v>
      </c>
      <c r="U113" s="2" t="b">
        <v>0</v>
      </c>
      <c r="V113" s="2" t="s">
        <v>29</v>
      </c>
      <c r="W113" s="2" t="s">
        <v>104</v>
      </c>
      <c r="X113" s="2" t="s">
        <v>105</v>
      </c>
      <c r="Y113" s="2" t="s">
        <v>472</v>
      </c>
      <c r="Z113" s="2" t="s">
        <v>31</v>
      </c>
      <c r="AA113" s="2"/>
      <c r="AB113" s="2"/>
      <c r="AC113" s="2"/>
      <c r="AD113" s="2"/>
      <c r="AK113" s="8">
        <f t="shared" si="2"/>
        <v>45693</v>
      </c>
    </row>
    <row r="114" spans="1:37" ht="15" customHeight="1">
      <c r="A114" s="2" t="s">
        <v>473</v>
      </c>
      <c r="B114" s="2">
        <v>0</v>
      </c>
      <c r="C114" s="2"/>
      <c r="D114" s="2" t="s">
        <v>305</v>
      </c>
      <c r="E114" s="2" t="s">
        <v>422</v>
      </c>
      <c r="F114" s="3">
        <v>45693</v>
      </c>
      <c r="G114" s="3">
        <v>45693</v>
      </c>
      <c r="H114" s="3">
        <v>45693</v>
      </c>
      <c r="I114" s="2"/>
      <c r="J114" s="2"/>
      <c r="K114" s="2" t="s">
        <v>25</v>
      </c>
      <c r="L114" s="2" t="s">
        <v>26</v>
      </c>
      <c r="M114" s="2"/>
      <c r="N114" s="2" t="s">
        <v>27</v>
      </c>
      <c r="O114" s="2">
        <v>1</v>
      </c>
      <c r="P114" s="2">
        <v>0.18</v>
      </c>
      <c r="Q114" s="2">
        <v>1.18</v>
      </c>
      <c r="R114" s="2">
        <v>1.18</v>
      </c>
      <c r="S114" s="2">
        <v>1.18</v>
      </c>
      <c r="T114" s="2" t="s">
        <v>28</v>
      </c>
      <c r="U114" s="2" t="b">
        <v>0</v>
      </c>
      <c r="V114" s="2" t="s">
        <v>29</v>
      </c>
      <c r="W114" s="2" t="s">
        <v>104</v>
      </c>
      <c r="X114" s="2" t="s">
        <v>105</v>
      </c>
      <c r="Y114" s="2" t="s">
        <v>474</v>
      </c>
      <c r="Z114" s="2" t="s">
        <v>31</v>
      </c>
      <c r="AA114" s="2"/>
      <c r="AB114" s="2"/>
      <c r="AC114" s="2"/>
      <c r="AD114" s="2"/>
      <c r="AK114" s="8">
        <f t="shared" si="2"/>
        <v>45693</v>
      </c>
    </row>
    <row r="115" spans="1:37" ht="15" customHeight="1">
      <c r="A115" s="2" t="s">
        <v>475</v>
      </c>
      <c r="B115" s="2">
        <v>0</v>
      </c>
      <c r="C115" s="2"/>
      <c r="D115" s="2" t="s">
        <v>305</v>
      </c>
      <c r="E115" s="2" t="s">
        <v>422</v>
      </c>
      <c r="F115" s="3">
        <v>45693</v>
      </c>
      <c r="G115" s="3">
        <v>45693</v>
      </c>
      <c r="H115" s="3">
        <v>45693</v>
      </c>
      <c r="I115" s="2"/>
      <c r="J115" s="2"/>
      <c r="K115" s="2" t="s">
        <v>25</v>
      </c>
      <c r="L115" s="2" t="s">
        <v>26</v>
      </c>
      <c r="M115" s="2"/>
      <c r="N115" s="2" t="s">
        <v>27</v>
      </c>
      <c r="O115" s="2">
        <v>2327.5300000000002</v>
      </c>
      <c r="P115" s="2">
        <v>418.95</v>
      </c>
      <c r="Q115" s="2">
        <v>2746.48</v>
      </c>
      <c r="R115" s="2">
        <v>2746.48</v>
      </c>
      <c r="S115" s="2">
        <v>2746.48</v>
      </c>
      <c r="T115" s="2" t="s">
        <v>28</v>
      </c>
      <c r="U115" s="2" t="b">
        <v>0</v>
      </c>
      <c r="V115" s="2" t="s">
        <v>29</v>
      </c>
      <c r="W115" s="2" t="s">
        <v>104</v>
      </c>
      <c r="X115" s="2" t="s">
        <v>105</v>
      </c>
      <c r="Y115" s="2" t="s">
        <v>476</v>
      </c>
      <c r="Z115" s="2" t="s">
        <v>31</v>
      </c>
      <c r="AA115" s="2"/>
      <c r="AB115" s="2"/>
      <c r="AC115" s="2"/>
      <c r="AD115" s="2"/>
      <c r="AK115" s="8">
        <f t="shared" si="2"/>
        <v>45693</v>
      </c>
    </row>
    <row r="116" spans="1:37" ht="15" customHeight="1">
      <c r="A116" s="2" t="s">
        <v>477</v>
      </c>
      <c r="B116" s="2">
        <v>0</v>
      </c>
      <c r="C116" s="2"/>
      <c r="D116" s="2" t="s">
        <v>305</v>
      </c>
      <c r="E116" s="2" t="s">
        <v>422</v>
      </c>
      <c r="F116" s="3">
        <v>45693</v>
      </c>
      <c r="G116" s="3">
        <v>45693</v>
      </c>
      <c r="H116" s="3">
        <v>45693</v>
      </c>
      <c r="I116" s="2"/>
      <c r="J116" s="2"/>
      <c r="K116" s="2" t="s">
        <v>25</v>
      </c>
      <c r="L116" s="2" t="s">
        <v>26</v>
      </c>
      <c r="M116" s="2"/>
      <c r="N116" s="2" t="s">
        <v>27</v>
      </c>
      <c r="O116" s="2">
        <v>1440.93</v>
      </c>
      <c r="P116" s="2">
        <v>259.37</v>
      </c>
      <c r="Q116" s="2">
        <v>1700.3</v>
      </c>
      <c r="R116" s="2">
        <v>1700.3</v>
      </c>
      <c r="S116" s="2">
        <v>1700.3</v>
      </c>
      <c r="T116" s="2" t="s">
        <v>28</v>
      </c>
      <c r="U116" s="2" t="b">
        <v>0</v>
      </c>
      <c r="V116" s="2" t="s">
        <v>29</v>
      </c>
      <c r="W116" s="2" t="s">
        <v>104</v>
      </c>
      <c r="X116" s="2" t="s">
        <v>105</v>
      </c>
      <c r="Y116" s="2" t="s">
        <v>478</v>
      </c>
      <c r="Z116" s="2" t="s">
        <v>31</v>
      </c>
      <c r="AA116" s="2"/>
      <c r="AB116" s="2"/>
      <c r="AC116" s="2"/>
      <c r="AD116" s="2"/>
      <c r="AK116" s="8">
        <f t="shared" si="2"/>
        <v>45693</v>
      </c>
    </row>
    <row r="117" spans="1:37" ht="15" customHeight="1">
      <c r="A117" s="2" t="s">
        <v>479</v>
      </c>
      <c r="B117" s="2">
        <v>0</v>
      </c>
      <c r="C117" s="2"/>
      <c r="D117" s="2" t="s">
        <v>305</v>
      </c>
      <c r="E117" s="2" t="s">
        <v>422</v>
      </c>
      <c r="F117" s="3">
        <v>45693</v>
      </c>
      <c r="G117" s="3">
        <v>45693</v>
      </c>
      <c r="H117" s="3">
        <v>45693</v>
      </c>
      <c r="I117" s="2"/>
      <c r="J117" s="2"/>
      <c r="K117" s="2" t="s">
        <v>25</v>
      </c>
      <c r="L117" s="2" t="s">
        <v>26</v>
      </c>
      <c r="M117" s="2"/>
      <c r="N117" s="2" t="s">
        <v>27</v>
      </c>
      <c r="O117" s="2">
        <v>650</v>
      </c>
      <c r="P117" s="2">
        <v>117</v>
      </c>
      <c r="Q117" s="2">
        <v>767</v>
      </c>
      <c r="R117" s="2">
        <v>767</v>
      </c>
      <c r="S117" s="2">
        <v>767</v>
      </c>
      <c r="T117" s="2" t="s">
        <v>28</v>
      </c>
      <c r="U117" s="2" t="b">
        <v>0</v>
      </c>
      <c r="V117" s="2" t="s">
        <v>29</v>
      </c>
      <c r="W117" s="2" t="s">
        <v>104</v>
      </c>
      <c r="X117" s="2" t="s">
        <v>105</v>
      </c>
      <c r="Y117" s="2" t="s">
        <v>480</v>
      </c>
      <c r="Z117" s="2" t="s">
        <v>31</v>
      </c>
      <c r="AA117" s="2"/>
      <c r="AB117" s="2"/>
      <c r="AC117" s="2"/>
      <c r="AD117" s="2"/>
      <c r="AK117" s="8">
        <f t="shared" si="2"/>
        <v>45693</v>
      </c>
    </row>
    <row r="118" spans="1:37" ht="15" customHeight="1">
      <c r="A118" s="2" t="s">
        <v>481</v>
      </c>
      <c r="B118" s="2">
        <v>0</v>
      </c>
      <c r="C118" s="2"/>
      <c r="D118" s="2" t="s">
        <v>305</v>
      </c>
      <c r="E118" s="2" t="s">
        <v>422</v>
      </c>
      <c r="F118" s="3">
        <v>45693</v>
      </c>
      <c r="G118" s="3">
        <v>45693</v>
      </c>
      <c r="H118" s="3">
        <v>45693</v>
      </c>
      <c r="I118" s="2"/>
      <c r="J118" s="2"/>
      <c r="K118" s="2" t="s">
        <v>25</v>
      </c>
      <c r="L118" s="2" t="s">
        <v>26</v>
      </c>
      <c r="M118" s="2"/>
      <c r="N118" s="2" t="s">
        <v>27</v>
      </c>
      <c r="O118" s="2">
        <v>600</v>
      </c>
      <c r="P118" s="2">
        <v>108</v>
      </c>
      <c r="Q118" s="2">
        <v>708</v>
      </c>
      <c r="R118" s="2">
        <v>708</v>
      </c>
      <c r="S118" s="2">
        <v>708</v>
      </c>
      <c r="T118" s="2" t="s">
        <v>28</v>
      </c>
      <c r="U118" s="2" t="b">
        <v>0</v>
      </c>
      <c r="V118" s="2" t="s">
        <v>29</v>
      </c>
      <c r="W118" s="2" t="s">
        <v>104</v>
      </c>
      <c r="X118" s="2" t="s">
        <v>105</v>
      </c>
      <c r="Y118" s="2" t="s">
        <v>482</v>
      </c>
      <c r="Z118" s="2" t="s">
        <v>31</v>
      </c>
      <c r="AA118" s="2"/>
      <c r="AB118" s="2"/>
      <c r="AC118" s="2"/>
      <c r="AD118" s="2"/>
      <c r="AK118" s="8">
        <f t="shared" si="2"/>
        <v>45693</v>
      </c>
    </row>
    <row r="119" spans="1:37" ht="15" customHeight="1">
      <c r="A119" s="2" t="s">
        <v>483</v>
      </c>
      <c r="B119" s="2">
        <v>0</v>
      </c>
      <c r="C119" s="2"/>
      <c r="D119" s="2" t="s">
        <v>305</v>
      </c>
      <c r="E119" s="2" t="s">
        <v>422</v>
      </c>
      <c r="F119" s="3">
        <v>45693</v>
      </c>
      <c r="G119" s="3">
        <v>45693</v>
      </c>
      <c r="H119" s="3">
        <v>45693</v>
      </c>
      <c r="I119" s="2"/>
      <c r="J119" s="2"/>
      <c r="K119" s="2" t="s">
        <v>25</v>
      </c>
      <c r="L119" s="2" t="s">
        <v>26</v>
      </c>
      <c r="M119" s="2"/>
      <c r="N119" s="2" t="s">
        <v>27</v>
      </c>
      <c r="O119" s="2">
        <v>1200</v>
      </c>
      <c r="P119" s="2">
        <v>216</v>
      </c>
      <c r="Q119" s="2">
        <v>1416</v>
      </c>
      <c r="R119" s="2">
        <v>1416</v>
      </c>
      <c r="S119" s="2">
        <v>1416</v>
      </c>
      <c r="T119" s="2" t="s">
        <v>28</v>
      </c>
      <c r="U119" s="2" t="b">
        <v>0</v>
      </c>
      <c r="V119" s="2" t="s">
        <v>29</v>
      </c>
      <c r="W119" s="2" t="s">
        <v>104</v>
      </c>
      <c r="X119" s="2" t="s">
        <v>105</v>
      </c>
      <c r="Y119" s="2" t="s">
        <v>484</v>
      </c>
      <c r="Z119" s="2" t="s">
        <v>31</v>
      </c>
      <c r="AA119" s="2"/>
      <c r="AB119" s="2"/>
      <c r="AC119" s="2"/>
      <c r="AD119" s="2"/>
      <c r="AK119" s="8">
        <f t="shared" si="2"/>
        <v>45693</v>
      </c>
    </row>
    <row r="120" spans="1:37" ht="15" customHeight="1">
      <c r="A120" s="2" t="s">
        <v>485</v>
      </c>
      <c r="B120" s="2">
        <v>0</v>
      </c>
      <c r="C120" s="2"/>
      <c r="D120" s="2" t="s">
        <v>305</v>
      </c>
      <c r="E120" s="2" t="s">
        <v>422</v>
      </c>
      <c r="F120" s="3">
        <v>45693</v>
      </c>
      <c r="G120" s="3">
        <v>45693</v>
      </c>
      <c r="H120" s="3">
        <v>45693</v>
      </c>
      <c r="I120" s="2"/>
      <c r="J120" s="2"/>
      <c r="K120" s="2" t="s">
        <v>25</v>
      </c>
      <c r="L120" s="2" t="s">
        <v>26</v>
      </c>
      <c r="M120" s="2"/>
      <c r="N120" s="2" t="s">
        <v>27</v>
      </c>
      <c r="O120" s="2">
        <v>1200</v>
      </c>
      <c r="P120" s="2">
        <v>216</v>
      </c>
      <c r="Q120" s="2">
        <v>1416</v>
      </c>
      <c r="R120" s="2">
        <v>1416</v>
      </c>
      <c r="S120" s="2">
        <v>1416</v>
      </c>
      <c r="T120" s="2" t="s">
        <v>28</v>
      </c>
      <c r="U120" s="2" t="b">
        <v>0</v>
      </c>
      <c r="V120" s="2" t="s">
        <v>29</v>
      </c>
      <c r="W120" s="2" t="s">
        <v>104</v>
      </c>
      <c r="X120" s="2" t="s">
        <v>105</v>
      </c>
      <c r="Y120" s="2" t="s">
        <v>486</v>
      </c>
      <c r="Z120" s="2" t="s">
        <v>31</v>
      </c>
      <c r="AA120" s="2"/>
      <c r="AB120" s="2"/>
      <c r="AC120" s="2"/>
      <c r="AD120" s="2"/>
      <c r="AK120" s="8">
        <f t="shared" si="2"/>
        <v>45693</v>
      </c>
    </row>
    <row r="121" spans="1:37" ht="15" customHeight="1">
      <c r="A121" s="2" t="s">
        <v>487</v>
      </c>
      <c r="B121" s="2">
        <v>0</v>
      </c>
      <c r="C121" s="2"/>
      <c r="D121" s="2" t="s">
        <v>305</v>
      </c>
      <c r="E121" s="2" t="s">
        <v>422</v>
      </c>
      <c r="F121" s="3">
        <v>45693</v>
      </c>
      <c r="G121" s="3">
        <v>45693</v>
      </c>
      <c r="H121" s="3">
        <v>45693</v>
      </c>
      <c r="I121" s="2"/>
      <c r="J121" s="2"/>
      <c r="K121" s="2" t="s">
        <v>25</v>
      </c>
      <c r="L121" s="2" t="s">
        <v>26</v>
      </c>
      <c r="M121" s="2"/>
      <c r="N121" s="2" t="s">
        <v>27</v>
      </c>
      <c r="O121" s="2">
        <v>2530.92</v>
      </c>
      <c r="P121" s="2">
        <v>455.56</v>
      </c>
      <c r="Q121" s="2">
        <v>2986.48</v>
      </c>
      <c r="R121" s="2">
        <v>2986.48</v>
      </c>
      <c r="S121" s="2">
        <v>2986.48</v>
      </c>
      <c r="T121" s="2" t="s">
        <v>28</v>
      </c>
      <c r="U121" s="2" t="b">
        <v>0</v>
      </c>
      <c r="V121" s="2" t="s">
        <v>29</v>
      </c>
      <c r="W121" s="2" t="s">
        <v>104</v>
      </c>
      <c r="X121" s="2" t="s">
        <v>105</v>
      </c>
      <c r="Y121" s="2" t="s">
        <v>488</v>
      </c>
      <c r="Z121" s="2" t="s">
        <v>31</v>
      </c>
      <c r="AA121" s="2"/>
      <c r="AB121" s="2"/>
      <c r="AC121" s="2"/>
      <c r="AD121" s="2"/>
      <c r="AK121" s="8">
        <f t="shared" si="2"/>
        <v>45693</v>
      </c>
    </row>
    <row r="122" spans="1:37" ht="15" customHeight="1">
      <c r="A122" s="2" t="s">
        <v>489</v>
      </c>
      <c r="B122" s="2">
        <v>0</v>
      </c>
      <c r="C122" s="2"/>
      <c r="D122" s="2" t="s">
        <v>305</v>
      </c>
      <c r="E122" s="2" t="s">
        <v>422</v>
      </c>
      <c r="F122" s="3">
        <v>45693</v>
      </c>
      <c r="G122" s="3">
        <v>45693</v>
      </c>
      <c r="H122" s="3">
        <v>45693</v>
      </c>
      <c r="I122" s="2"/>
      <c r="J122" s="2"/>
      <c r="K122" s="2" t="s">
        <v>25</v>
      </c>
      <c r="L122" s="2" t="s">
        <v>26</v>
      </c>
      <c r="M122" s="2"/>
      <c r="N122" s="2" t="s">
        <v>27</v>
      </c>
      <c r="O122" s="2">
        <v>1544.46</v>
      </c>
      <c r="P122" s="2">
        <v>278</v>
      </c>
      <c r="Q122" s="2">
        <v>1822.46</v>
      </c>
      <c r="R122" s="2">
        <v>1822.46</v>
      </c>
      <c r="S122" s="2">
        <v>1822.46</v>
      </c>
      <c r="T122" s="2" t="s">
        <v>28</v>
      </c>
      <c r="U122" s="2" t="b">
        <v>0</v>
      </c>
      <c r="V122" s="2" t="s">
        <v>29</v>
      </c>
      <c r="W122" s="2" t="s">
        <v>104</v>
      </c>
      <c r="X122" s="2" t="s">
        <v>105</v>
      </c>
      <c r="Y122" s="2" t="s">
        <v>490</v>
      </c>
      <c r="Z122" s="2" t="s">
        <v>31</v>
      </c>
      <c r="AA122" s="2"/>
      <c r="AB122" s="2"/>
      <c r="AC122" s="2"/>
      <c r="AD122" s="2"/>
      <c r="AK122" s="8">
        <f t="shared" si="2"/>
        <v>45693</v>
      </c>
    </row>
    <row r="123" spans="1:37" ht="15" customHeight="1">
      <c r="A123" s="2" t="s">
        <v>491</v>
      </c>
      <c r="B123" s="2">
        <v>0</v>
      </c>
      <c r="C123" s="2"/>
      <c r="D123" s="2" t="s">
        <v>305</v>
      </c>
      <c r="E123" s="2" t="s">
        <v>492</v>
      </c>
      <c r="F123" s="3">
        <v>45693</v>
      </c>
      <c r="G123" s="3">
        <v>45693</v>
      </c>
      <c r="H123" s="3">
        <v>45693</v>
      </c>
      <c r="I123" s="2"/>
      <c r="J123" s="2"/>
      <c r="K123" s="2" t="s">
        <v>25</v>
      </c>
      <c r="L123" s="2" t="s">
        <v>26</v>
      </c>
      <c r="M123" s="2"/>
      <c r="N123" s="2" t="s">
        <v>27</v>
      </c>
      <c r="O123" s="2">
        <v>25.85</v>
      </c>
      <c r="P123" s="2">
        <v>4.6500000000000004</v>
      </c>
      <c r="Q123" s="2">
        <v>30.5</v>
      </c>
      <c r="R123" s="2">
        <v>30.5</v>
      </c>
      <c r="S123" s="2">
        <v>30.5</v>
      </c>
      <c r="T123" s="2" t="s">
        <v>28</v>
      </c>
      <c r="U123" s="2" t="b">
        <v>0</v>
      </c>
      <c r="V123" s="2" t="s">
        <v>29</v>
      </c>
      <c r="W123" s="2" t="s">
        <v>104</v>
      </c>
      <c r="X123" s="2" t="s">
        <v>105</v>
      </c>
      <c r="Y123" s="2" t="s">
        <v>493</v>
      </c>
      <c r="Z123" s="2" t="s">
        <v>31</v>
      </c>
      <c r="AA123" s="2"/>
      <c r="AB123" s="2"/>
      <c r="AC123" s="2"/>
      <c r="AD123" s="2"/>
      <c r="AK123" s="8">
        <f t="shared" si="2"/>
        <v>45693</v>
      </c>
    </row>
    <row r="124" spans="1:37" ht="15" customHeight="1">
      <c r="A124" s="2" t="s">
        <v>494</v>
      </c>
      <c r="B124" s="2">
        <v>0</v>
      </c>
      <c r="C124" s="2"/>
      <c r="D124" s="2" t="s">
        <v>305</v>
      </c>
      <c r="E124" s="2" t="s">
        <v>492</v>
      </c>
      <c r="F124" s="3">
        <v>45693</v>
      </c>
      <c r="G124" s="3">
        <v>45693</v>
      </c>
      <c r="H124" s="3">
        <v>45693</v>
      </c>
      <c r="I124" s="2"/>
      <c r="J124" s="2"/>
      <c r="K124" s="2" t="s">
        <v>25</v>
      </c>
      <c r="L124" s="2" t="s">
        <v>26</v>
      </c>
      <c r="M124" s="2"/>
      <c r="N124" s="2" t="s">
        <v>27</v>
      </c>
      <c r="O124" s="2">
        <v>20.34</v>
      </c>
      <c r="P124" s="2">
        <v>3.66</v>
      </c>
      <c r="Q124" s="2">
        <v>24</v>
      </c>
      <c r="R124" s="2">
        <v>24</v>
      </c>
      <c r="S124" s="2">
        <v>24</v>
      </c>
      <c r="T124" s="2" t="s">
        <v>28</v>
      </c>
      <c r="U124" s="2" t="b">
        <v>0</v>
      </c>
      <c r="V124" s="2" t="s">
        <v>29</v>
      </c>
      <c r="W124" s="2" t="s">
        <v>104</v>
      </c>
      <c r="X124" s="2" t="s">
        <v>105</v>
      </c>
      <c r="Y124" s="2" t="s">
        <v>495</v>
      </c>
      <c r="Z124" s="2" t="s">
        <v>31</v>
      </c>
      <c r="AA124" s="2"/>
      <c r="AB124" s="2"/>
      <c r="AC124" s="2"/>
      <c r="AD124" s="2"/>
      <c r="AK124" s="8">
        <f t="shared" si="2"/>
        <v>45693</v>
      </c>
    </row>
    <row r="125" spans="1:37" ht="15" customHeight="1">
      <c r="A125" s="2" t="s">
        <v>496</v>
      </c>
      <c r="B125" s="2">
        <v>0</v>
      </c>
      <c r="C125" s="2"/>
      <c r="D125" s="2" t="s">
        <v>305</v>
      </c>
      <c r="E125" s="2" t="s">
        <v>497</v>
      </c>
      <c r="F125" s="3">
        <v>45693</v>
      </c>
      <c r="G125" s="3">
        <v>45693</v>
      </c>
      <c r="H125" s="3">
        <v>45693</v>
      </c>
      <c r="I125" s="2"/>
      <c r="J125" s="2"/>
      <c r="K125" s="2" t="s">
        <v>25</v>
      </c>
      <c r="L125" s="2" t="s">
        <v>26</v>
      </c>
      <c r="M125" s="2"/>
      <c r="N125" s="2" t="s">
        <v>27</v>
      </c>
      <c r="O125" s="2">
        <v>24.75</v>
      </c>
      <c r="P125" s="2">
        <v>4.45</v>
      </c>
      <c r="Q125" s="2">
        <v>29.2</v>
      </c>
      <c r="R125" s="2">
        <v>29.2</v>
      </c>
      <c r="S125" s="2">
        <v>29.2</v>
      </c>
      <c r="T125" s="2" t="s">
        <v>28</v>
      </c>
      <c r="U125" s="2" t="b">
        <v>0</v>
      </c>
      <c r="V125" s="2" t="s">
        <v>29</v>
      </c>
      <c r="W125" s="2" t="s">
        <v>104</v>
      </c>
      <c r="X125" s="2" t="s">
        <v>105</v>
      </c>
      <c r="Y125" s="2" t="s">
        <v>498</v>
      </c>
      <c r="Z125" s="2" t="s">
        <v>31</v>
      </c>
      <c r="AA125" s="2"/>
      <c r="AB125" s="2"/>
      <c r="AC125" s="2"/>
      <c r="AD125" s="2"/>
      <c r="AK125" s="8">
        <f t="shared" si="2"/>
        <v>45693</v>
      </c>
    </row>
    <row r="126" spans="1:37" ht="15" customHeight="1">
      <c r="A126" s="2" t="s">
        <v>499</v>
      </c>
      <c r="B126" s="2">
        <v>0</v>
      </c>
      <c r="C126" s="2"/>
      <c r="D126" s="2" t="s">
        <v>305</v>
      </c>
      <c r="E126" s="2" t="s">
        <v>497</v>
      </c>
      <c r="F126" s="3">
        <v>45693</v>
      </c>
      <c r="G126" s="3">
        <v>45693</v>
      </c>
      <c r="H126" s="3">
        <v>45693</v>
      </c>
      <c r="I126" s="2"/>
      <c r="J126" s="2"/>
      <c r="K126" s="2" t="s">
        <v>25</v>
      </c>
      <c r="L126" s="2" t="s">
        <v>26</v>
      </c>
      <c r="M126" s="2"/>
      <c r="N126" s="2" t="s">
        <v>27</v>
      </c>
      <c r="O126" s="2">
        <v>18.05</v>
      </c>
      <c r="P126" s="2">
        <v>3.25</v>
      </c>
      <c r="Q126" s="2">
        <v>21.3</v>
      </c>
      <c r="R126" s="2">
        <v>21.3</v>
      </c>
      <c r="S126" s="2">
        <v>21.3</v>
      </c>
      <c r="T126" s="2" t="s">
        <v>28</v>
      </c>
      <c r="U126" s="2" t="b">
        <v>0</v>
      </c>
      <c r="V126" s="2" t="s">
        <v>29</v>
      </c>
      <c r="W126" s="2" t="s">
        <v>104</v>
      </c>
      <c r="X126" s="2" t="s">
        <v>105</v>
      </c>
      <c r="Y126" s="2" t="s">
        <v>500</v>
      </c>
      <c r="Z126" s="2" t="s">
        <v>31</v>
      </c>
      <c r="AA126" s="2"/>
      <c r="AB126" s="2"/>
      <c r="AC126" s="2"/>
      <c r="AD126" s="2"/>
      <c r="AK126" s="8">
        <f t="shared" si="2"/>
        <v>45693</v>
      </c>
    </row>
    <row r="127" spans="1:37" ht="15" customHeight="1">
      <c r="A127" s="2" t="s">
        <v>501</v>
      </c>
      <c r="B127" s="2">
        <v>0</v>
      </c>
      <c r="C127" s="2"/>
      <c r="D127" s="2" t="s">
        <v>305</v>
      </c>
      <c r="E127" s="2" t="s">
        <v>422</v>
      </c>
      <c r="F127" s="3">
        <v>45693</v>
      </c>
      <c r="G127" s="3">
        <v>45693</v>
      </c>
      <c r="H127" s="3">
        <v>45693</v>
      </c>
      <c r="I127" s="2"/>
      <c r="J127" s="2"/>
      <c r="K127" s="2" t="s">
        <v>25</v>
      </c>
      <c r="L127" s="2" t="s">
        <v>26</v>
      </c>
      <c r="M127" s="2"/>
      <c r="N127" s="2" t="s">
        <v>27</v>
      </c>
      <c r="O127" s="2">
        <v>600</v>
      </c>
      <c r="P127" s="2">
        <v>108</v>
      </c>
      <c r="Q127" s="2">
        <v>708</v>
      </c>
      <c r="R127" s="2">
        <v>708</v>
      </c>
      <c r="S127" s="2">
        <v>708</v>
      </c>
      <c r="T127" s="2" t="s">
        <v>28</v>
      </c>
      <c r="U127" s="2" t="b">
        <v>0</v>
      </c>
      <c r="V127" s="2" t="s">
        <v>29</v>
      </c>
      <c r="W127" s="2" t="s">
        <v>104</v>
      </c>
      <c r="X127" s="2" t="s">
        <v>105</v>
      </c>
      <c r="Y127" s="2" t="s">
        <v>502</v>
      </c>
      <c r="Z127" s="2" t="s">
        <v>31</v>
      </c>
      <c r="AA127" s="2"/>
      <c r="AB127" s="2"/>
      <c r="AC127" s="2"/>
      <c r="AD127" s="2"/>
      <c r="AK127" s="8">
        <f t="shared" si="2"/>
        <v>45693</v>
      </c>
    </row>
    <row r="128" spans="1:37" ht="15" customHeight="1">
      <c r="A128" s="2" t="s">
        <v>503</v>
      </c>
      <c r="B128" s="2">
        <v>0</v>
      </c>
      <c r="C128" s="2"/>
      <c r="D128" s="2" t="s">
        <v>305</v>
      </c>
      <c r="E128" s="2" t="s">
        <v>422</v>
      </c>
      <c r="F128" s="3">
        <v>45693</v>
      </c>
      <c r="G128" s="3">
        <v>45693</v>
      </c>
      <c r="H128" s="3">
        <v>45693</v>
      </c>
      <c r="I128" s="2"/>
      <c r="J128" s="2"/>
      <c r="K128" s="2" t="s">
        <v>25</v>
      </c>
      <c r="L128" s="2" t="s">
        <v>26</v>
      </c>
      <c r="M128" s="2"/>
      <c r="N128" s="2" t="s">
        <v>27</v>
      </c>
      <c r="O128" s="2">
        <v>1264.92</v>
      </c>
      <c r="P128" s="2">
        <v>227.68</v>
      </c>
      <c r="Q128" s="2">
        <v>1492.6</v>
      </c>
      <c r="R128" s="2">
        <v>1492.6</v>
      </c>
      <c r="S128" s="2">
        <v>1492.6</v>
      </c>
      <c r="T128" s="2" t="s">
        <v>28</v>
      </c>
      <c r="U128" s="2" t="b">
        <v>0</v>
      </c>
      <c r="V128" s="2" t="s">
        <v>29</v>
      </c>
      <c r="W128" s="2" t="s">
        <v>104</v>
      </c>
      <c r="X128" s="2" t="s">
        <v>105</v>
      </c>
      <c r="Y128" s="2" t="s">
        <v>504</v>
      </c>
      <c r="Z128" s="2" t="s">
        <v>31</v>
      </c>
      <c r="AA128" s="2"/>
      <c r="AB128" s="2"/>
      <c r="AC128" s="2"/>
      <c r="AD128" s="2"/>
      <c r="AK128" s="8">
        <f t="shared" si="2"/>
        <v>45693</v>
      </c>
    </row>
    <row r="129" spans="1:37" ht="15" customHeight="1">
      <c r="A129" s="2" t="s">
        <v>505</v>
      </c>
      <c r="B129" s="2">
        <v>0</v>
      </c>
      <c r="C129" s="2"/>
      <c r="D129" s="2" t="s">
        <v>305</v>
      </c>
      <c r="E129" s="2" t="s">
        <v>422</v>
      </c>
      <c r="F129" s="3">
        <v>45693</v>
      </c>
      <c r="G129" s="3">
        <v>45693</v>
      </c>
      <c r="H129" s="3">
        <v>45693</v>
      </c>
      <c r="I129" s="2"/>
      <c r="J129" s="2"/>
      <c r="K129" s="2" t="s">
        <v>25</v>
      </c>
      <c r="L129" s="2" t="s">
        <v>26</v>
      </c>
      <c r="M129" s="2"/>
      <c r="N129" s="2" t="s">
        <v>27</v>
      </c>
      <c r="O129" s="2">
        <v>896.27</v>
      </c>
      <c r="P129" s="2">
        <v>161.33000000000001</v>
      </c>
      <c r="Q129" s="2">
        <v>1057.5999999999999</v>
      </c>
      <c r="R129" s="2">
        <v>1057.5999999999999</v>
      </c>
      <c r="S129" s="2">
        <v>1057.5999999999999</v>
      </c>
      <c r="T129" s="2" t="s">
        <v>28</v>
      </c>
      <c r="U129" s="2" t="b">
        <v>0</v>
      </c>
      <c r="V129" s="2" t="s">
        <v>29</v>
      </c>
      <c r="W129" s="2" t="s">
        <v>104</v>
      </c>
      <c r="X129" s="2" t="s">
        <v>105</v>
      </c>
      <c r="Y129" s="2" t="s">
        <v>506</v>
      </c>
      <c r="Z129" s="2" t="s">
        <v>31</v>
      </c>
      <c r="AA129" s="2"/>
      <c r="AB129" s="2"/>
      <c r="AC129" s="2"/>
      <c r="AD129" s="2"/>
      <c r="AK129" s="8">
        <f t="shared" si="2"/>
        <v>45693</v>
      </c>
    </row>
    <row r="130" spans="1:37" ht="15" customHeight="1">
      <c r="A130" s="2" t="s">
        <v>507</v>
      </c>
      <c r="B130" s="2">
        <v>0</v>
      </c>
      <c r="C130" s="2"/>
      <c r="D130" s="2" t="s">
        <v>305</v>
      </c>
      <c r="E130" s="2" t="s">
        <v>508</v>
      </c>
      <c r="F130" s="3">
        <v>45693</v>
      </c>
      <c r="G130" s="3">
        <v>45693</v>
      </c>
      <c r="H130" s="3">
        <v>45693</v>
      </c>
      <c r="I130" s="2"/>
      <c r="J130" s="2"/>
      <c r="K130" s="2" t="s">
        <v>25</v>
      </c>
      <c r="L130" s="2" t="s">
        <v>26</v>
      </c>
      <c r="M130" s="2"/>
      <c r="N130" s="2" t="s">
        <v>27</v>
      </c>
      <c r="O130" s="2">
        <v>4.95</v>
      </c>
      <c r="P130" s="2">
        <v>0.89</v>
      </c>
      <c r="Q130" s="2">
        <v>5.84</v>
      </c>
      <c r="R130" s="2">
        <v>5.84</v>
      </c>
      <c r="S130" s="2">
        <v>5.84</v>
      </c>
      <c r="T130" s="2" t="s">
        <v>28</v>
      </c>
      <c r="U130" s="2" t="b">
        <v>0</v>
      </c>
      <c r="V130" s="2" t="s">
        <v>29</v>
      </c>
      <c r="W130" s="2" t="s">
        <v>104</v>
      </c>
      <c r="X130" s="2" t="s">
        <v>105</v>
      </c>
      <c r="Y130" s="2" t="s">
        <v>509</v>
      </c>
      <c r="Z130" s="2" t="s">
        <v>31</v>
      </c>
      <c r="AA130" s="2"/>
      <c r="AB130" s="2"/>
      <c r="AC130" s="2"/>
      <c r="AD130" s="2"/>
      <c r="AK130" s="8">
        <f t="shared" si="2"/>
        <v>45693</v>
      </c>
    </row>
    <row r="131" spans="1:37" ht="15" customHeight="1">
      <c r="A131" s="2" t="s">
        <v>510</v>
      </c>
      <c r="B131" s="2">
        <v>0</v>
      </c>
      <c r="C131" s="2"/>
      <c r="D131" s="2" t="s">
        <v>305</v>
      </c>
      <c r="E131" s="2" t="s">
        <v>508</v>
      </c>
      <c r="F131" s="3">
        <v>45693</v>
      </c>
      <c r="G131" s="3">
        <v>45693</v>
      </c>
      <c r="H131" s="3">
        <v>45693</v>
      </c>
      <c r="I131" s="2"/>
      <c r="J131" s="2"/>
      <c r="K131" s="2" t="s">
        <v>25</v>
      </c>
      <c r="L131" s="2" t="s">
        <v>26</v>
      </c>
      <c r="M131" s="2"/>
      <c r="N131" s="2" t="s">
        <v>27</v>
      </c>
      <c r="O131" s="2">
        <v>5</v>
      </c>
      <c r="P131" s="2">
        <v>0.9</v>
      </c>
      <c r="Q131" s="2">
        <v>5.9</v>
      </c>
      <c r="R131" s="2">
        <v>5.9</v>
      </c>
      <c r="S131" s="2">
        <v>5.9</v>
      </c>
      <c r="T131" s="2" t="s">
        <v>28</v>
      </c>
      <c r="U131" s="2" t="b">
        <v>0</v>
      </c>
      <c r="V131" s="2" t="s">
        <v>29</v>
      </c>
      <c r="W131" s="2" t="s">
        <v>104</v>
      </c>
      <c r="X131" s="2" t="s">
        <v>105</v>
      </c>
      <c r="Y131" s="2" t="s">
        <v>511</v>
      </c>
      <c r="Z131" s="2" t="s">
        <v>31</v>
      </c>
      <c r="AA131" s="2"/>
      <c r="AB131" s="2"/>
      <c r="AC131" s="2"/>
      <c r="AD131" s="2"/>
      <c r="AK131" s="8">
        <f t="shared" si="2"/>
        <v>45693</v>
      </c>
    </row>
    <row r="132" spans="1:37" ht="15" customHeight="1">
      <c r="A132" s="2" t="s">
        <v>512</v>
      </c>
      <c r="B132" s="2">
        <v>0</v>
      </c>
      <c r="C132" s="2"/>
      <c r="D132" s="2" t="s">
        <v>305</v>
      </c>
      <c r="E132" s="2" t="s">
        <v>422</v>
      </c>
      <c r="F132" s="3">
        <v>45693</v>
      </c>
      <c r="G132" s="3">
        <v>45693</v>
      </c>
      <c r="H132" s="3">
        <v>45693</v>
      </c>
      <c r="I132" s="2"/>
      <c r="J132" s="2"/>
      <c r="K132" s="2" t="s">
        <v>25</v>
      </c>
      <c r="L132" s="2" t="s">
        <v>26</v>
      </c>
      <c r="M132" s="2"/>
      <c r="N132" s="2" t="s">
        <v>27</v>
      </c>
      <c r="O132" s="2">
        <v>1</v>
      </c>
      <c r="P132" s="2">
        <v>0.18</v>
      </c>
      <c r="Q132" s="2">
        <v>1.18</v>
      </c>
      <c r="R132" s="2">
        <v>1.18</v>
      </c>
      <c r="S132" s="2">
        <v>1.18</v>
      </c>
      <c r="T132" s="2" t="s">
        <v>28</v>
      </c>
      <c r="U132" s="2" t="b">
        <v>0</v>
      </c>
      <c r="V132" s="2" t="s">
        <v>29</v>
      </c>
      <c r="W132" s="2" t="s">
        <v>104</v>
      </c>
      <c r="X132" s="2" t="s">
        <v>105</v>
      </c>
      <c r="Y132" s="2" t="s">
        <v>513</v>
      </c>
      <c r="Z132" s="2" t="s">
        <v>31</v>
      </c>
      <c r="AA132" s="2"/>
      <c r="AB132" s="2"/>
      <c r="AC132" s="2"/>
      <c r="AD132" s="2"/>
      <c r="AK132" s="8">
        <f t="shared" si="2"/>
        <v>45693</v>
      </c>
    </row>
    <row r="133" spans="1:37" ht="15" customHeight="1">
      <c r="A133" s="2" t="s">
        <v>514</v>
      </c>
      <c r="B133" s="2">
        <v>0</v>
      </c>
      <c r="C133" s="2"/>
      <c r="D133" s="2" t="s">
        <v>305</v>
      </c>
      <c r="E133" s="2" t="s">
        <v>422</v>
      </c>
      <c r="F133" s="3">
        <v>45693</v>
      </c>
      <c r="G133" s="3">
        <v>45693</v>
      </c>
      <c r="H133" s="3">
        <v>45693</v>
      </c>
      <c r="I133" s="2"/>
      <c r="J133" s="2"/>
      <c r="K133" s="2" t="s">
        <v>25</v>
      </c>
      <c r="L133" s="2" t="s">
        <v>26</v>
      </c>
      <c r="M133" s="2"/>
      <c r="N133" s="2" t="s">
        <v>27</v>
      </c>
      <c r="O133" s="2">
        <v>600</v>
      </c>
      <c r="P133" s="2">
        <v>108</v>
      </c>
      <c r="Q133" s="2">
        <v>708</v>
      </c>
      <c r="R133" s="2">
        <v>708</v>
      </c>
      <c r="S133" s="2">
        <v>708</v>
      </c>
      <c r="T133" s="2" t="s">
        <v>28</v>
      </c>
      <c r="U133" s="2" t="b">
        <v>0</v>
      </c>
      <c r="V133" s="2" t="s">
        <v>29</v>
      </c>
      <c r="W133" s="2" t="s">
        <v>104</v>
      </c>
      <c r="X133" s="2" t="s">
        <v>105</v>
      </c>
      <c r="Y133" s="2" t="s">
        <v>515</v>
      </c>
      <c r="Z133" s="2" t="s">
        <v>31</v>
      </c>
      <c r="AA133" s="2"/>
      <c r="AB133" s="2"/>
      <c r="AC133" s="2"/>
      <c r="AD133" s="2"/>
      <c r="AK133" s="8">
        <f t="shared" si="2"/>
        <v>45693</v>
      </c>
    </row>
    <row r="134" spans="1:37" ht="15" customHeight="1">
      <c r="A134" s="2" t="s">
        <v>516</v>
      </c>
      <c r="B134" s="2">
        <v>0</v>
      </c>
      <c r="C134" s="2"/>
      <c r="D134" s="2" t="s">
        <v>305</v>
      </c>
      <c r="E134" s="2" t="s">
        <v>422</v>
      </c>
      <c r="F134" s="3">
        <v>45693</v>
      </c>
      <c r="G134" s="3">
        <v>45693</v>
      </c>
      <c r="H134" s="3">
        <v>45693</v>
      </c>
      <c r="I134" s="2"/>
      <c r="J134" s="2"/>
      <c r="K134" s="2" t="s">
        <v>25</v>
      </c>
      <c r="L134" s="2" t="s">
        <v>26</v>
      </c>
      <c r="M134" s="2"/>
      <c r="N134" s="2" t="s">
        <v>27</v>
      </c>
      <c r="O134" s="2">
        <v>1854.82</v>
      </c>
      <c r="P134" s="2">
        <v>333.87</v>
      </c>
      <c r="Q134" s="2">
        <v>2188.69</v>
      </c>
      <c r="R134" s="2">
        <v>2188.69</v>
      </c>
      <c r="S134" s="2">
        <v>2188.69</v>
      </c>
      <c r="T134" s="2" t="s">
        <v>28</v>
      </c>
      <c r="U134" s="2" t="b">
        <v>0</v>
      </c>
      <c r="V134" s="2" t="s">
        <v>29</v>
      </c>
      <c r="W134" s="2" t="s">
        <v>104</v>
      </c>
      <c r="X134" s="2" t="s">
        <v>105</v>
      </c>
      <c r="Y134" s="2" t="s">
        <v>517</v>
      </c>
      <c r="Z134" s="2" t="s">
        <v>31</v>
      </c>
      <c r="AA134" s="2"/>
      <c r="AB134" s="2"/>
      <c r="AC134" s="2"/>
      <c r="AD134" s="2"/>
      <c r="AK134" s="8">
        <f t="shared" si="2"/>
        <v>45693</v>
      </c>
    </row>
    <row r="135" spans="1:37" ht="15" customHeight="1">
      <c r="A135" s="2" t="s">
        <v>518</v>
      </c>
      <c r="B135" s="2">
        <v>0</v>
      </c>
      <c r="C135" s="2"/>
      <c r="D135" s="2" t="s">
        <v>305</v>
      </c>
      <c r="E135" s="2" t="s">
        <v>422</v>
      </c>
      <c r="F135" s="3">
        <v>45693</v>
      </c>
      <c r="G135" s="3">
        <v>45693</v>
      </c>
      <c r="H135" s="3">
        <v>45693</v>
      </c>
      <c r="I135" s="2"/>
      <c r="J135" s="2"/>
      <c r="K135" s="2" t="s">
        <v>25</v>
      </c>
      <c r="L135" s="2" t="s">
        <v>26</v>
      </c>
      <c r="M135" s="2"/>
      <c r="N135" s="2" t="s">
        <v>27</v>
      </c>
      <c r="O135" s="2">
        <v>1170.3900000000001</v>
      </c>
      <c r="P135" s="2">
        <v>210.67</v>
      </c>
      <c r="Q135" s="2">
        <v>1381.06</v>
      </c>
      <c r="R135" s="2">
        <v>1381.06</v>
      </c>
      <c r="S135" s="2">
        <v>1381.06</v>
      </c>
      <c r="T135" s="2" t="s">
        <v>28</v>
      </c>
      <c r="U135" s="2" t="b">
        <v>0</v>
      </c>
      <c r="V135" s="2" t="s">
        <v>29</v>
      </c>
      <c r="W135" s="2" t="s">
        <v>104</v>
      </c>
      <c r="X135" s="2" t="s">
        <v>105</v>
      </c>
      <c r="Y135" s="2" t="s">
        <v>519</v>
      </c>
      <c r="Z135" s="2" t="s">
        <v>31</v>
      </c>
      <c r="AA135" s="2"/>
      <c r="AB135" s="2"/>
      <c r="AC135" s="2"/>
      <c r="AD135" s="2"/>
      <c r="AK135" s="8">
        <f t="shared" ref="AK135:AK198" si="3">+IF(AE135&lt;&gt;"",AE135,F135)</f>
        <v>45693</v>
      </c>
    </row>
    <row r="136" spans="1:37" ht="15" customHeight="1">
      <c r="A136" s="2" t="s">
        <v>520</v>
      </c>
      <c r="B136" s="2">
        <v>0</v>
      </c>
      <c r="C136" s="2"/>
      <c r="D136" s="2" t="s">
        <v>305</v>
      </c>
      <c r="E136" s="2" t="s">
        <v>521</v>
      </c>
      <c r="F136" s="3">
        <v>45693</v>
      </c>
      <c r="G136" s="3">
        <v>45693</v>
      </c>
      <c r="H136" s="3">
        <v>45693</v>
      </c>
      <c r="I136" s="2"/>
      <c r="J136" s="2"/>
      <c r="K136" s="2" t="s">
        <v>25</v>
      </c>
      <c r="L136" s="2" t="s">
        <v>26</v>
      </c>
      <c r="M136" s="2"/>
      <c r="N136" s="2" t="s">
        <v>27</v>
      </c>
      <c r="O136" s="2">
        <v>138.18</v>
      </c>
      <c r="P136" s="2">
        <v>24.87</v>
      </c>
      <c r="Q136" s="2">
        <v>163.05000000000001</v>
      </c>
      <c r="R136" s="2">
        <v>163.05000000000001</v>
      </c>
      <c r="S136" s="2">
        <v>163.05000000000001</v>
      </c>
      <c r="T136" s="2" t="s">
        <v>28</v>
      </c>
      <c r="U136" s="2" t="b">
        <v>0</v>
      </c>
      <c r="V136" s="2" t="s">
        <v>29</v>
      </c>
      <c r="W136" s="2" t="s">
        <v>104</v>
      </c>
      <c r="X136" s="2" t="s">
        <v>105</v>
      </c>
      <c r="Y136" s="2" t="s">
        <v>522</v>
      </c>
      <c r="Z136" s="2" t="s">
        <v>31</v>
      </c>
      <c r="AA136" s="2"/>
      <c r="AB136" s="2"/>
      <c r="AC136" s="2"/>
      <c r="AD136" s="2"/>
      <c r="AK136" s="8">
        <f t="shared" si="3"/>
        <v>45693</v>
      </c>
    </row>
    <row r="137" spans="1:37" ht="15" customHeight="1">
      <c r="A137" s="2" t="s">
        <v>523</v>
      </c>
      <c r="B137" s="2">
        <v>0</v>
      </c>
      <c r="C137" s="2"/>
      <c r="D137" s="2" t="s">
        <v>305</v>
      </c>
      <c r="E137" s="2" t="s">
        <v>521</v>
      </c>
      <c r="F137" s="3">
        <v>45693</v>
      </c>
      <c r="G137" s="3">
        <v>45693</v>
      </c>
      <c r="H137" s="3">
        <v>45693</v>
      </c>
      <c r="I137" s="2"/>
      <c r="J137" s="2"/>
      <c r="K137" s="2" t="s">
        <v>25</v>
      </c>
      <c r="L137" s="2" t="s">
        <v>26</v>
      </c>
      <c r="M137" s="2"/>
      <c r="N137" s="2" t="s">
        <v>27</v>
      </c>
      <c r="O137" s="2">
        <v>132.97</v>
      </c>
      <c r="P137" s="2">
        <v>23.93</v>
      </c>
      <c r="Q137" s="2">
        <v>156.9</v>
      </c>
      <c r="R137" s="2">
        <v>156.9</v>
      </c>
      <c r="S137" s="2">
        <v>156.9</v>
      </c>
      <c r="T137" s="2" t="s">
        <v>28</v>
      </c>
      <c r="U137" s="2" t="b">
        <v>0</v>
      </c>
      <c r="V137" s="2" t="s">
        <v>29</v>
      </c>
      <c r="W137" s="2" t="s">
        <v>104</v>
      </c>
      <c r="X137" s="2" t="s">
        <v>105</v>
      </c>
      <c r="Y137" s="2" t="s">
        <v>524</v>
      </c>
      <c r="Z137" s="2" t="s">
        <v>31</v>
      </c>
      <c r="AA137" s="2"/>
      <c r="AB137" s="2"/>
      <c r="AC137" s="2"/>
      <c r="AD137" s="2"/>
      <c r="AK137" s="8">
        <f t="shared" si="3"/>
        <v>45693</v>
      </c>
    </row>
    <row r="138" spans="1:37" ht="15" customHeight="1">
      <c r="A138" s="2" t="s">
        <v>525</v>
      </c>
      <c r="B138" s="2">
        <v>0</v>
      </c>
      <c r="C138" s="2"/>
      <c r="D138" s="2" t="s">
        <v>272</v>
      </c>
      <c r="E138" s="2" t="s">
        <v>526</v>
      </c>
      <c r="F138" s="3">
        <v>45693</v>
      </c>
      <c r="G138" s="3">
        <v>45693</v>
      </c>
      <c r="H138" s="3">
        <v>45693</v>
      </c>
      <c r="I138" s="2"/>
      <c r="J138" s="2"/>
      <c r="K138" s="2" t="s">
        <v>25</v>
      </c>
      <c r="L138" s="2" t="s">
        <v>26</v>
      </c>
      <c r="M138" s="2"/>
      <c r="N138" s="2" t="s">
        <v>27</v>
      </c>
      <c r="O138" s="2">
        <v>980</v>
      </c>
      <c r="P138" s="2">
        <v>176.4</v>
      </c>
      <c r="Q138" s="2">
        <v>1156.4000000000001</v>
      </c>
      <c r="R138" s="2">
        <v>1156.4000000000001</v>
      </c>
      <c r="S138" s="2">
        <v>1156.4000000000001</v>
      </c>
      <c r="T138" s="2" t="s">
        <v>28</v>
      </c>
      <c r="U138" s="2" t="b">
        <v>0</v>
      </c>
      <c r="V138" s="2" t="s">
        <v>29</v>
      </c>
      <c r="W138" s="2" t="s">
        <v>104</v>
      </c>
      <c r="X138" s="2" t="s">
        <v>105</v>
      </c>
      <c r="Y138" s="2" t="s">
        <v>527</v>
      </c>
      <c r="Z138" s="2" t="s">
        <v>31</v>
      </c>
      <c r="AA138" s="2"/>
      <c r="AB138" s="2"/>
      <c r="AC138" s="2"/>
      <c r="AD138" s="2"/>
      <c r="AK138" s="8">
        <f t="shared" si="3"/>
        <v>45693</v>
      </c>
    </row>
    <row r="139" spans="1:37" ht="15" customHeight="1">
      <c r="A139" s="2" t="s">
        <v>528</v>
      </c>
      <c r="B139" s="2">
        <v>0</v>
      </c>
      <c r="C139" s="2"/>
      <c r="D139" s="2" t="s">
        <v>272</v>
      </c>
      <c r="E139" s="2" t="s">
        <v>526</v>
      </c>
      <c r="F139" s="3">
        <v>45693</v>
      </c>
      <c r="G139" s="3">
        <v>45693</v>
      </c>
      <c r="H139" s="3">
        <v>45693</v>
      </c>
      <c r="I139" s="2"/>
      <c r="J139" s="2"/>
      <c r="K139" s="2" t="s">
        <v>25</v>
      </c>
      <c r="L139" s="2" t="s">
        <v>26</v>
      </c>
      <c r="M139" s="2"/>
      <c r="N139" s="2" t="s">
        <v>27</v>
      </c>
      <c r="O139" s="2">
        <v>437.8</v>
      </c>
      <c r="P139" s="2">
        <v>78.8</v>
      </c>
      <c r="Q139" s="2">
        <v>516.6</v>
      </c>
      <c r="R139" s="2">
        <v>516.6</v>
      </c>
      <c r="S139" s="2">
        <v>516.6</v>
      </c>
      <c r="T139" s="2" t="s">
        <v>28</v>
      </c>
      <c r="U139" s="2" t="b">
        <v>0</v>
      </c>
      <c r="V139" s="2" t="s">
        <v>29</v>
      </c>
      <c r="W139" s="2" t="s">
        <v>104</v>
      </c>
      <c r="X139" s="2" t="s">
        <v>105</v>
      </c>
      <c r="Y139" s="2" t="s">
        <v>529</v>
      </c>
      <c r="Z139" s="2" t="s">
        <v>31</v>
      </c>
      <c r="AA139" s="2"/>
      <c r="AB139" s="2"/>
      <c r="AC139" s="2"/>
      <c r="AD139" s="2"/>
      <c r="AK139" s="8">
        <f t="shared" si="3"/>
        <v>45693</v>
      </c>
    </row>
    <row r="140" spans="1:37" ht="15" customHeight="1">
      <c r="A140" s="2" t="s">
        <v>530</v>
      </c>
      <c r="B140" s="2">
        <v>0</v>
      </c>
      <c r="C140" s="2"/>
      <c r="D140" s="2" t="s">
        <v>272</v>
      </c>
      <c r="E140" s="2" t="s">
        <v>526</v>
      </c>
      <c r="F140" s="3">
        <v>45693</v>
      </c>
      <c r="G140" s="3">
        <v>45693</v>
      </c>
      <c r="H140" s="3">
        <v>45693</v>
      </c>
      <c r="I140" s="2"/>
      <c r="J140" s="2"/>
      <c r="K140" s="2" t="s">
        <v>25</v>
      </c>
      <c r="L140" s="2" t="s">
        <v>26</v>
      </c>
      <c r="M140" s="2"/>
      <c r="N140" s="2" t="s">
        <v>27</v>
      </c>
      <c r="O140" s="2">
        <v>391.08</v>
      </c>
      <c r="P140" s="2">
        <v>70.39</v>
      </c>
      <c r="Q140" s="2">
        <v>461.47</v>
      </c>
      <c r="R140" s="2">
        <v>461.47</v>
      </c>
      <c r="S140" s="2">
        <v>461.47</v>
      </c>
      <c r="T140" s="2" t="s">
        <v>28</v>
      </c>
      <c r="U140" s="2" t="b">
        <v>0</v>
      </c>
      <c r="V140" s="2" t="s">
        <v>29</v>
      </c>
      <c r="W140" s="2" t="s">
        <v>104</v>
      </c>
      <c r="X140" s="2" t="s">
        <v>105</v>
      </c>
      <c r="Y140" s="2" t="s">
        <v>531</v>
      </c>
      <c r="Z140" s="2" t="s">
        <v>31</v>
      </c>
      <c r="AA140" s="2"/>
      <c r="AB140" s="2"/>
      <c r="AC140" s="2"/>
      <c r="AD140" s="2"/>
      <c r="AK140" s="8">
        <f t="shared" si="3"/>
        <v>45693</v>
      </c>
    </row>
    <row r="141" spans="1:37" ht="15" customHeight="1">
      <c r="A141" s="2" t="s">
        <v>532</v>
      </c>
      <c r="B141" s="2">
        <v>0</v>
      </c>
      <c r="C141" s="2"/>
      <c r="D141" s="2" t="s">
        <v>272</v>
      </c>
      <c r="E141" s="2" t="s">
        <v>533</v>
      </c>
      <c r="F141" s="3">
        <v>45693</v>
      </c>
      <c r="G141" s="3">
        <v>45693</v>
      </c>
      <c r="H141" s="3">
        <v>45693</v>
      </c>
      <c r="I141" s="2"/>
      <c r="J141" s="2"/>
      <c r="K141" s="2" t="s">
        <v>25</v>
      </c>
      <c r="L141" s="2" t="s">
        <v>26</v>
      </c>
      <c r="M141" s="2"/>
      <c r="N141" s="2" t="s">
        <v>27</v>
      </c>
      <c r="O141" s="2">
        <v>500</v>
      </c>
      <c r="P141" s="2">
        <v>90</v>
      </c>
      <c r="Q141" s="2">
        <v>590</v>
      </c>
      <c r="R141" s="2">
        <v>590</v>
      </c>
      <c r="S141" s="2">
        <v>590</v>
      </c>
      <c r="T141" s="2" t="s">
        <v>28</v>
      </c>
      <c r="U141" s="2" t="b">
        <v>0</v>
      </c>
      <c r="V141" s="2" t="s">
        <v>29</v>
      </c>
      <c r="W141" s="2" t="s">
        <v>104</v>
      </c>
      <c r="X141" s="2" t="s">
        <v>105</v>
      </c>
      <c r="Y141" s="2" t="s">
        <v>534</v>
      </c>
      <c r="Z141" s="2" t="s">
        <v>31</v>
      </c>
      <c r="AA141" s="2"/>
      <c r="AB141" s="2"/>
      <c r="AC141" s="2"/>
      <c r="AD141" s="2"/>
      <c r="AK141" s="8">
        <f t="shared" si="3"/>
        <v>45693</v>
      </c>
    </row>
    <row r="142" spans="1:37" ht="15" customHeight="1">
      <c r="A142" s="2" t="s">
        <v>535</v>
      </c>
      <c r="B142" s="2">
        <v>0</v>
      </c>
      <c r="C142" s="2"/>
      <c r="D142" s="2" t="s">
        <v>272</v>
      </c>
      <c r="E142" s="2" t="s">
        <v>533</v>
      </c>
      <c r="F142" s="3">
        <v>45693</v>
      </c>
      <c r="G142" s="3">
        <v>45693</v>
      </c>
      <c r="H142" s="3">
        <v>45693</v>
      </c>
      <c r="I142" s="2"/>
      <c r="J142" s="2"/>
      <c r="K142" s="2" t="s">
        <v>25</v>
      </c>
      <c r="L142" s="2" t="s">
        <v>26</v>
      </c>
      <c r="M142" s="2"/>
      <c r="N142" s="2" t="s">
        <v>27</v>
      </c>
      <c r="O142" s="2">
        <v>223.36</v>
      </c>
      <c r="P142" s="2">
        <v>40.21</v>
      </c>
      <c r="Q142" s="2">
        <v>263.57</v>
      </c>
      <c r="R142" s="2">
        <v>263.57</v>
      </c>
      <c r="S142" s="2">
        <v>263.57</v>
      </c>
      <c r="T142" s="2" t="s">
        <v>28</v>
      </c>
      <c r="U142" s="2" t="b">
        <v>0</v>
      </c>
      <c r="V142" s="2" t="s">
        <v>29</v>
      </c>
      <c r="W142" s="2" t="s">
        <v>104</v>
      </c>
      <c r="X142" s="2" t="s">
        <v>105</v>
      </c>
      <c r="Y142" s="2" t="s">
        <v>536</v>
      </c>
      <c r="Z142" s="2" t="s">
        <v>31</v>
      </c>
      <c r="AA142" s="2"/>
      <c r="AB142" s="2"/>
      <c r="AC142" s="2"/>
      <c r="AD142" s="2"/>
      <c r="AK142" s="8">
        <f t="shared" si="3"/>
        <v>45693</v>
      </c>
    </row>
    <row r="143" spans="1:37" ht="15" customHeight="1">
      <c r="A143" s="2" t="s">
        <v>537</v>
      </c>
      <c r="B143" s="2">
        <v>0</v>
      </c>
      <c r="C143" s="2"/>
      <c r="D143" s="2" t="s">
        <v>272</v>
      </c>
      <c r="E143" s="2" t="s">
        <v>533</v>
      </c>
      <c r="F143" s="3">
        <v>45693</v>
      </c>
      <c r="G143" s="3">
        <v>45693</v>
      </c>
      <c r="H143" s="3">
        <v>45693</v>
      </c>
      <c r="I143" s="2"/>
      <c r="J143" s="2"/>
      <c r="K143" s="2" t="s">
        <v>25</v>
      </c>
      <c r="L143" s="2" t="s">
        <v>26</v>
      </c>
      <c r="M143" s="2"/>
      <c r="N143" s="2" t="s">
        <v>27</v>
      </c>
      <c r="O143" s="2">
        <v>199.53</v>
      </c>
      <c r="P143" s="2">
        <v>35.92</v>
      </c>
      <c r="Q143" s="2">
        <v>235.45</v>
      </c>
      <c r="R143" s="2">
        <v>235.45</v>
      </c>
      <c r="S143" s="2">
        <v>235.45</v>
      </c>
      <c r="T143" s="2" t="s">
        <v>28</v>
      </c>
      <c r="U143" s="2" t="b">
        <v>0</v>
      </c>
      <c r="V143" s="2" t="s">
        <v>29</v>
      </c>
      <c r="W143" s="2" t="s">
        <v>104</v>
      </c>
      <c r="X143" s="2" t="s">
        <v>105</v>
      </c>
      <c r="Y143" s="2" t="s">
        <v>538</v>
      </c>
      <c r="Z143" s="2" t="s">
        <v>31</v>
      </c>
      <c r="AA143" s="2"/>
      <c r="AB143" s="2"/>
      <c r="AC143" s="2"/>
      <c r="AD143" s="2"/>
      <c r="AK143" s="8">
        <f t="shared" si="3"/>
        <v>45693</v>
      </c>
    </row>
    <row r="144" spans="1:37" ht="15" customHeight="1">
      <c r="A144" s="2" t="s">
        <v>539</v>
      </c>
      <c r="B144" s="2">
        <v>0</v>
      </c>
      <c r="C144" s="2"/>
      <c r="D144" s="2" t="s">
        <v>272</v>
      </c>
      <c r="E144" s="2" t="s">
        <v>540</v>
      </c>
      <c r="F144" s="3">
        <v>45693</v>
      </c>
      <c r="G144" s="3">
        <v>45693</v>
      </c>
      <c r="H144" s="3">
        <v>45693</v>
      </c>
      <c r="I144" s="2"/>
      <c r="J144" s="2"/>
      <c r="K144" s="2" t="s">
        <v>25</v>
      </c>
      <c r="L144" s="2" t="s">
        <v>26</v>
      </c>
      <c r="M144" s="2"/>
      <c r="N144" s="2" t="s">
        <v>27</v>
      </c>
      <c r="O144" s="2">
        <v>500</v>
      </c>
      <c r="P144" s="2">
        <v>90</v>
      </c>
      <c r="Q144" s="2">
        <v>590</v>
      </c>
      <c r="R144" s="2">
        <v>590</v>
      </c>
      <c r="S144" s="2">
        <v>590</v>
      </c>
      <c r="T144" s="2" t="s">
        <v>28</v>
      </c>
      <c r="U144" s="2" t="b">
        <v>0</v>
      </c>
      <c r="V144" s="2" t="s">
        <v>29</v>
      </c>
      <c r="W144" s="2" t="s">
        <v>104</v>
      </c>
      <c r="X144" s="2" t="s">
        <v>105</v>
      </c>
      <c r="Y144" s="2" t="s">
        <v>541</v>
      </c>
      <c r="Z144" s="2" t="s">
        <v>31</v>
      </c>
      <c r="AA144" s="2"/>
      <c r="AB144" s="2"/>
      <c r="AC144" s="2"/>
      <c r="AD144" s="2"/>
      <c r="AK144" s="8">
        <f t="shared" si="3"/>
        <v>45693</v>
      </c>
    </row>
    <row r="145" spans="1:37" ht="15" customHeight="1">
      <c r="A145" s="2" t="s">
        <v>542</v>
      </c>
      <c r="B145" s="2">
        <v>0</v>
      </c>
      <c r="C145" s="2"/>
      <c r="D145" s="2" t="s">
        <v>272</v>
      </c>
      <c r="E145" s="2" t="s">
        <v>540</v>
      </c>
      <c r="F145" s="3">
        <v>45693</v>
      </c>
      <c r="G145" s="3">
        <v>45693</v>
      </c>
      <c r="H145" s="3">
        <v>45693</v>
      </c>
      <c r="I145" s="2"/>
      <c r="J145" s="2"/>
      <c r="K145" s="2" t="s">
        <v>25</v>
      </c>
      <c r="L145" s="2" t="s">
        <v>26</v>
      </c>
      <c r="M145" s="2"/>
      <c r="N145" s="2" t="s">
        <v>27</v>
      </c>
      <c r="O145" s="2">
        <v>223.36</v>
      </c>
      <c r="P145" s="2">
        <v>40.21</v>
      </c>
      <c r="Q145" s="2">
        <v>263.57</v>
      </c>
      <c r="R145" s="2">
        <v>263.57</v>
      </c>
      <c r="S145" s="2">
        <v>263.57</v>
      </c>
      <c r="T145" s="2" t="s">
        <v>28</v>
      </c>
      <c r="U145" s="2" t="b">
        <v>0</v>
      </c>
      <c r="V145" s="2" t="s">
        <v>29</v>
      </c>
      <c r="W145" s="2" t="s">
        <v>104</v>
      </c>
      <c r="X145" s="2" t="s">
        <v>105</v>
      </c>
      <c r="Y145" s="2" t="s">
        <v>543</v>
      </c>
      <c r="Z145" s="2" t="s">
        <v>31</v>
      </c>
      <c r="AA145" s="2"/>
      <c r="AB145" s="2"/>
      <c r="AC145" s="2"/>
      <c r="AD145" s="2"/>
      <c r="AK145" s="8">
        <f t="shared" si="3"/>
        <v>45693</v>
      </c>
    </row>
    <row r="146" spans="1:37" ht="15" customHeight="1">
      <c r="A146" s="2" t="s">
        <v>544</v>
      </c>
      <c r="B146" s="2">
        <v>0</v>
      </c>
      <c r="C146" s="2"/>
      <c r="D146" s="2" t="s">
        <v>272</v>
      </c>
      <c r="E146" s="2" t="s">
        <v>540</v>
      </c>
      <c r="F146" s="3">
        <v>45693</v>
      </c>
      <c r="G146" s="3">
        <v>45693</v>
      </c>
      <c r="H146" s="3">
        <v>45693</v>
      </c>
      <c r="I146" s="2"/>
      <c r="J146" s="2"/>
      <c r="K146" s="2" t="s">
        <v>25</v>
      </c>
      <c r="L146" s="2" t="s">
        <v>26</v>
      </c>
      <c r="M146" s="2"/>
      <c r="N146" s="2" t="s">
        <v>27</v>
      </c>
      <c r="O146" s="2">
        <v>199.53</v>
      </c>
      <c r="P146" s="2">
        <v>35.92</v>
      </c>
      <c r="Q146" s="2">
        <v>235.45</v>
      </c>
      <c r="R146" s="2">
        <v>235.45</v>
      </c>
      <c r="S146" s="2">
        <v>235.45</v>
      </c>
      <c r="T146" s="2" t="s">
        <v>28</v>
      </c>
      <c r="U146" s="2" t="b">
        <v>0</v>
      </c>
      <c r="V146" s="2" t="s">
        <v>29</v>
      </c>
      <c r="W146" s="2" t="s">
        <v>104</v>
      </c>
      <c r="X146" s="2" t="s">
        <v>105</v>
      </c>
      <c r="Y146" s="2" t="s">
        <v>545</v>
      </c>
      <c r="Z146" s="2" t="s">
        <v>31</v>
      </c>
      <c r="AA146" s="2"/>
      <c r="AB146" s="2"/>
      <c r="AC146" s="2"/>
      <c r="AD146" s="2"/>
      <c r="AK146" s="8">
        <f t="shared" si="3"/>
        <v>45693</v>
      </c>
    </row>
    <row r="147" spans="1:37" ht="15" customHeight="1">
      <c r="A147" s="2" t="s">
        <v>546</v>
      </c>
      <c r="B147" s="2">
        <v>0</v>
      </c>
      <c r="C147" s="2"/>
      <c r="D147" s="2" t="s">
        <v>272</v>
      </c>
      <c r="E147" s="2" t="s">
        <v>547</v>
      </c>
      <c r="F147" s="3">
        <v>45693</v>
      </c>
      <c r="G147" s="3">
        <v>45693</v>
      </c>
      <c r="H147" s="3">
        <v>45693</v>
      </c>
      <c r="I147" s="2"/>
      <c r="J147" s="2"/>
      <c r="K147" s="2" t="s">
        <v>25</v>
      </c>
      <c r="L147" s="2" t="s">
        <v>26</v>
      </c>
      <c r="M147" s="2"/>
      <c r="N147" s="2" t="s">
        <v>27</v>
      </c>
      <c r="O147" s="2">
        <v>423.73</v>
      </c>
      <c r="P147" s="2">
        <v>76.27</v>
      </c>
      <c r="Q147" s="2">
        <v>500</v>
      </c>
      <c r="R147" s="2">
        <v>500</v>
      </c>
      <c r="S147" s="2">
        <v>500</v>
      </c>
      <c r="T147" s="2" t="s">
        <v>28</v>
      </c>
      <c r="U147" s="2" t="b">
        <v>0</v>
      </c>
      <c r="V147" s="2" t="s">
        <v>29</v>
      </c>
      <c r="W147" s="2" t="s">
        <v>104</v>
      </c>
      <c r="X147" s="2" t="s">
        <v>105</v>
      </c>
      <c r="Y147" s="2" t="s">
        <v>548</v>
      </c>
      <c r="Z147" s="2" t="s">
        <v>31</v>
      </c>
      <c r="AA147" s="2"/>
      <c r="AB147" s="2"/>
      <c r="AC147" s="2"/>
      <c r="AD147" s="2"/>
      <c r="AK147" s="8">
        <f t="shared" si="3"/>
        <v>45693</v>
      </c>
    </row>
    <row r="148" spans="1:37" ht="15" customHeight="1">
      <c r="A148" s="2" t="s">
        <v>549</v>
      </c>
      <c r="B148" s="2">
        <v>0</v>
      </c>
      <c r="C148" s="2"/>
      <c r="D148" s="2" t="s">
        <v>272</v>
      </c>
      <c r="E148" s="2" t="s">
        <v>547</v>
      </c>
      <c r="F148" s="3">
        <v>45693</v>
      </c>
      <c r="G148" s="3">
        <v>45693</v>
      </c>
      <c r="H148" s="3">
        <v>45693</v>
      </c>
      <c r="I148" s="2"/>
      <c r="J148" s="2"/>
      <c r="K148" s="2" t="s">
        <v>25</v>
      </c>
      <c r="L148" s="2" t="s">
        <v>26</v>
      </c>
      <c r="M148" s="2"/>
      <c r="N148" s="2" t="s">
        <v>27</v>
      </c>
      <c r="O148" s="2">
        <v>57.2</v>
      </c>
      <c r="P148" s="2">
        <v>10.3</v>
      </c>
      <c r="Q148" s="2">
        <v>67.5</v>
      </c>
      <c r="R148" s="2">
        <v>67.5</v>
      </c>
      <c r="S148" s="2">
        <v>67.5</v>
      </c>
      <c r="T148" s="2" t="s">
        <v>28</v>
      </c>
      <c r="U148" s="2" t="b">
        <v>0</v>
      </c>
      <c r="V148" s="2" t="s">
        <v>29</v>
      </c>
      <c r="W148" s="2" t="s">
        <v>104</v>
      </c>
      <c r="X148" s="2" t="s">
        <v>105</v>
      </c>
      <c r="Y148" s="2" t="s">
        <v>550</v>
      </c>
      <c r="Z148" s="2" t="s">
        <v>31</v>
      </c>
      <c r="AA148" s="2"/>
      <c r="AB148" s="2"/>
      <c r="AC148" s="2"/>
      <c r="AD148" s="2"/>
      <c r="AK148" s="8">
        <f t="shared" si="3"/>
        <v>45693</v>
      </c>
    </row>
    <row r="149" spans="1:37" ht="15" customHeight="1">
      <c r="A149" s="2" t="s">
        <v>551</v>
      </c>
      <c r="B149" s="2">
        <v>0</v>
      </c>
      <c r="C149" s="2"/>
      <c r="D149" s="2" t="s">
        <v>272</v>
      </c>
      <c r="E149" s="2" t="s">
        <v>547</v>
      </c>
      <c r="F149" s="3">
        <v>45693</v>
      </c>
      <c r="G149" s="3">
        <v>45693</v>
      </c>
      <c r="H149" s="3">
        <v>45693</v>
      </c>
      <c r="I149" s="2"/>
      <c r="J149" s="2"/>
      <c r="K149" s="2" t="s">
        <v>25</v>
      </c>
      <c r="L149" s="2" t="s">
        <v>26</v>
      </c>
      <c r="M149" s="2"/>
      <c r="N149" s="2" t="s">
        <v>27</v>
      </c>
      <c r="O149" s="2">
        <v>33.47</v>
      </c>
      <c r="P149" s="2">
        <v>6.03</v>
      </c>
      <c r="Q149" s="2">
        <v>39.5</v>
      </c>
      <c r="R149" s="2">
        <v>39.5</v>
      </c>
      <c r="S149" s="2">
        <v>39.5</v>
      </c>
      <c r="T149" s="2" t="s">
        <v>28</v>
      </c>
      <c r="U149" s="2" t="b">
        <v>0</v>
      </c>
      <c r="V149" s="2" t="s">
        <v>29</v>
      </c>
      <c r="W149" s="2" t="s">
        <v>104</v>
      </c>
      <c r="X149" s="2" t="s">
        <v>105</v>
      </c>
      <c r="Y149" s="2" t="s">
        <v>552</v>
      </c>
      <c r="Z149" s="2" t="s">
        <v>31</v>
      </c>
      <c r="AA149" s="2"/>
      <c r="AB149" s="2"/>
      <c r="AC149" s="2"/>
      <c r="AD149" s="2"/>
      <c r="AK149" s="8">
        <f t="shared" si="3"/>
        <v>45693</v>
      </c>
    </row>
    <row r="150" spans="1:37" ht="15" customHeight="1">
      <c r="A150" s="2" t="s">
        <v>553</v>
      </c>
      <c r="B150" s="2">
        <v>0</v>
      </c>
      <c r="C150" s="2"/>
      <c r="D150" s="2" t="s">
        <v>272</v>
      </c>
      <c r="E150" s="2" t="s">
        <v>554</v>
      </c>
      <c r="F150" s="3">
        <v>45693</v>
      </c>
      <c r="G150" s="3">
        <v>45693</v>
      </c>
      <c r="H150" s="3">
        <v>45693</v>
      </c>
      <c r="I150" s="2"/>
      <c r="J150" s="2"/>
      <c r="K150" s="2" t="s">
        <v>25</v>
      </c>
      <c r="L150" s="2" t="s">
        <v>26</v>
      </c>
      <c r="M150" s="2"/>
      <c r="N150" s="2" t="s">
        <v>27</v>
      </c>
      <c r="O150" s="2">
        <v>5</v>
      </c>
      <c r="P150" s="2">
        <v>0.9</v>
      </c>
      <c r="Q150" s="2">
        <v>5.9</v>
      </c>
      <c r="R150" s="2">
        <v>5.9</v>
      </c>
      <c r="S150" s="2">
        <v>5.9</v>
      </c>
      <c r="T150" s="2" t="s">
        <v>28</v>
      </c>
      <c r="U150" s="2" t="b">
        <v>0</v>
      </c>
      <c r="V150" s="2" t="s">
        <v>29</v>
      </c>
      <c r="W150" s="2" t="s">
        <v>104</v>
      </c>
      <c r="X150" s="2" t="s">
        <v>105</v>
      </c>
      <c r="Y150" s="2" t="s">
        <v>555</v>
      </c>
      <c r="Z150" s="2" t="s">
        <v>31</v>
      </c>
      <c r="AA150" s="2"/>
      <c r="AB150" s="2"/>
      <c r="AC150" s="2"/>
      <c r="AD150" s="2"/>
      <c r="AK150" s="8">
        <f t="shared" si="3"/>
        <v>45693</v>
      </c>
    </row>
    <row r="151" spans="1:37" ht="15" customHeight="1">
      <c r="A151" s="2" t="s">
        <v>556</v>
      </c>
      <c r="B151" s="2">
        <v>0</v>
      </c>
      <c r="C151" s="2"/>
      <c r="D151" s="2" t="s">
        <v>272</v>
      </c>
      <c r="E151" s="2" t="s">
        <v>554</v>
      </c>
      <c r="F151" s="3">
        <v>45693</v>
      </c>
      <c r="G151" s="3">
        <v>45693</v>
      </c>
      <c r="H151" s="3">
        <v>45693</v>
      </c>
      <c r="I151" s="2"/>
      <c r="J151" s="2"/>
      <c r="K151" s="2" t="s">
        <v>25</v>
      </c>
      <c r="L151" s="2" t="s">
        <v>26</v>
      </c>
      <c r="M151" s="2"/>
      <c r="N151" s="2" t="s">
        <v>27</v>
      </c>
      <c r="O151" s="2">
        <v>275.32</v>
      </c>
      <c r="P151" s="2">
        <v>49.56</v>
      </c>
      <c r="Q151" s="2">
        <v>324.88</v>
      </c>
      <c r="R151" s="2">
        <v>324.88</v>
      </c>
      <c r="S151" s="2">
        <v>324.88</v>
      </c>
      <c r="T151" s="2" t="s">
        <v>28</v>
      </c>
      <c r="U151" s="2" t="b">
        <v>0</v>
      </c>
      <c r="V151" s="2" t="s">
        <v>29</v>
      </c>
      <c r="W151" s="2" t="s">
        <v>104</v>
      </c>
      <c r="X151" s="2" t="s">
        <v>105</v>
      </c>
      <c r="Y151" s="2" t="s">
        <v>557</v>
      </c>
      <c r="Z151" s="2" t="s">
        <v>31</v>
      </c>
      <c r="AA151" s="2"/>
      <c r="AB151" s="2"/>
      <c r="AC151" s="2"/>
      <c r="AD151" s="2"/>
      <c r="AK151" s="8">
        <f t="shared" si="3"/>
        <v>45693</v>
      </c>
    </row>
    <row r="152" spans="1:37" ht="15" customHeight="1">
      <c r="A152" s="2" t="s">
        <v>558</v>
      </c>
      <c r="B152" s="2">
        <v>0</v>
      </c>
      <c r="C152" s="2"/>
      <c r="D152" s="2" t="s">
        <v>272</v>
      </c>
      <c r="E152" s="2" t="s">
        <v>554</v>
      </c>
      <c r="F152" s="3">
        <v>45693</v>
      </c>
      <c r="G152" s="3">
        <v>45693</v>
      </c>
      <c r="H152" s="3">
        <v>45693</v>
      </c>
      <c r="I152" s="2"/>
      <c r="J152" s="2"/>
      <c r="K152" s="2" t="s">
        <v>25</v>
      </c>
      <c r="L152" s="2" t="s">
        <v>26</v>
      </c>
      <c r="M152" s="2"/>
      <c r="N152" s="2" t="s">
        <v>27</v>
      </c>
      <c r="O152" s="2">
        <v>165.5</v>
      </c>
      <c r="P152" s="2">
        <v>29.79</v>
      </c>
      <c r="Q152" s="2">
        <v>195.29</v>
      </c>
      <c r="R152" s="2">
        <v>195.29</v>
      </c>
      <c r="S152" s="2">
        <v>195.29</v>
      </c>
      <c r="T152" s="2" t="s">
        <v>28</v>
      </c>
      <c r="U152" s="2" t="b">
        <v>0</v>
      </c>
      <c r="V152" s="2" t="s">
        <v>29</v>
      </c>
      <c r="W152" s="2" t="s">
        <v>104</v>
      </c>
      <c r="X152" s="2" t="s">
        <v>105</v>
      </c>
      <c r="Y152" s="2" t="s">
        <v>559</v>
      </c>
      <c r="Z152" s="2" t="s">
        <v>31</v>
      </c>
      <c r="AA152" s="2"/>
      <c r="AB152" s="2"/>
      <c r="AC152" s="2"/>
      <c r="AD152" s="2"/>
      <c r="AK152" s="8">
        <f t="shared" si="3"/>
        <v>45693</v>
      </c>
    </row>
    <row r="153" spans="1:37" ht="15" customHeight="1">
      <c r="A153" s="2" t="s">
        <v>560</v>
      </c>
      <c r="B153" s="2">
        <v>0</v>
      </c>
      <c r="C153" s="2"/>
      <c r="D153" s="2" t="s">
        <v>272</v>
      </c>
      <c r="E153" s="2" t="s">
        <v>561</v>
      </c>
      <c r="F153" s="3">
        <v>45693</v>
      </c>
      <c r="G153" s="3">
        <v>45693</v>
      </c>
      <c r="H153" s="3">
        <v>45693</v>
      </c>
      <c r="I153" s="2"/>
      <c r="J153" s="2"/>
      <c r="K153" s="2" t="s">
        <v>25</v>
      </c>
      <c r="L153" s="2" t="s">
        <v>26</v>
      </c>
      <c r="M153" s="2"/>
      <c r="N153" s="2" t="s">
        <v>27</v>
      </c>
      <c r="O153" s="2">
        <v>20</v>
      </c>
      <c r="P153" s="2">
        <v>3.6</v>
      </c>
      <c r="Q153" s="2">
        <v>23.6</v>
      </c>
      <c r="R153" s="2">
        <v>23.6</v>
      </c>
      <c r="S153" s="2">
        <v>23.6</v>
      </c>
      <c r="T153" s="2" t="s">
        <v>28</v>
      </c>
      <c r="U153" s="2" t="b">
        <v>0</v>
      </c>
      <c r="V153" s="2" t="s">
        <v>29</v>
      </c>
      <c r="W153" s="2" t="s">
        <v>104</v>
      </c>
      <c r="X153" s="2" t="s">
        <v>105</v>
      </c>
      <c r="Y153" s="2" t="s">
        <v>562</v>
      </c>
      <c r="Z153" s="2" t="s">
        <v>31</v>
      </c>
      <c r="AA153" s="2"/>
      <c r="AB153" s="2"/>
      <c r="AC153" s="2"/>
      <c r="AD153" s="2"/>
      <c r="AK153" s="8">
        <f t="shared" si="3"/>
        <v>45693</v>
      </c>
    </row>
    <row r="154" spans="1:37" ht="15" customHeight="1">
      <c r="A154" s="2" t="s">
        <v>563</v>
      </c>
      <c r="B154" s="2">
        <v>0</v>
      </c>
      <c r="C154" s="2"/>
      <c r="D154" s="2" t="s">
        <v>272</v>
      </c>
      <c r="E154" s="2" t="s">
        <v>561</v>
      </c>
      <c r="F154" s="3">
        <v>45693</v>
      </c>
      <c r="G154" s="3">
        <v>45693</v>
      </c>
      <c r="H154" s="3">
        <v>45693</v>
      </c>
      <c r="I154" s="2"/>
      <c r="J154" s="2"/>
      <c r="K154" s="2" t="s">
        <v>25</v>
      </c>
      <c r="L154" s="2" t="s">
        <v>26</v>
      </c>
      <c r="M154" s="2"/>
      <c r="N154" s="2" t="s">
        <v>27</v>
      </c>
      <c r="O154" s="2">
        <v>8.93</v>
      </c>
      <c r="P154" s="2">
        <v>1.61</v>
      </c>
      <c r="Q154" s="2">
        <v>10.54</v>
      </c>
      <c r="R154" s="2">
        <v>10.54</v>
      </c>
      <c r="S154" s="2">
        <v>10.54</v>
      </c>
      <c r="T154" s="2" t="s">
        <v>28</v>
      </c>
      <c r="U154" s="2" t="b">
        <v>0</v>
      </c>
      <c r="V154" s="2" t="s">
        <v>29</v>
      </c>
      <c r="W154" s="2" t="s">
        <v>104</v>
      </c>
      <c r="X154" s="2" t="s">
        <v>105</v>
      </c>
      <c r="Y154" s="2" t="s">
        <v>564</v>
      </c>
      <c r="Z154" s="2" t="s">
        <v>31</v>
      </c>
      <c r="AA154" s="2"/>
      <c r="AB154" s="2"/>
      <c r="AC154" s="2"/>
      <c r="AD154" s="2"/>
      <c r="AK154" s="8">
        <f t="shared" si="3"/>
        <v>45693</v>
      </c>
    </row>
    <row r="155" spans="1:37" ht="15" customHeight="1">
      <c r="A155" s="2" t="s">
        <v>565</v>
      </c>
      <c r="B155" s="2">
        <v>0</v>
      </c>
      <c r="C155" s="2"/>
      <c r="D155" s="2" t="s">
        <v>272</v>
      </c>
      <c r="E155" s="2" t="s">
        <v>561</v>
      </c>
      <c r="F155" s="3">
        <v>45693</v>
      </c>
      <c r="G155" s="3">
        <v>45693</v>
      </c>
      <c r="H155" s="3">
        <v>45693</v>
      </c>
      <c r="I155" s="2"/>
      <c r="J155" s="2"/>
      <c r="K155" s="2" t="s">
        <v>25</v>
      </c>
      <c r="L155" s="2" t="s">
        <v>26</v>
      </c>
      <c r="M155" s="2"/>
      <c r="N155" s="2" t="s">
        <v>27</v>
      </c>
      <c r="O155" s="2">
        <v>7.98</v>
      </c>
      <c r="P155" s="2">
        <v>1.44</v>
      </c>
      <c r="Q155" s="2">
        <v>9.42</v>
      </c>
      <c r="R155" s="2">
        <v>9.42</v>
      </c>
      <c r="S155" s="2">
        <v>9.42</v>
      </c>
      <c r="T155" s="2" t="s">
        <v>28</v>
      </c>
      <c r="U155" s="2" t="b">
        <v>0</v>
      </c>
      <c r="V155" s="2" t="s">
        <v>29</v>
      </c>
      <c r="W155" s="2" t="s">
        <v>104</v>
      </c>
      <c r="X155" s="2" t="s">
        <v>105</v>
      </c>
      <c r="Y155" s="2" t="s">
        <v>566</v>
      </c>
      <c r="Z155" s="2" t="s">
        <v>31</v>
      </c>
      <c r="AA155" s="2"/>
      <c r="AB155" s="2"/>
      <c r="AC155" s="2"/>
      <c r="AD155" s="2"/>
      <c r="AK155" s="8">
        <f t="shared" si="3"/>
        <v>45693</v>
      </c>
    </row>
    <row r="156" spans="1:37" ht="15" customHeight="1">
      <c r="A156" s="2" t="s">
        <v>567</v>
      </c>
      <c r="B156" s="2">
        <v>0</v>
      </c>
      <c r="C156" s="2"/>
      <c r="D156" s="2" t="s">
        <v>272</v>
      </c>
      <c r="E156" s="2" t="s">
        <v>568</v>
      </c>
      <c r="F156" s="3">
        <v>45693</v>
      </c>
      <c r="G156" s="3">
        <v>45693</v>
      </c>
      <c r="H156" s="3">
        <v>45693</v>
      </c>
      <c r="I156" s="2"/>
      <c r="J156" s="2"/>
      <c r="K156" s="2" t="s">
        <v>25</v>
      </c>
      <c r="L156" s="2" t="s">
        <v>26</v>
      </c>
      <c r="M156" s="2"/>
      <c r="N156" s="2" t="s">
        <v>27</v>
      </c>
      <c r="O156" s="2">
        <v>3.48</v>
      </c>
      <c r="P156" s="2">
        <v>0.63</v>
      </c>
      <c r="Q156" s="2">
        <v>4.1100000000000003</v>
      </c>
      <c r="R156" s="2">
        <v>4.1100000000000003</v>
      </c>
      <c r="S156" s="2">
        <v>4.1100000000000003</v>
      </c>
      <c r="T156" s="2" t="s">
        <v>28</v>
      </c>
      <c r="U156" s="2" t="b">
        <v>0</v>
      </c>
      <c r="V156" s="2" t="s">
        <v>29</v>
      </c>
      <c r="W156" s="2" t="s">
        <v>104</v>
      </c>
      <c r="X156" s="2" t="s">
        <v>105</v>
      </c>
      <c r="Y156" s="2" t="s">
        <v>569</v>
      </c>
      <c r="Z156" s="2" t="s">
        <v>31</v>
      </c>
      <c r="AA156" s="2"/>
      <c r="AB156" s="2"/>
      <c r="AC156" s="2"/>
      <c r="AD156" s="2"/>
      <c r="AK156" s="8">
        <f t="shared" si="3"/>
        <v>45693</v>
      </c>
    </row>
    <row r="157" spans="1:37" ht="15" customHeight="1">
      <c r="A157" s="2" t="s">
        <v>570</v>
      </c>
      <c r="B157" s="2">
        <v>0</v>
      </c>
      <c r="C157" s="2"/>
      <c r="D157" s="2" t="s">
        <v>272</v>
      </c>
      <c r="E157" s="2" t="s">
        <v>568</v>
      </c>
      <c r="F157" s="3">
        <v>45693</v>
      </c>
      <c r="G157" s="3">
        <v>45693</v>
      </c>
      <c r="H157" s="3">
        <v>45693</v>
      </c>
      <c r="I157" s="2"/>
      <c r="J157" s="2"/>
      <c r="K157" s="2" t="s">
        <v>25</v>
      </c>
      <c r="L157" s="2" t="s">
        <v>26</v>
      </c>
      <c r="M157" s="2"/>
      <c r="N157" s="2" t="s">
        <v>27</v>
      </c>
      <c r="O157" s="2">
        <v>3</v>
      </c>
      <c r="P157" s="2">
        <v>0.54</v>
      </c>
      <c r="Q157" s="2">
        <v>3.54</v>
      </c>
      <c r="R157" s="2">
        <v>3.54</v>
      </c>
      <c r="S157" s="2">
        <v>3.54</v>
      </c>
      <c r="T157" s="2" t="s">
        <v>28</v>
      </c>
      <c r="U157" s="2" t="b">
        <v>0</v>
      </c>
      <c r="V157" s="2" t="s">
        <v>29</v>
      </c>
      <c r="W157" s="2" t="s">
        <v>104</v>
      </c>
      <c r="X157" s="2" t="s">
        <v>105</v>
      </c>
      <c r="Y157" s="2" t="s">
        <v>571</v>
      </c>
      <c r="Z157" s="2" t="s">
        <v>31</v>
      </c>
      <c r="AA157" s="2"/>
      <c r="AB157" s="2"/>
      <c r="AC157" s="2"/>
      <c r="AD157" s="2"/>
      <c r="AK157" s="8">
        <f t="shared" si="3"/>
        <v>45693</v>
      </c>
    </row>
    <row r="158" spans="1:37" ht="15" customHeight="1">
      <c r="A158" s="2" t="s">
        <v>572</v>
      </c>
      <c r="B158" s="2">
        <v>0</v>
      </c>
      <c r="C158" s="2"/>
      <c r="D158" s="2" t="s">
        <v>272</v>
      </c>
      <c r="E158" s="2" t="s">
        <v>573</v>
      </c>
      <c r="F158" s="3">
        <v>45693</v>
      </c>
      <c r="G158" s="3">
        <v>45693</v>
      </c>
      <c r="H158" s="3">
        <v>45693</v>
      </c>
      <c r="I158" s="2"/>
      <c r="J158" s="2"/>
      <c r="K158" s="2" t="s">
        <v>25</v>
      </c>
      <c r="L158" s="2" t="s">
        <v>26</v>
      </c>
      <c r="M158" s="2"/>
      <c r="N158" s="2" t="s">
        <v>27</v>
      </c>
      <c r="O158" s="2">
        <v>799.58</v>
      </c>
      <c r="P158" s="2">
        <v>143.91999999999999</v>
      </c>
      <c r="Q158" s="2">
        <v>943.5</v>
      </c>
      <c r="R158" s="2">
        <v>943.5</v>
      </c>
      <c r="S158" s="2">
        <v>943.5</v>
      </c>
      <c r="T158" s="2" t="s">
        <v>28</v>
      </c>
      <c r="U158" s="2" t="b">
        <v>0</v>
      </c>
      <c r="V158" s="2" t="s">
        <v>29</v>
      </c>
      <c r="W158" s="2" t="s">
        <v>104</v>
      </c>
      <c r="X158" s="2" t="s">
        <v>105</v>
      </c>
      <c r="Y158" s="2" t="s">
        <v>574</v>
      </c>
      <c r="Z158" s="2" t="s">
        <v>31</v>
      </c>
      <c r="AA158" s="2"/>
      <c r="AB158" s="2"/>
      <c r="AC158" s="2"/>
      <c r="AD158" s="2"/>
      <c r="AK158" s="8">
        <f t="shared" si="3"/>
        <v>45693</v>
      </c>
    </row>
    <row r="159" spans="1:37" ht="15" customHeight="1">
      <c r="A159" s="2" t="s">
        <v>575</v>
      </c>
      <c r="B159" s="2">
        <v>0</v>
      </c>
      <c r="C159" s="2"/>
      <c r="D159" s="2" t="s">
        <v>272</v>
      </c>
      <c r="E159" s="2" t="s">
        <v>573</v>
      </c>
      <c r="F159" s="3">
        <v>45693</v>
      </c>
      <c r="G159" s="3">
        <v>45693</v>
      </c>
      <c r="H159" s="3">
        <v>45693</v>
      </c>
      <c r="I159" s="2"/>
      <c r="J159" s="2"/>
      <c r="K159" s="2" t="s">
        <v>25</v>
      </c>
      <c r="L159" s="2" t="s">
        <v>26</v>
      </c>
      <c r="M159" s="2"/>
      <c r="N159" s="2" t="s">
        <v>27</v>
      </c>
      <c r="O159" s="2">
        <v>614.24</v>
      </c>
      <c r="P159" s="2">
        <v>110.56</v>
      </c>
      <c r="Q159" s="2">
        <v>724.8</v>
      </c>
      <c r="R159" s="2">
        <v>724.8</v>
      </c>
      <c r="S159" s="2">
        <v>724.8</v>
      </c>
      <c r="T159" s="2" t="s">
        <v>28</v>
      </c>
      <c r="U159" s="2" t="b">
        <v>0</v>
      </c>
      <c r="V159" s="2" t="s">
        <v>29</v>
      </c>
      <c r="W159" s="2" t="s">
        <v>104</v>
      </c>
      <c r="X159" s="2" t="s">
        <v>105</v>
      </c>
      <c r="Y159" s="2" t="s">
        <v>576</v>
      </c>
      <c r="Z159" s="2" t="s">
        <v>31</v>
      </c>
      <c r="AA159" s="2"/>
      <c r="AB159" s="2"/>
      <c r="AC159" s="2"/>
      <c r="AD159" s="2"/>
      <c r="AK159" s="8">
        <f t="shared" si="3"/>
        <v>45693</v>
      </c>
    </row>
    <row r="160" spans="1:37" ht="15" customHeight="1">
      <c r="A160" s="2" t="s">
        <v>577</v>
      </c>
      <c r="B160" s="2">
        <v>0</v>
      </c>
      <c r="C160" s="2"/>
      <c r="D160" s="2" t="s">
        <v>272</v>
      </c>
      <c r="E160" s="2" t="s">
        <v>573</v>
      </c>
      <c r="F160" s="3">
        <v>45693</v>
      </c>
      <c r="G160" s="3">
        <v>45693</v>
      </c>
      <c r="H160" s="3">
        <v>45693</v>
      </c>
      <c r="I160" s="2"/>
      <c r="J160" s="2"/>
      <c r="K160" s="2" t="s">
        <v>25</v>
      </c>
      <c r="L160" s="2" t="s">
        <v>26</v>
      </c>
      <c r="M160" s="2"/>
      <c r="N160" s="2" t="s">
        <v>27</v>
      </c>
      <c r="O160" s="2">
        <v>272.2</v>
      </c>
      <c r="P160" s="2">
        <v>49</v>
      </c>
      <c r="Q160" s="2">
        <v>321.2</v>
      </c>
      <c r="R160" s="2">
        <v>321.2</v>
      </c>
      <c r="S160" s="2">
        <v>321.2</v>
      </c>
      <c r="T160" s="2" t="s">
        <v>28</v>
      </c>
      <c r="U160" s="2" t="b">
        <v>0</v>
      </c>
      <c r="V160" s="2" t="s">
        <v>29</v>
      </c>
      <c r="W160" s="2" t="s">
        <v>104</v>
      </c>
      <c r="X160" s="2" t="s">
        <v>105</v>
      </c>
      <c r="Y160" s="2" t="s">
        <v>578</v>
      </c>
      <c r="Z160" s="2" t="s">
        <v>31</v>
      </c>
      <c r="AA160" s="2"/>
      <c r="AB160" s="2"/>
      <c r="AC160" s="2"/>
      <c r="AD160" s="2"/>
      <c r="AK160" s="8">
        <f t="shared" si="3"/>
        <v>45693</v>
      </c>
    </row>
    <row r="161" spans="1:37" ht="15" customHeight="1">
      <c r="A161" s="2" t="s">
        <v>579</v>
      </c>
      <c r="B161" s="2">
        <v>0</v>
      </c>
      <c r="C161" s="2"/>
      <c r="D161" s="2" t="s">
        <v>272</v>
      </c>
      <c r="E161" s="2" t="s">
        <v>573</v>
      </c>
      <c r="F161" s="3">
        <v>45693</v>
      </c>
      <c r="G161" s="3">
        <v>45693</v>
      </c>
      <c r="H161" s="3">
        <v>45693</v>
      </c>
      <c r="I161" s="2"/>
      <c r="J161" s="2"/>
      <c r="K161" s="2" t="s">
        <v>25</v>
      </c>
      <c r="L161" s="2" t="s">
        <v>26</v>
      </c>
      <c r="M161" s="2"/>
      <c r="N161" s="2" t="s">
        <v>27</v>
      </c>
      <c r="O161" s="2">
        <v>222.71</v>
      </c>
      <c r="P161" s="2">
        <v>40.090000000000003</v>
      </c>
      <c r="Q161" s="2">
        <v>262.8</v>
      </c>
      <c r="R161" s="2">
        <v>262.8</v>
      </c>
      <c r="S161" s="2">
        <v>262.8</v>
      </c>
      <c r="T161" s="2" t="s">
        <v>28</v>
      </c>
      <c r="U161" s="2" t="b">
        <v>0</v>
      </c>
      <c r="V161" s="2" t="s">
        <v>29</v>
      </c>
      <c r="W161" s="2" t="s">
        <v>104</v>
      </c>
      <c r="X161" s="2" t="s">
        <v>105</v>
      </c>
      <c r="Y161" s="2" t="s">
        <v>580</v>
      </c>
      <c r="Z161" s="2" t="s">
        <v>31</v>
      </c>
      <c r="AA161" s="2"/>
      <c r="AB161" s="2"/>
      <c r="AC161" s="2"/>
      <c r="AD161" s="2"/>
      <c r="AK161" s="8">
        <f t="shared" si="3"/>
        <v>45693</v>
      </c>
    </row>
    <row r="162" spans="1:37" ht="15" customHeight="1">
      <c r="A162" s="2" t="s">
        <v>581</v>
      </c>
      <c r="B162" s="2">
        <v>0</v>
      </c>
      <c r="C162" s="2"/>
      <c r="D162" s="2" t="s">
        <v>272</v>
      </c>
      <c r="E162" s="2" t="s">
        <v>342</v>
      </c>
      <c r="F162" s="3">
        <v>45693</v>
      </c>
      <c r="G162" s="3">
        <v>45693</v>
      </c>
      <c r="H162" s="3">
        <v>45693</v>
      </c>
      <c r="I162" s="2"/>
      <c r="J162" s="2"/>
      <c r="K162" s="2" t="s">
        <v>25</v>
      </c>
      <c r="L162" s="2" t="s">
        <v>26</v>
      </c>
      <c r="M162" s="2"/>
      <c r="N162" s="2" t="s">
        <v>27</v>
      </c>
      <c r="O162" s="2">
        <v>1885.17</v>
      </c>
      <c r="P162" s="2">
        <v>339.33</v>
      </c>
      <c r="Q162" s="2">
        <v>2224.5</v>
      </c>
      <c r="R162" s="2">
        <v>2224.5</v>
      </c>
      <c r="S162" s="2">
        <v>2224.5</v>
      </c>
      <c r="T162" s="2" t="s">
        <v>28</v>
      </c>
      <c r="U162" s="2" t="b">
        <v>0</v>
      </c>
      <c r="V162" s="2" t="s">
        <v>29</v>
      </c>
      <c r="W162" s="2" t="s">
        <v>104</v>
      </c>
      <c r="X162" s="2" t="s">
        <v>105</v>
      </c>
      <c r="Y162" s="2" t="s">
        <v>582</v>
      </c>
      <c r="Z162" s="2" t="s">
        <v>31</v>
      </c>
      <c r="AA162" s="2"/>
      <c r="AB162" s="2"/>
      <c r="AC162" s="2"/>
      <c r="AD162" s="2"/>
      <c r="AK162" s="8">
        <f t="shared" si="3"/>
        <v>45693</v>
      </c>
    </row>
    <row r="163" spans="1:37" ht="15" customHeight="1">
      <c r="A163" s="2" t="s">
        <v>583</v>
      </c>
      <c r="B163" s="2">
        <v>0</v>
      </c>
      <c r="C163" s="2"/>
      <c r="D163" s="2" t="s">
        <v>272</v>
      </c>
      <c r="E163" s="2" t="s">
        <v>342</v>
      </c>
      <c r="F163" s="3">
        <v>45693</v>
      </c>
      <c r="G163" s="3">
        <v>45693</v>
      </c>
      <c r="H163" s="3">
        <v>45693</v>
      </c>
      <c r="I163" s="2"/>
      <c r="J163" s="2"/>
      <c r="K163" s="2" t="s">
        <v>25</v>
      </c>
      <c r="L163" s="2" t="s">
        <v>26</v>
      </c>
      <c r="M163" s="2"/>
      <c r="N163" s="2" t="s">
        <v>27</v>
      </c>
      <c r="O163" s="2">
        <v>2021.19</v>
      </c>
      <c r="P163" s="2">
        <v>363.81</v>
      </c>
      <c r="Q163" s="2">
        <v>2385</v>
      </c>
      <c r="R163" s="2">
        <v>2385</v>
      </c>
      <c r="S163" s="2">
        <v>2385</v>
      </c>
      <c r="T163" s="2" t="s">
        <v>28</v>
      </c>
      <c r="U163" s="2" t="b">
        <v>0</v>
      </c>
      <c r="V163" s="2" t="s">
        <v>29</v>
      </c>
      <c r="W163" s="2" t="s">
        <v>104</v>
      </c>
      <c r="X163" s="2" t="s">
        <v>105</v>
      </c>
      <c r="Y163" s="2" t="s">
        <v>584</v>
      </c>
      <c r="Z163" s="2" t="s">
        <v>31</v>
      </c>
      <c r="AA163" s="2"/>
      <c r="AB163" s="2"/>
      <c r="AC163" s="2"/>
      <c r="AD163" s="2"/>
      <c r="AK163" s="8">
        <f t="shared" si="3"/>
        <v>45693</v>
      </c>
    </row>
    <row r="164" spans="1:37" ht="15" customHeight="1">
      <c r="A164" s="2" t="s">
        <v>585</v>
      </c>
      <c r="B164" s="2">
        <v>0</v>
      </c>
      <c r="C164" s="2"/>
      <c r="D164" s="2" t="s">
        <v>272</v>
      </c>
      <c r="E164" s="2" t="s">
        <v>342</v>
      </c>
      <c r="F164" s="3">
        <v>45693</v>
      </c>
      <c r="G164" s="3">
        <v>45693</v>
      </c>
      <c r="H164" s="3">
        <v>45693</v>
      </c>
      <c r="I164" s="2"/>
      <c r="J164" s="2"/>
      <c r="K164" s="2" t="s">
        <v>25</v>
      </c>
      <c r="L164" s="2" t="s">
        <v>26</v>
      </c>
      <c r="M164" s="2"/>
      <c r="N164" s="2" t="s">
        <v>27</v>
      </c>
      <c r="O164" s="2">
        <v>32</v>
      </c>
      <c r="P164" s="2">
        <v>5.76</v>
      </c>
      <c r="Q164" s="2">
        <v>37.76</v>
      </c>
      <c r="R164" s="2">
        <v>37.76</v>
      </c>
      <c r="S164" s="2">
        <v>37.76</v>
      </c>
      <c r="T164" s="2" t="s">
        <v>28</v>
      </c>
      <c r="U164" s="2" t="b">
        <v>0</v>
      </c>
      <c r="V164" s="2" t="s">
        <v>29</v>
      </c>
      <c r="W164" s="2" t="s">
        <v>104</v>
      </c>
      <c r="X164" s="2" t="s">
        <v>105</v>
      </c>
      <c r="Y164" s="2" t="s">
        <v>586</v>
      </c>
      <c r="Z164" s="2" t="s">
        <v>31</v>
      </c>
      <c r="AA164" s="2"/>
      <c r="AB164" s="2"/>
      <c r="AC164" s="2"/>
      <c r="AD164" s="2"/>
      <c r="AK164" s="8">
        <f t="shared" si="3"/>
        <v>45693</v>
      </c>
    </row>
    <row r="165" spans="1:37" ht="15" customHeight="1">
      <c r="A165" s="2" t="s">
        <v>587</v>
      </c>
      <c r="B165" s="2">
        <v>0</v>
      </c>
      <c r="C165" s="2"/>
      <c r="D165" s="2" t="s">
        <v>272</v>
      </c>
      <c r="E165" s="2" t="s">
        <v>342</v>
      </c>
      <c r="F165" s="3">
        <v>45693</v>
      </c>
      <c r="G165" s="3">
        <v>45693</v>
      </c>
      <c r="H165" s="3">
        <v>45693</v>
      </c>
      <c r="I165" s="2"/>
      <c r="J165" s="2"/>
      <c r="K165" s="2" t="s">
        <v>25</v>
      </c>
      <c r="L165" s="2" t="s">
        <v>26</v>
      </c>
      <c r="M165" s="2"/>
      <c r="N165" s="2" t="s">
        <v>27</v>
      </c>
      <c r="O165" s="2">
        <v>300</v>
      </c>
      <c r="P165" s="2">
        <v>54</v>
      </c>
      <c r="Q165" s="2">
        <v>354</v>
      </c>
      <c r="R165" s="2">
        <v>354</v>
      </c>
      <c r="S165" s="2">
        <v>354</v>
      </c>
      <c r="T165" s="2" t="s">
        <v>28</v>
      </c>
      <c r="U165" s="2" t="b">
        <v>0</v>
      </c>
      <c r="V165" s="2" t="s">
        <v>29</v>
      </c>
      <c r="W165" s="2" t="s">
        <v>104</v>
      </c>
      <c r="X165" s="2" t="s">
        <v>105</v>
      </c>
      <c r="Y165" s="2" t="s">
        <v>588</v>
      </c>
      <c r="Z165" s="2" t="s">
        <v>31</v>
      </c>
      <c r="AA165" s="2"/>
      <c r="AB165" s="2"/>
      <c r="AC165" s="2"/>
      <c r="AD165" s="2"/>
      <c r="AK165" s="8">
        <f t="shared" si="3"/>
        <v>45693</v>
      </c>
    </row>
    <row r="166" spans="1:37" ht="15" customHeight="1">
      <c r="A166" s="2" t="s">
        <v>589</v>
      </c>
      <c r="B166" s="2">
        <v>0</v>
      </c>
      <c r="C166" s="2"/>
      <c r="D166" s="2" t="s">
        <v>272</v>
      </c>
      <c r="E166" s="2" t="s">
        <v>342</v>
      </c>
      <c r="F166" s="3">
        <v>45693</v>
      </c>
      <c r="G166" s="3">
        <v>45693</v>
      </c>
      <c r="H166" s="3">
        <v>45693</v>
      </c>
      <c r="I166" s="2"/>
      <c r="J166" s="2"/>
      <c r="K166" s="2" t="s">
        <v>25</v>
      </c>
      <c r="L166" s="2" t="s">
        <v>26</v>
      </c>
      <c r="M166" s="2"/>
      <c r="N166" s="2" t="s">
        <v>27</v>
      </c>
      <c r="O166" s="2">
        <v>100</v>
      </c>
      <c r="P166" s="2">
        <v>18</v>
      </c>
      <c r="Q166" s="2">
        <v>118</v>
      </c>
      <c r="R166" s="2">
        <v>118</v>
      </c>
      <c r="S166" s="2">
        <v>118</v>
      </c>
      <c r="T166" s="2" t="s">
        <v>28</v>
      </c>
      <c r="U166" s="2" t="b">
        <v>0</v>
      </c>
      <c r="V166" s="2" t="s">
        <v>29</v>
      </c>
      <c r="W166" s="2" t="s">
        <v>104</v>
      </c>
      <c r="X166" s="2" t="s">
        <v>105</v>
      </c>
      <c r="Y166" s="2" t="s">
        <v>590</v>
      </c>
      <c r="Z166" s="2" t="s">
        <v>31</v>
      </c>
      <c r="AA166" s="2"/>
      <c r="AB166" s="2"/>
      <c r="AC166" s="2"/>
      <c r="AD166" s="2"/>
      <c r="AK166" s="8">
        <f t="shared" si="3"/>
        <v>45693</v>
      </c>
    </row>
    <row r="167" spans="1:37" ht="15" customHeight="1">
      <c r="A167" s="2" t="s">
        <v>591</v>
      </c>
      <c r="B167" s="2">
        <v>0</v>
      </c>
      <c r="C167" s="2"/>
      <c r="D167" s="2" t="s">
        <v>272</v>
      </c>
      <c r="E167" s="2" t="s">
        <v>342</v>
      </c>
      <c r="F167" s="3">
        <v>45693</v>
      </c>
      <c r="G167" s="3">
        <v>45693</v>
      </c>
      <c r="H167" s="3">
        <v>45693</v>
      </c>
      <c r="I167" s="2"/>
      <c r="J167" s="2"/>
      <c r="K167" s="2" t="s">
        <v>25</v>
      </c>
      <c r="L167" s="2" t="s">
        <v>26</v>
      </c>
      <c r="M167" s="2"/>
      <c r="N167" s="2" t="s">
        <v>27</v>
      </c>
      <c r="O167" s="2">
        <v>930</v>
      </c>
      <c r="P167" s="2">
        <v>167.4</v>
      </c>
      <c r="Q167" s="2">
        <v>1097.4000000000001</v>
      </c>
      <c r="R167" s="2">
        <v>1097.4000000000001</v>
      </c>
      <c r="S167" s="2">
        <v>1097.4000000000001</v>
      </c>
      <c r="T167" s="2" t="s">
        <v>28</v>
      </c>
      <c r="U167" s="2" t="b">
        <v>0</v>
      </c>
      <c r="V167" s="2" t="s">
        <v>29</v>
      </c>
      <c r="W167" s="2" t="s">
        <v>104</v>
      </c>
      <c r="X167" s="2" t="s">
        <v>105</v>
      </c>
      <c r="Y167" s="2" t="s">
        <v>592</v>
      </c>
      <c r="Z167" s="2" t="s">
        <v>31</v>
      </c>
      <c r="AA167" s="2"/>
      <c r="AB167" s="2"/>
      <c r="AC167" s="2"/>
      <c r="AD167" s="2"/>
      <c r="AK167" s="8">
        <f t="shared" si="3"/>
        <v>45693</v>
      </c>
    </row>
    <row r="168" spans="1:37" ht="15" customHeight="1">
      <c r="A168" s="2" t="s">
        <v>593</v>
      </c>
      <c r="B168" s="2">
        <v>0</v>
      </c>
      <c r="C168" s="2"/>
      <c r="D168" s="2" t="s">
        <v>305</v>
      </c>
      <c r="E168" s="2" t="s">
        <v>422</v>
      </c>
      <c r="F168" s="3">
        <v>45692</v>
      </c>
      <c r="G168" s="3">
        <v>45692</v>
      </c>
      <c r="H168" s="3">
        <v>45692</v>
      </c>
      <c r="I168" s="2"/>
      <c r="J168" s="2"/>
      <c r="K168" s="2" t="s">
        <v>25</v>
      </c>
      <c r="L168" s="2" t="s">
        <v>26</v>
      </c>
      <c r="M168" s="2"/>
      <c r="N168" s="2" t="s">
        <v>27</v>
      </c>
      <c r="O168" s="2">
        <v>20</v>
      </c>
      <c r="P168" s="2">
        <v>3.6</v>
      </c>
      <c r="Q168" s="2">
        <v>23.6</v>
      </c>
      <c r="R168" s="2">
        <v>23.6</v>
      </c>
      <c r="S168" s="2">
        <v>23.6</v>
      </c>
      <c r="T168" s="2" t="s">
        <v>28</v>
      </c>
      <c r="U168" s="2" t="b">
        <v>0</v>
      </c>
      <c r="V168" s="2" t="s">
        <v>29</v>
      </c>
      <c r="W168" s="2" t="s">
        <v>104</v>
      </c>
      <c r="X168" s="2" t="s">
        <v>105</v>
      </c>
      <c r="Y168" s="2" t="s">
        <v>594</v>
      </c>
      <c r="Z168" s="2" t="s">
        <v>31</v>
      </c>
      <c r="AA168" s="2"/>
      <c r="AB168" s="2"/>
      <c r="AC168" s="2"/>
      <c r="AD168" s="2"/>
      <c r="AK168" s="8">
        <f t="shared" si="3"/>
        <v>45692</v>
      </c>
    </row>
    <row r="169" spans="1:37" ht="15" customHeight="1">
      <c r="A169" s="2" t="s">
        <v>595</v>
      </c>
      <c r="B169" s="2">
        <v>0</v>
      </c>
      <c r="C169" s="2"/>
      <c r="D169" s="2" t="s">
        <v>305</v>
      </c>
      <c r="E169" s="2" t="s">
        <v>383</v>
      </c>
      <c r="F169" s="3">
        <v>45691</v>
      </c>
      <c r="G169" s="3">
        <v>45691</v>
      </c>
      <c r="H169" s="3">
        <v>45691</v>
      </c>
      <c r="I169" s="2"/>
      <c r="J169" s="2"/>
      <c r="K169" s="2" t="s">
        <v>25</v>
      </c>
      <c r="L169" s="2" t="s">
        <v>26</v>
      </c>
      <c r="M169" s="2"/>
      <c r="N169" s="2" t="s">
        <v>27</v>
      </c>
      <c r="O169" s="2">
        <v>830</v>
      </c>
      <c r="P169" s="2">
        <v>149.4</v>
      </c>
      <c r="Q169" s="2">
        <v>979.4</v>
      </c>
      <c r="R169" s="2">
        <v>979.4</v>
      </c>
      <c r="S169" s="2">
        <v>979.4</v>
      </c>
      <c r="T169" s="2" t="s">
        <v>28</v>
      </c>
      <c r="U169" s="2" t="b">
        <v>0</v>
      </c>
      <c r="V169" s="2" t="s">
        <v>29</v>
      </c>
      <c r="W169" s="2" t="s">
        <v>104</v>
      </c>
      <c r="X169" s="2" t="s">
        <v>105</v>
      </c>
      <c r="Y169" s="2" t="s">
        <v>596</v>
      </c>
      <c r="Z169" s="2" t="s">
        <v>31</v>
      </c>
      <c r="AA169" s="2"/>
      <c r="AB169" s="2"/>
      <c r="AC169" s="2"/>
      <c r="AD169" s="2"/>
      <c r="AK169" s="8">
        <f t="shared" si="3"/>
        <v>45691</v>
      </c>
    </row>
    <row r="170" spans="1:37" ht="15" customHeight="1">
      <c r="A170" s="2" t="s">
        <v>597</v>
      </c>
      <c r="B170" s="2">
        <v>0</v>
      </c>
      <c r="C170" s="2"/>
      <c r="D170" s="2" t="s">
        <v>305</v>
      </c>
      <c r="E170" s="2" t="s">
        <v>598</v>
      </c>
      <c r="F170" s="3">
        <v>45688</v>
      </c>
      <c r="G170" s="3">
        <v>45688</v>
      </c>
      <c r="H170" s="3">
        <v>45688</v>
      </c>
      <c r="I170" s="2"/>
      <c r="J170" s="2"/>
      <c r="K170" s="2" t="s">
        <v>25</v>
      </c>
      <c r="L170" s="2" t="s">
        <v>26</v>
      </c>
      <c r="M170" s="2"/>
      <c r="N170" s="2" t="s">
        <v>27</v>
      </c>
      <c r="O170" s="2">
        <v>212.8</v>
      </c>
      <c r="P170" s="2">
        <v>38.299999999999997</v>
      </c>
      <c r="Q170" s="2">
        <v>251.1</v>
      </c>
      <c r="R170" s="2">
        <v>251.1</v>
      </c>
      <c r="S170" s="2">
        <v>251.1</v>
      </c>
      <c r="T170" s="2" t="s">
        <v>28</v>
      </c>
      <c r="U170" s="2" t="b">
        <v>0</v>
      </c>
      <c r="V170" s="2" t="s">
        <v>29</v>
      </c>
      <c r="W170" s="2" t="s">
        <v>104</v>
      </c>
      <c r="X170" s="2" t="s">
        <v>105</v>
      </c>
      <c r="Y170" s="2" t="s">
        <v>599</v>
      </c>
      <c r="Z170" s="2" t="s">
        <v>31</v>
      </c>
      <c r="AA170" s="2"/>
      <c r="AB170" s="2"/>
      <c r="AC170" s="2"/>
      <c r="AD170" s="2"/>
      <c r="AK170" s="8">
        <f t="shared" si="3"/>
        <v>45688</v>
      </c>
    </row>
    <row r="171" spans="1:37" ht="15" customHeight="1">
      <c r="A171" s="2" t="s">
        <v>600</v>
      </c>
      <c r="B171" s="2">
        <v>0</v>
      </c>
      <c r="C171" s="2"/>
      <c r="D171" s="2" t="s">
        <v>305</v>
      </c>
      <c r="E171" s="2" t="s">
        <v>598</v>
      </c>
      <c r="F171" s="3">
        <v>45688</v>
      </c>
      <c r="G171" s="3">
        <v>45688</v>
      </c>
      <c r="H171" s="3">
        <v>45688</v>
      </c>
      <c r="I171" s="2"/>
      <c r="J171" s="2"/>
      <c r="K171" s="2" t="s">
        <v>25</v>
      </c>
      <c r="L171" s="2" t="s">
        <v>26</v>
      </c>
      <c r="M171" s="2"/>
      <c r="N171" s="2" t="s">
        <v>27</v>
      </c>
      <c r="O171" s="2">
        <v>125.25</v>
      </c>
      <c r="P171" s="2">
        <v>22.55</v>
      </c>
      <c r="Q171" s="2">
        <v>147.80000000000001</v>
      </c>
      <c r="R171" s="2">
        <v>147.80000000000001</v>
      </c>
      <c r="S171" s="2">
        <v>147.80000000000001</v>
      </c>
      <c r="T171" s="2" t="s">
        <v>28</v>
      </c>
      <c r="U171" s="2" t="b">
        <v>0</v>
      </c>
      <c r="V171" s="2" t="s">
        <v>29</v>
      </c>
      <c r="W171" s="2" t="s">
        <v>104</v>
      </c>
      <c r="X171" s="2" t="s">
        <v>105</v>
      </c>
      <c r="Y171" s="2" t="s">
        <v>601</v>
      </c>
      <c r="Z171" s="2" t="s">
        <v>31</v>
      </c>
      <c r="AA171" s="2"/>
      <c r="AB171" s="2"/>
      <c r="AC171" s="2"/>
      <c r="AD171" s="2"/>
      <c r="AK171" s="8">
        <f t="shared" si="3"/>
        <v>45688</v>
      </c>
    </row>
    <row r="172" spans="1:37" ht="15" customHeight="1">
      <c r="A172" s="2" t="s">
        <v>602</v>
      </c>
      <c r="B172" s="2">
        <v>0</v>
      </c>
      <c r="C172" s="2"/>
      <c r="D172" s="2" t="s">
        <v>272</v>
      </c>
      <c r="E172" s="2" t="s">
        <v>603</v>
      </c>
      <c r="F172" s="3">
        <v>45688</v>
      </c>
      <c r="G172" s="3">
        <v>45688</v>
      </c>
      <c r="H172" s="3">
        <v>45688</v>
      </c>
      <c r="I172" s="2"/>
      <c r="J172" s="2"/>
      <c r="K172" s="2" t="s">
        <v>25</v>
      </c>
      <c r="L172" s="2" t="s">
        <v>26</v>
      </c>
      <c r="M172" s="2"/>
      <c r="N172" s="2" t="s">
        <v>27</v>
      </c>
      <c r="O172" s="2">
        <v>24.56</v>
      </c>
      <c r="P172" s="2">
        <v>4.42</v>
      </c>
      <c r="Q172" s="2">
        <v>28.98</v>
      </c>
      <c r="R172" s="2">
        <v>28.98</v>
      </c>
      <c r="S172" s="2">
        <v>28.98</v>
      </c>
      <c r="T172" s="2" t="s">
        <v>28</v>
      </c>
      <c r="U172" s="2" t="b">
        <v>0</v>
      </c>
      <c r="V172" s="2" t="s">
        <v>29</v>
      </c>
      <c r="W172" s="2" t="s">
        <v>104</v>
      </c>
      <c r="X172" s="2" t="s">
        <v>105</v>
      </c>
      <c r="Y172" s="2" t="s">
        <v>604</v>
      </c>
      <c r="Z172" s="2" t="s">
        <v>31</v>
      </c>
      <c r="AA172" s="2"/>
      <c r="AB172" s="2"/>
      <c r="AC172" s="2"/>
      <c r="AD172" s="2"/>
      <c r="AK172" s="8">
        <f t="shared" si="3"/>
        <v>45688</v>
      </c>
    </row>
    <row r="173" spans="1:37" ht="15" customHeight="1">
      <c r="A173" s="2" t="s">
        <v>605</v>
      </c>
      <c r="B173" s="2">
        <v>0</v>
      </c>
      <c r="C173" s="2"/>
      <c r="D173" s="2" t="s">
        <v>272</v>
      </c>
      <c r="E173" s="2" t="s">
        <v>603</v>
      </c>
      <c r="F173" s="3">
        <v>45688</v>
      </c>
      <c r="G173" s="3">
        <v>45688</v>
      </c>
      <c r="H173" s="3">
        <v>45688</v>
      </c>
      <c r="I173" s="2"/>
      <c r="J173" s="2"/>
      <c r="K173" s="2" t="s">
        <v>25</v>
      </c>
      <c r="L173" s="2" t="s">
        <v>26</v>
      </c>
      <c r="M173" s="2"/>
      <c r="N173" s="2" t="s">
        <v>27</v>
      </c>
      <c r="O173" s="2">
        <v>26.45</v>
      </c>
      <c r="P173" s="2">
        <v>4.76</v>
      </c>
      <c r="Q173" s="2">
        <v>31.21</v>
      </c>
      <c r="R173" s="2">
        <v>31.21</v>
      </c>
      <c r="S173" s="2">
        <v>31.21</v>
      </c>
      <c r="T173" s="2" t="s">
        <v>28</v>
      </c>
      <c r="U173" s="2" t="b">
        <v>0</v>
      </c>
      <c r="V173" s="2" t="s">
        <v>29</v>
      </c>
      <c r="W173" s="2" t="s">
        <v>104</v>
      </c>
      <c r="X173" s="2" t="s">
        <v>105</v>
      </c>
      <c r="Y173" s="2" t="s">
        <v>606</v>
      </c>
      <c r="Z173" s="2" t="s">
        <v>31</v>
      </c>
      <c r="AA173" s="2"/>
      <c r="AB173" s="2"/>
      <c r="AC173" s="2"/>
      <c r="AD173" s="2"/>
      <c r="AK173" s="8">
        <f t="shared" si="3"/>
        <v>45688</v>
      </c>
    </row>
    <row r="174" spans="1:37" ht="15" customHeight="1">
      <c r="A174" s="2" t="s">
        <v>607</v>
      </c>
      <c r="B174" s="2">
        <v>0</v>
      </c>
      <c r="C174" s="2"/>
      <c r="D174" s="2" t="s">
        <v>272</v>
      </c>
      <c r="E174" s="2" t="s">
        <v>608</v>
      </c>
      <c r="F174" s="3">
        <v>45688</v>
      </c>
      <c r="G174" s="3">
        <v>45688</v>
      </c>
      <c r="H174" s="3">
        <v>45688</v>
      </c>
      <c r="I174" s="2"/>
      <c r="J174" s="2"/>
      <c r="K174" s="2" t="s">
        <v>25</v>
      </c>
      <c r="L174" s="2" t="s">
        <v>26</v>
      </c>
      <c r="M174" s="2"/>
      <c r="N174" s="2" t="s">
        <v>27</v>
      </c>
      <c r="O174" s="2">
        <v>117.97</v>
      </c>
      <c r="P174" s="2">
        <v>21.23</v>
      </c>
      <c r="Q174" s="2">
        <v>139.19999999999999</v>
      </c>
      <c r="R174" s="2">
        <v>139.19999999999999</v>
      </c>
      <c r="S174" s="2">
        <v>139.19999999999999</v>
      </c>
      <c r="T174" s="2" t="s">
        <v>28</v>
      </c>
      <c r="U174" s="2" t="b">
        <v>0</v>
      </c>
      <c r="V174" s="2" t="s">
        <v>29</v>
      </c>
      <c r="W174" s="2" t="s">
        <v>104</v>
      </c>
      <c r="X174" s="2" t="s">
        <v>105</v>
      </c>
      <c r="Y174" s="2" t="s">
        <v>609</v>
      </c>
      <c r="Z174" s="2" t="s">
        <v>31</v>
      </c>
      <c r="AA174" s="2"/>
      <c r="AB174" s="2"/>
      <c r="AC174" s="2"/>
      <c r="AD174" s="2"/>
      <c r="AK174" s="8">
        <f t="shared" si="3"/>
        <v>45688</v>
      </c>
    </row>
    <row r="175" spans="1:37" ht="15" customHeight="1">
      <c r="A175" s="2" t="s">
        <v>610</v>
      </c>
      <c r="B175" s="2">
        <v>0</v>
      </c>
      <c r="C175" s="2"/>
      <c r="D175" s="2" t="s">
        <v>272</v>
      </c>
      <c r="E175" s="2" t="s">
        <v>608</v>
      </c>
      <c r="F175" s="3">
        <v>45688</v>
      </c>
      <c r="G175" s="3">
        <v>45688</v>
      </c>
      <c r="H175" s="3">
        <v>45688</v>
      </c>
      <c r="I175" s="2"/>
      <c r="J175" s="2"/>
      <c r="K175" s="2" t="s">
        <v>25</v>
      </c>
      <c r="L175" s="2" t="s">
        <v>26</v>
      </c>
      <c r="M175" s="2"/>
      <c r="N175" s="2" t="s">
        <v>27</v>
      </c>
      <c r="O175" s="2">
        <v>96.1</v>
      </c>
      <c r="P175" s="2">
        <v>17.3</v>
      </c>
      <c r="Q175" s="2">
        <v>113.4</v>
      </c>
      <c r="R175" s="2">
        <v>113.4</v>
      </c>
      <c r="S175" s="2">
        <v>113.4</v>
      </c>
      <c r="T175" s="2" t="s">
        <v>28</v>
      </c>
      <c r="U175" s="2" t="b">
        <v>0</v>
      </c>
      <c r="V175" s="2" t="s">
        <v>29</v>
      </c>
      <c r="W175" s="2" t="s">
        <v>104</v>
      </c>
      <c r="X175" s="2" t="s">
        <v>105</v>
      </c>
      <c r="Y175" s="2" t="s">
        <v>611</v>
      </c>
      <c r="Z175" s="2" t="s">
        <v>31</v>
      </c>
      <c r="AA175" s="2"/>
      <c r="AB175" s="2"/>
      <c r="AC175" s="2"/>
      <c r="AD175" s="2"/>
      <c r="AK175" s="8">
        <f t="shared" si="3"/>
        <v>45688</v>
      </c>
    </row>
    <row r="176" spans="1:37" ht="15" customHeight="1">
      <c r="A176" s="2" t="s">
        <v>612</v>
      </c>
      <c r="B176" s="2">
        <v>0</v>
      </c>
      <c r="C176" s="2"/>
      <c r="D176" s="2" t="s">
        <v>272</v>
      </c>
      <c r="E176" s="2" t="s">
        <v>573</v>
      </c>
      <c r="F176" s="3">
        <v>45687</v>
      </c>
      <c r="G176" s="3">
        <v>45687</v>
      </c>
      <c r="H176" s="3">
        <v>45687</v>
      </c>
      <c r="I176" s="2"/>
      <c r="J176" s="2"/>
      <c r="K176" s="2" t="s">
        <v>25</v>
      </c>
      <c r="L176" s="2" t="s">
        <v>26</v>
      </c>
      <c r="M176" s="2"/>
      <c r="N176" s="2" t="s">
        <v>27</v>
      </c>
      <c r="O176" s="2">
        <v>374.24</v>
      </c>
      <c r="P176" s="2">
        <v>67.36</v>
      </c>
      <c r="Q176" s="2">
        <v>441.6</v>
      </c>
      <c r="R176" s="2">
        <v>441.6</v>
      </c>
      <c r="S176" s="2">
        <v>441.6</v>
      </c>
      <c r="T176" s="2" t="s">
        <v>28</v>
      </c>
      <c r="U176" s="2" t="b">
        <v>0</v>
      </c>
      <c r="V176" s="2" t="s">
        <v>29</v>
      </c>
      <c r="W176" s="2" t="s">
        <v>104</v>
      </c>
      <c r="X176" s="2" t="s">
        <v>105</v>
      </c>
      <c r="Y176" s="2" t="s">
        <v>613</v>
      </c>
      <c r="Z176" s="2" t="s">
        <v>31</v>
      </c>
      <c r="AA176" s="2"/>
      <c r="AB176" s="2"/>
      <c r="AC176" s="2"/>
      <c r="AD176" s="2"/>
      <c r="AK176" s="8">
        <f t="shared" si="3"/>
        <v>45687</v>
      </c>
    </row>
    <row r="177" spans="1:37" ht="15" customHeight="1">
      <c r="A177" s="2" t="s">
        <v>614</v>
      </c>
      <c r="B177" s="2">
        <v>0</v>
      </c>
      <c r="C177" s="2"/>
      <c r="D177" s="2" t="s">
        <v>272</v>
      </c>
      <c r="E177" s="2" t="s">
        <v>573</v>
      </c>
      <c r="F177" s="3">
        <v>45687</v>
      </c>
      <c r="G177" s="3">
        <v>45687</v>
      </c>
      <c r="H177" s="3">
        <v>45687</v>
      </c>
      <c r="I177" s="2"/>
      <c r="J177" s="2"/>
      <c r="K177" s="2" t="s">
        <v>25</v>
      </c>
      <c r="L177" s="2" t="s">
        <v>26</v>
      </c>
      <c r="M177" s="2"/>
      <c r="N177" s="2" t="s">
        <v>27</v>
      </c>
      <c r="O177" s="2">
        <v>279.66000000000003</v>
      </c>
      <c r="P177" s="2">
        <v>50.34</v>
      </c>
      <c r="Q177" s="2">
        <v>330</v>
      </c>
      <c r="R177" s="2">
        <v>330</v>
      </c>
      <c r="S177" s="2">
        <v>330</v>
      </c>
      <c r="T177" s="2" t="s">
        <v>28</v>
      </c>
      <c r="U177" s="2" t="b">
        <v>0</v>
      </c>
      <c r="V177" s="2" t="s">
        <v>29</v>
      </c>
      <c r="W177" s="2" t="s">
        <v>104</v>
      </c>
      <c r="X177" s="2" t="s">
        <v>105</v>
      </c>
      <c r="Y177" s="2" t="s">
        <v>615</v>
      </c>
      <c r="Z177" s="2" t="s">
        <v>31</v>
      </c>
      <c r="AA177" s="2"/>
      <c r="AB177" s="2"/>
      <c r="AC177" s="2"/>
      <c r="AD177" s="2"/>
      <c r="AK177" s="8">
        <f t="shared" si="3"/>
        <v>45687</v>
      </c>
    </row>
    <row r="178" spans="1:37" ht="15" customHeight="1">
      <c r="A178" s="2" t="s">
        <v>616</v>
      </c>
      <c r="B178" s="2">
        <v>0</v>
      </c>
      <c r="C178" s="2"/>
      <c r="D178" s="2" t="s">
        <v>272</v>
      </c>
      <c r="E178" s="2" t="s">
        <v>617</v>
      </c>
      <c r="F178" s="3">
        <v>45687</v>
      </c>
      <c r="G178" s="3">
        <v>45687</v>
      </c>
      <c r="H178" s="3">
        <v>45687</v>
      </c>
      <c r="I178" s="2"/>
      <c r="J178" s="2"/>
      <c r="K178" s="2" t="s">
        <v>25</v>
      </c>
      <c r="L178" s="2" t="s">
        <v>26</v>
      </c>
      <c r="M178" s="2"/>
      <c r="N178" s="2" t="s">
        <v>27</v>
      </c>
      <c r="O178" s="2">
        <v>32.5</v>
      </c>
      <c r="P178" s="2">
        <v>5.85</v>
      </c>
      <c r="Q178" s="2">
        <v>38.35</v>
      </c>
      <c r="R178" s="2">
        <v>38.35</v>
      </c>
      <c r="S178" s="2">
        <v>38.35</v>
      </c>
      <c r="T178" s="2" t="s">
        <v>28</v>
      </c>
      <c r="U178" s="2" t="b">
        <v>0</v>
      </c>
      <c r="V178" s="2" t="s">
        <v>29</v>
      </c>
      <c r="W178" s="2" t="s">
        <v>104</v>
      </c>
      <c r="X178" s="2" t="s">
        <v>105</v>
      </c>
      <c r="Y178" s="2" t="s">
        <v>618</v>
      </c>
      <c r="Z178" s="2" t="s">
        <v>31</v>
      </c>
      <c r="AA178" s="2"/>
      <c r="AB178" s="2"/>
      <c r="AC178" s="2"/>
      <c r="AD178" s="2"/>
      <c r="AK178" s="8">
        <f t="shared" si="3"/>
        <v>45687</v>
      </c>
    </row>
    <row r="179" spans="1:37" ht="15" customHeight="1">
      <c r="A179" s="2" t="s">
        <v>619</v>
      </c>
      <c r="B179" s="2">
        <v>0</v>
      </c>
      <c r="C179" s="2"/>
      <c r="D179" s="2" t="s">
        <v>272</v>
      </c>
      <c r="E179" s="2" t="s">
        <v>617</v>
      </c>
      <c r="F179" s="3">
        <v>45687</v>
      </c>
      <c r="G179" s="3">
        <v>45687</v>
      </c>
      <c r="H179" s="3">
        <v>45687</v>
      </c>
      <c r="I179" s="2"/>
      <c r="J179" s="2"/>
      <c r="K179" s="2" t="s">
        <v>25</v>
      </c>
      <c r="L179" s="2" t="s">
        <v>26</v>
      </c>
      <c r="M179" s="2"/>
      <c r="N179" s="2" t="s">
        <v>27</v>
      </c>
      <c r="O179" s="2">
        <v>4.83</v>
      </c>
      <c r="P179" s="2">
        <v>0.87</v>
      </c>
      <c r="Q179" s="2">
        <v>5.7</v>
      </c>
      <c r="R179" s="2">
        <v>5.7</v>
      </c>
      <c r="S179" s="2">
        <v>5.7</v>
      </c>
      <c r="T179" s="2" t="s">
        <v>28</v>
      </c>
      <c r="U179" s="2" t="b">
        <v>0</v>
      </c>
      <c r="V179" s="2" t="s">
        <v>29</v>
      </c>
      <c r="W179" s="2" t="s">
        <v>104</v>
      </c>
      <c r="X179" s="2" t="s">
        <v>105</v>
      </c>
      <c r="Y179" s="2" t="s">
        <v>620</v>
      </c>
      <c r="Z179" s="2" t="s">
        <v>31</v>
      </c>
      <c r="AA179" s="2"/>
      <c r="AB179" s="2"/>
      <c r="AC179" s="2"/>
      <c r="AD179" s="2"/>
      <c r="AK179" s="8">
        <f t="shared" si="3"/>
        <v>45687</v>
      </c>
    </row>
    <row r="180" spans="1:37" ht="15" customHeight="1">
      <c r="A180" s="2" t="s">
        <v>621</v>
      </c>
      <c r="B180" s="2">
        <v>0</v>
      </c>
      <c r="C180" s="2"/>
      <c r="D180" s="2" t="s">
        <v>272</v>
      </c>
      <c r="E180" s="2" t="s">
        <v>617</v>
      </c>
      <c r="F180" s="3">
        <v>45687</v>
      </c>
      <c r="G180" s="3">
        <v>45687</v>
      </c>
      <c r="H180" s="3">
        <v>45687</v>
      </c>
      <c r="I180" s="2"/>
      <c r="J180" s="2"/>
      <c r="K180" s="2" t="s">
        <v>25</v>
      </c>
      <c r="L180" s="2" t="s">
        <v>26</v>
      </c>
      <c r="M180" s="2"/>
      <c r="N180" s="2" t="s">
        <v>27</v>
      </c>
      <c r="O180" s="2">
        <v>35.549999999999997</v>
      </c>
      <c r="P180" s="2">
        <v>6.4</v>
      </c>
      <c r="Q180" s="2">
        <v>41.95</v>
      </c>
      <c r="R180" s="2">
        <v>41.95</v>
      </c>
      <c r="S180" s="2">
        <v>41.95</v>
      </c>
      <c r="T180" s="2" t="s">
        <v>28</v>
      </c>
      <c r="U180" s="2" t="b">
        <v>0</v>
      </c>
      <c r="V180" s="2" t="s">
        <v>29</v>
      </c>
      <c r="W180" s="2" t="s">
        <v>104</v>
      </c>
      <c r="X180" s="2" t="s">
        <v>105</v>
      </c>
      <c r="Y180" s="2" t="s">
        <v>622</v>
      </c>
      <c r="Z180" s="2" t="s">
        <v>31</v>
      </c>
      <c r="AA180" s="2"/>
      <c r="AB180" s="2"/>
      <c r="AC180" s="2"/>
      <c r="AD180" s="2"/>
      <c r="AK180" s="8">
        <f t="shared" si="3"/>
        <v>45687</v>
      </c>
    </row>
    <row r="181" spans="1:37" ht="15" customHeight="1">
      <c r="A181" s="2" t="s">
        <v>623</v>
      </c>
      <c r="B181" s="2">
        <v>0</v>
      </c>
      <c r="C181" s="2"/>
      <c r="D181" s="2" t="s">
        <v>272</v>
      </c>
      <c r="E181" s="2" t="s">
        <v>624</v>
      </c>
      <c r="F181" s="3">
        <v>45687</v>
      </c>
      <c r="G181" s="3">
        <v>45687</v>
      </c>
      <c r="H181" s="3">
        <v>45687</v>
      </c>
      <c r="I181" s="2"/>
      <c r="J181" s="2"/>
      <c r="K181" s="2" t="s">
        <v>25</v>
      </c>
      <c r="L181" s="2" t="s">
        <v>26</v>
      </c>
      <c r="M181" s="2"/>
      <c r="N181" s="2" t="s">
        <v>27</v>
      </c>
      <c r="O181" s="2">
        <v>370.08</v>
      </c>
      <c r="P181" s="2">
        <v>66.62</v>
      </c>
      <c r="Q181" s="2">
        <v>436.7</v>
      </c>
      <c r="R181" s="2">
        <v>436.7</v>
      </c>
      <c r="S181" s="2">
        <v>436.7</v>
      </c>
      <c r="T181" s="2" t="s">
        <v>28</v>
      </c>
      <c r="U181" s="2" t="b">
        <v>0</v>
      </c>
      <c r="V181" s="2" t="s">
        <v>29</v>
      </c>
      <c r="W181" s="2" t="s">
        <v>104</v>
      </c>
      <c r="X181" s="2" t="s">
        <v>105</v>
      </c>
      <c r="Y181" s="2" t="s">
        <v>625</v>
      </c>
      <c r="Z181" s="2" t="s">
        <v>31</v>
      </c>
      <c r="AA181" s="2"/>
      <c r="AB181" s="2"/>
      <c r="AC181" s="2"/>
      <c r="AD181" s="2"/>
      <c r="AK181" s="8">
        <f t="shared" si="3"/>
        <v>45687</v>
      </c>
    </row>
    <row r="182" spans="1:37" ht="15" customHeight="1">
      <c r="A182" s="2" t="s">
        <v>626</v>
      </c>
      <c r="B182" s="2">
        <v>0</v>
      </c>
      <c r="C182" s="2"/>
      <c r="D182" s="2" t="s">
        <v>272</v>
      </c>
      <c r="E182" s="2" t="s">
        <v>624</v>
      </c>
      <c r="F182" s="3">
        <v>45687</v>
      </c>
      <c r="G182" s="3">
        <v>45687</v>
      </c>
      <c r="H182" s="3">
        <v>45687</v>
      </c>
      <c r="I182" s="2"/>
      <c r="J182" s="2"/>
      <c r="K182" s="2" t="s">
        <v>25</v>
      </c>
      <c r="L182" s="2" t="s">
        <v>26</v>
      </c>
      <c r="M182" s="2"/>
      <c r="N182" s="2" t="s">
        <v>27</v>
      </c>
      <c r="O182" s="2">
        <v>283.73</v>
      </c>
      <c r="P182" s="2">
        <v>51.07</v>
      </c>
      <c r="Q182" s="2">
        <v>334.8</v>
      </c>
      <c r="R182" s="2">
        <v>334.8</v>
      </c>
      <c r="S182" s="2">
        <v>334.8</v>
      </c>
      <c r="T182" s="2" t="s">
        <v>28</v>
      </c>
      <c r="U182" s="2" t="b">
        <v>0</v>
      </c>
      <c r="V182" s="2" t="s">
        <v>29</v>
      </c>
      <c r="W182" s="2" t="s">
        <v>104</v>
      </c>
      <c r="X182" s="2" t="s">
        <v>105</v>
      </c>
      <c r="Y182" s="2" t="s">
        <v>627</v>
      </c>
      <c r="Z182" s="2" t="s">
        <v>31</v>
      </c>
      <c r="AA182" s="2"/>
      <c r="AB182" s="2"/>
      <c r="AC182" s="2"/>
      <c r="AD182" s="2"/>
      <c r="AK182" s="8">
        <f t="shared" si="3"/>
        <v>45687</v>
      </c>
    </row>
    <row r="183" spans="1:37" ht="15" customHeight="1">
      <c r="A183" s="2" t="s">
        <v>628</v>
      </c>
      <c r="B183" s="2">
        <v>0</v>
      </c>
      <c r="C183" s="2"/>
      <c r="D183" s="2" t="s">
        <v>305</v>
      </c>
      <c r="E183" s="2" t="s">
        <v>629</v>
      </c>
      <c r="F183" s="3">
        <v>45686</v>
      </c>
      <c r="G183" s="3">
        <v>45686</v>
      </c>
      <c r="H183" s="3">
        <v>45686</v>
      </c>
      <c r="I183" s="2"/>
      <c r="J183" s="2"/>
      <c r="K183" s="2" t="s">
        <v>25</v>
      </c>
      <c r="L183" s="2" t="s">
        <v>26</v>
      </c>
      <c r="M183" s="2"/>
      <c r="N183" s="2" t="s">
        <v>27</v>
      </c>
      <c r="O183" s="2">
        <v>53.56</v>
      </c>
      <c r="P183" s="2">
        <v>9.64</v>
      </c>
      <c r="Q183" s="2">
        <v>63.2</v>
      </c>
      <c r="R183" s="2">
        <v>63.2</v>
      </c>
      <c r="S183" s="2">
        <v>63.2</v>
      </c>
      <c r="T183" s="2" t="s">
        <v>28</v>
      </c>
      <c r="U183" s="2" t="b">
        <v>0</v>
      </c>
      <c r="V183" s="2" t="s">
        <v>29</v>
      </c>
      <c r="W183" s="2" t="s">
        <v>104</v>
      </c>
      <c r="X183" s="2" t="s">
        <v>105</v>
      </c>
      <c r="Y183" s="2" t="s">
        <v>630</v>
      </c>
      <c r="Z183" s="2" t="s">
        <v>31</v>
      </c>
      <c r="AA183" s="2"/>
      <c r="AB183" s="2"/>
      <c r="AC183" s="2"/>
      <c r="AD183" s="2"/>
      <c r="AK183" s="8">
        <f t="shared" si="3"/>
        <v>45686</v>
      </c>
    </row>
    <row r="184" spans="1:37" ht="15" customHeight="1">
      <c r="A184" s="2" t="s">
        <v>631</v>
      </c>
      <c r="B184" s="2">
        <v>0</v>
      </c>
      <c r="C184" s="2"/>
      <c r="D184" s="2" t="s">
        <v>305</v>
      </c>
      <c r="E184" s="2" t="s">
        <v>629</v>
      </c>
      <c r="F184" s="3">
        <v>45686</v>
      </c>
      <c r="G184" s="3">
        <v>45686</v>
      </c>
      <c r="H184" s="3">
        <v>45686</v>
      </c>
      <c r="I184" s="2"/>
      <c r="J184" s="2"/>
      <c r="K184" s="2" t="s">
        <v>25</v>
      </c>
      <c r="L184" s="2" t="s">
        <v>26</v>
      </c>
      <c r="M184" s="2"/>
      <c r="N184" s="2" t="s">
        <v>27</v>
      </c>
      <c r="O184" s="2">
        <v>34.75</v>
      </c>
      <c r="P184" s="2">
        <v>6.25</v>
      </c>
      <c r="Q184" s="2">
        <v>41</v>
      </c>
      <c r="R184" s="2">
        <v>41</v>
      </c>
      <c r="S184" s="2">
        <v>41</v>
      </c>
      <c r="T184" s="2" t="s">
        <v>28</v>
      </c>
      <c r="U184" s="2" t="b">
        <v>0</v>
      </c>
      <c r="V184" s="2" t="s">
        <v>29</v>
      </c>
      <c r="W184" s="2" t="s">
        <v>104</v>
      </c>
      <c r="X184" s="2" t="s">
        <v>105</v>
      </c>
      <c r="Y184" s="2" t="s">
        <v>632</v>
      </c>
      <c r="Z184" s="2" t="s">
        <v>31</v>
      </c>
      <c r="AA184" s="2"/>
      <c r="AB184" s="2"/>
      <c r="AC184" s="2"/>
      <c r="AD184" s="2"/>
      <c r="AK184" s="8">
        <f t="shared" si="3"/>
        <v>45686</v>
      </c>
    </row>
    <row r="185" spans="1:37" ht="15" customHeight="1">
      <c r="A185" s="2" t="s">
        <v>633</v>
      </c>
      <c r="B185" s="2">
        <v>0</v>
      </c>
      <c r="C185" s="2"/>
      <c r="D185" s="2" t="s">
        <v>305</v>
      </c>
      <c r="E185" s="2" t="s">
        <v>634</v>
      </c>
      <c r="F185" s="3">
        <v>45686</v>
      </c>
      <c r="G185" s="3">
        <v>45686</v>
      </c>
      <c r="H185" s="3">
        <v>45686</v>
      </c>
      <c r="I185" s="2"/>
      <c r="J185" s="2"/>
      <c r="K185" s="2" t="s">
        <v>25</v>
      </c>
      <c r="L185" s="2" t="s">
        <v>26</v>
      </c>
      <c r="M185" s="2"/>
      <c r="N185" s="2" t="s">
        <v>27</v>
      </c>
      <c r="O185" s="2">
        <v>423.73</v>
      </c>
      <c r="P185" s="2">
        <v>76.27</v>
      </c>
      <c r="Q185" s="2">
        <v>500</v>
      </c>
      <c r="R185" s="2">
        <v>500</v>
      </c>
      <c r="S185" s="2">
        <v>500</v>
      </c>
      <c r="T185" s="2" t="s">
        <v>28</v>
      </c>
      <c r="U185" s="2" t="b">
        <v>0</v>
      </c>
      <c r="V185" s="2" t="s">
        <v>29</v>
      </c>
      <c r="W185" s="2" t="s">
        <v>104</v>
      </c>
      <c r="X185" s="2" t="s">
        <v>105</v>
      </c>
      <c r="Y185" s="2" t="s">
        <v>635</v>
      </c>
      <c r="Z185" s="2" t="s">
        <v>31</v>
      </c>
      <c r="AA185" s="2"/>
      <c r="AB185" s="2"/>
      <c r="AC185" s="2"/>
      <c r="AD185" s="2"/>
      <c r="AK185" s="8">
        <f t="shared" si="3"/>
        <v>45686</v>
      </c>
    </row>
    <row r="186" spans="1:37" ht="15" customHeight="1">
      <c r="A186" s="2" t="s">
        <v>636</v>
      </c>
      <c r="B186" s="2">
        <v>0</v>
      </c>
      <c r="C186" s="2"/>
      <c r="D186" s="2" t="s">
        <v>305</v>
      </c>
      <c r="E186" s="2" t="s">
        <v>634</v>
      </c>
      <c r="F186" s="3">
        <v>45686</v>
      </c>
      <c r="G186" s="3">
        <v>45686</v>
      </c>
      <c r="H186" s="3">
        <v>45686</v>
      </c>
      <c r="I186" s="2"/>
      <c r="J186" s="2"/>
      <c r="K186" s="2" t="s">
        <v>25</v>
      </c>
      <c r="L186" s="2" t="s">
        <v>26</v>
      </c>
      <c r="M186" s="2"/>
      <c r="N186" s="2" t="s">
        <v>27</v>
      </c>
      <c r="O186" s="2">
        <v>30</v>
      </c>
      <c r="P186" s="2">
        <v>5.4</v>
      </c>
      <c r="Q186" s="2">
        <v>35.4</v>
      </c>
      <c r="R186" s="2">
        <v>35.4</v>
      </c>
      <c r="S186" s="2">
        <v>35.4</v>
      </c>
      <c r="T186" s="2" t="s">
        <v>28</v>
      </c>
      <c r="U186" s="2" t="b">
        <v>0</v>
      </c>
      <c r="V186" s="2" t="s">
        <v>29</v>
      </c>
      <c r="W186" s="2" t="s">
        <v>104</v>
      </c>
      <c r="X186" s="2" t="s">
        <v>105</v>
      </c>
      <c r="Y186" s="2" t="s">
        <v>637</v>
      </c>
      <c r="Z186" s="2" t="s">
        <v>31</v>
      </c>
      <c r="AA186" s="2"/>
      <c r="AB186" s="2"/>
      <c r="AC186" s="2"/>
      <c r="AD186" s="2"/>
      <c r="AK186" s="8">
        <f t="shared" si="3"/>
        <v>45686</v>
      </c>
    </row>
    <row r="187" spans="1:37" ht="15" customHeight="1">
      <c r="A187" s="2" t="s">
        <v>638</v>
      </c>
      <c r="B187" s="2">
        <v>0</v>
      </c>
      <c r="C187" s="2"/>
      <c r="D187" s="2" t="s">
        <v>305</v>
      </c>
      <c r="E187" s="2" t="s">
        <v>634</v>
      </c>
      <c r="F187" s="3">
        <v>45686</v>
      </c>
      <c r="G187" s="3">
        <v>45686</v>
      </c>
      <c r="H187" s="3">
        <v>45686</v>
      </c>
      <c r="I187" s="2"/>
      <c r="J187" s="2"/>
      <c r="K187" s="2" t="s">
        <v>25</v>
      </c>
      <c r="L187" s="2" t="s">
        <v>26</v>
      </c>
      <c r="M187" s="2"/>
      <c r="N187" s="2" t="s">
        <v>27</v>
      </c>
      <c r="O187" s="2">
        <v>150</v>
      </c>
      <c r="P187" s="2">
        <v>27</v>
      </c>
      <c r="Q187" s="2">
        <v>177</v>
      </c>
      <c r="R187" s="2">
        <v>177</v>
      </c>
      <c r="S187" s="2">
        <v>177</v>
      </c>
      <c r="T187" s="2" t="s">
        <v>28</v>
      </c>
      <c r="U187" s="2" t="b">
        <v>0</v>
      </c>
      <c r="V187" s="2" t="s">
        <v>29</v>
      </c>
      <c r="W187" s="2" t="s">
        <v>104</v>
      </c>
      <c r="X187" s="2" t="s">
        <v>105</v>
      </c>
      <c r="Y187" s="2" t="s">
        <v>639</v>
      </c>
      <c r="Z187" s="2" t="s">
        <v>31</v>
      </c>
      <c r="AA187" s="2"/>
      <c r="AB187" s="2"/>
      <c r="AC187" s="2"/>
      <c r="AD187" s="2"/>
      <c r="AK187" s="8">
        <f t="shared" si="3"/>
        <v>45686</v>
      </c>
    </row>
    <row r="188" spans="1:37" ht="15" customHeight="1">
      <c r="A188" s="2" t="s">
        <v>640</v>
      </c>
      <c r="B188" s="2">
        <v>0</v>
      </c>
      <c r="C188" s="2"/>
      <c r="D188" s="2" t="s">
        <v>305</v>
      </c>
      <c r="E188" s="2" t="s">
        <v>634</v>
      </c>
      <c r="F188" s="3">
        <v>45686</v>
      </c>
      <c r="G188" s="3">
        <v>45686</v>
      </c>
      <c r="H188" s="3">
        <v>45686</v>
      </c>
      <c r="I188" s="2"/>
      <c r="J188" s="2"/>
      <c r="K188" s="2" t="s">
        <v>25</v>
      </c>
      <c r="L188" s="2" t="s">
        <v>26</v>
      </c>
      <c r="M188" s="2"/>
      <c r="N188" s="2" t="s">
        <v>27</v>
      </c>
      <c r="O188" s="2">
        <v>1608.31</v>
      </c>
      <c r="P188" s="2">
        <v>289.49</v>
      </c>
      <c r="Q188" s="2">
        <v>1897.8</v>
      </c>
      <c r="R188" s="2">
        <v>1897.8</v>
      </c>
      <c r="S188" s="2">
        <v>1897.8</v>
      </c>
      <c r="T188" s="2" t="s">
        <v>28</v>
      </c>
      <c r="U188" s="2" t="b">
        <v>0</v>
      </c>
      <c r="V188" s="2" t="s">
        <v>29</v>
      </c>
      <c r="W188" s="2" t="s">
        <v>104</v>
      </c>
      <c r="X188" s="2" t="s">
        <v>105</v>
      </c>
      <c r="Y188" s="2" t="s">
        <v>641</v>
      </c>
      <c r="Z188" s="2" t="s">
        <v>31</v>
      </c>
      <c r="AA188" s="2"/>
      <c r="AB188" s="2"/>
      <c r="AC188" s="2"/>
      <c r="AD188" s="2"/>
      <c r="AK188" s="8">
        <f t="shared" si="3"/>
        <v>45686</v>
      </c>
    </row>
    <row r="189" spans="1:37" ht="15" customHeight="1">
      <c r="A189" s="2" t="s">
        <v>642</v>
      </c>
      <c r="B189" s="2">
        <v>0</v>
      </c>
      <c r="C189" s="2"/>
      <c r="D189" s="2" t="s">
        <v>305</v>
      </c>
      <c r="E189" s="2" t="s">
        <v>634</v>
      </c>
      <c r="F189" s="3">
        <v>45686</v>
      </c>
      <c r="G189" s="3">
        <v>45686</v>
      </c>
      <c r="H189" s="3">
        <v>45686</v>
      </c>
      <c r="I189" s="2"/>
      <c r="J189" s="2"/>
      <c r="K189" s="2" t="s">
        <v>25</v>
      </c>
      <c r="L189" s="2" t="s">
        <v>26</v>
      </c>
      <c r="M189" s="2"/>
      <c r="N189" s="2" t="s">
        <v>27</v>
      </c>
      <c r="O189" s="2">
        <v>991.19</v>
      </c>
      <c r="P189" s="2">
        <v>178.41</v>
      </c>
      <c r="Q189" s="2">
        <v>1169.5999999999999</v>
      </c>
      <c r="R189" s="2">
        <v>1169.5999999999999</v>
      </c>
      <c r="S189" s="2">
        <v>1169.5999999999999</v>
      </c>
      <c r="T189" s="2" t="s">
        <v>28</v>
      </c>
      <c r="U189" s="2" t="b">
        <v>0</v>
      </c>
      <c r="V189" s="2" t="s">
        <v>29</v>
      </c>
      <c r="W189" s="2" t="s">
        <v>104</v>
      </c>
      <c r="X189" s="2" t="s">
        <v>105</v>
      </c>
      <c r="Y189" s="2" t="s">
        <v>643</v>
      </c>
      <c r="Z189" s="2" t="s">
        <v>31</v>
      </c>
      <c r="AA189" s="2"/>
      <c r="AB189" s="2"/>
      <c r="AC189" s="2"/>
      <c r="AD189" s="2"/>
      <c r="AK189" s="8">
        <f t="shared" si="3"/>
        <v>45686</v>
      </c>
    </row>
    <row r="190" spans="1:37" ht="15" customHeight="1">
      <c r="A190" s="2" t="s">
        <v>644</v>
      </c>
      <c r="B190" s="2">
        <v>0</v>
      </c>
      <c r="C190" s="2"/>
      <c r="D190" s="2" t="s">
        <v>305</v>
      </c>
      <c r="E190" s="2" t="s">
        <v>634</v>
      </c>
      <c r="F190" s="3">
        <v>45686</v>
      </c>
      <c r="G190" s="3">
        <v>45686</v>
      </c>
      <c r="H190" s="3">
        <v>45686</v>
      </c>
      <c r="I190" s="2"/>
      <c r="J190" s="2"/>
      <c r="K190" s="2" t="s">
        <v>25</v>
      </c>
      <c r="L190" s="2" t="s">
        <v>26</v>
      </c>
      <c r="M190" s="2"/>
      <c r="N190" s="2" t="s">
        <v>27</v>
      </c>
      <c r="O190" s="2">
        <v>423.73</v>
      </c>
      <c r="P190" s="2">
        <v>76.27</v>
      </c>
      <c r="Q190" s="2">
        <v>500</v>
      </c>
      <c r="R190" s="2">
        <v>500</v>
      </c>
      <c r="S190" s="2">
        <v>500</v>
      </c>
      <c r="T190" s="2" t="s">
        <v>28</v>
      </c>
      <c r="U190" s="2" t="b">
        <v>0</v>
      </c>
      <c r="V190" s="2" t="s">
        <v>29</v>
      </c>
      <c r="W190" s="2" t="s">
        <v>104</v>
      </c>
      <c r="X190" s="2" t="s">
        <v>105</v>
      </c>
      <c r="Y190" s="2" t="s">
        <v>645</v>
      </c>
      <c r="Z190" s="2" t="s">
        <v>31</v>
      </c>
      <c r="AA190" s="2"/>
      <c r="AB190" s="2"/>
      <c r="AC190" s="2"/>
      <c r="AD190" s="2"/>
      <c r="AK190" s="8">
        <f t="shared" si="3"/>
        <v>45686</v>
      </c>
    </row>
    <row r="191" spans="1:37" ht="15" customHeight="1">
      <c r="A191" s="2" t="s">
        <v>646</v>
      </c>
      <c r="B191" s="2">
        <v>0</v>
      </c>
      <c r="C191" s="2"/>
      <c r="D191" s="2" t="s">
        <v>305</v>
      </c>
      <c r="E191" s="2" t="s">
        <v>634</v>
      </c>
      <c r="F191" s="3">
        <v>45686</v>
      </c>
      <c r="G191" s="3">
        <v>45686</v>
      </c>
      <c r="H191" s="3">
        <v>45686</v>
      </c>
      <c r="I191" s="2"/>
      <c r="J191" s="2"/>
      <c r="K191" s="2" t="s">
        <v>25</v>
      </c>
      <c r="L191" s="2" t="s">
        <v>26</v>
      </c>
      <c r="M191" s="2"/>
      <c r="N191" s="2" t="s">
        <v>27</v>
      </c>
      <c r="O191" s="2">
        <v>418.22</v>
      </c>
      <c r="P191" s="2">
        <v>75.28</v>
      </c>
      <c r="Q191" s="2">
        <v>493.5</v>
      </c>
      <c r="R191" s="2">
        <v>493.5</v>
      </c>
      <c r="S191" s="2">
        <v>493.5</v>
      </c>
      <c r="T191" s="2" t="s">
        <v>28</v>
      </c>
      <c r="U191" s="2" t="b">
        <v>0</v>
      </c>
      <c r="V191" s="2" t="s">
        <v>29</v>
      </c>
      <c r="W191" s="2" t="s">
        <v>104</v>
      </c>
      <c r="X191" s="2" t="s">
        <v>105</v>
      </c>
      <c r="Y191" s="2" t="s">
        <v>647</v>
      </c>
      <c r="Z191" s="2" t="s">
        <v>31</v>
      </c>
      <c r="AA191" s="2"/>
      <c r="AB191" s="2"/>
      <c r="AC191" s="2"/>
      <c r="AD191" s="2"/>
      <c r="AK191" s="8">
        <f t="shared" si="3"/>
        <v>45686</v>
      </c>
    </row>
    <row r="192" spans="1:37" ht="15" customHeight="1">
      <c r="A192" s="2" t="s">
        <v>648</v>
      </c>
      <c r="B192" s="2">
        <v>0</v>
      </c>
      <c r="C192" s="2"/>
      <c r="D192" s="2" t="s">
        <v>305</v>
      </c>
      <c r="E192" s="2" t="s">
        <v>634</v>
      </c>
      <c r="F192" s="3">
        <v>45686</v>
      </c>
      <c r="G192" s="3">
        <v>45686</v>
      </c>
      <c r="H192" s="3">
        <v>45686</v>
      </c>
      <c r="I192" s="2"/>
      <c r="J192" s="2"/>
      <c r="K192" s="2" t="s">
        <v>25</v>
      </c>
      <c r="L192" s="2" t="s">
        <v>26</v>
      </c>
      <c r="M192" s="2"/>
      <c r="N192" s="2" t="s">
        <v>27</v>
      </c>
      <c r="O192" s="2">
        <v>250.51</v>
      </c>
      <c r="P192" s="2">
        <v>45.09</v>
      </c>
      <c r="Q192" s="2">
        <v>295.60000000000002</v>
      </c>
      <c r="R192" s="2">
        <v>295.60000000000002</v>
      </c>
      <c r="S192" s="2">
        <v>295.60000000000002</v>
      </c>
      <c r="T192" s="2" t="s">
        <v>28</v>
      </c>
      <c r="U192" s="2" t="b">
        <v>0</v>
      </c>
      <c r="V192" s="2" t="s">
        <v>29</v>
      </c>
      <c r="W192" s="2" t="s">
        <v>104</v>
      </c>
      <c r="X192" s="2" t="s">
        <v>105</v>
      </c>
      <c r="Y192" s="2" t="s">
        <v>649</v>
      </c>
      <c r="Z192" s="2" t="s">
        <v>31</v>
      </c>
      <c r="AA192" s="2"/>
      <c r="AB192" s="2"/>
      <c r="AC192" s="2"/>
      <c r="AD192" s="2"/>
      <c r="AK192" s="8">
        <f t="shared" si="3"/>
        <v>45686</v>
      </c>
    </row>
    <row r="193" spans="1:37" ht="15" customHeight="1">
      <c r="A193" s="2" t="s">
        <v>650</v>
      </c>
      <c r="B193" s="2">
        <v>0</v>
      </c>
      <c r="C193" s="2"/>
      <c r="D193" s="2" t="s">
        <v>305</v>
      </c>
      <c r="E193" s="2" t="s">
        <v>634</v>
      </c>
      <c r="F193" s="3">
        <v>45686</v>
      </c>
      <c r="G193" s="3">
        <v>45686</v>
      </c>
      <c r="H193" s="3">
        <v>45686</v>
      </c>
      <c r="I193" s="2"/>
      <c r="J193" s="2"/>
      <c r="K193" s="2" t="s">
        <v>25</v>
      </c>
      <c r="L193" s="2" t="s">
        <v>26</v>
      </c>
      <c r="M193" s="2"/>
      <c r="N193" s="2" t="s">
        <v>27</v>
      </c>
      <c r="O193" s="2">
        <v>438.73</v>
      </c>
      <c r="P193" s="2">
        <v>78.97</v>
      </c>
      <c r="Q193" s="2">
        <v>517.70000000000005</v>
      </c>
      <c r="R193" s="2">
        <v>517.70000000000005</v>
      </c>
      <c r="S193" s="2">
        <v>517.70000000000005</v>
      </c>
      <c r="T193" s="2" t="s">
        <v>28</v>
      </c>
      <c r="U193" s="2" t="b">
        <v>0</v>
      </c>
      <c r="V193" s="2" t="s">
        <v>29</v>
      </c>
      <c r="W193" s="2" t="s">
        <v>104</v>
      </c>
      <c r="X193" s="2" t="s">
        <v>105</v>
      </c>
      <c r="Y193" s="2" t="s">
        <v>651</v>
      </c>
      <c r="Z193" s="2" t="s">
        <v>31</v>
      </c>
      <c r="AA193" s="2"/>
      <c r="AB193" s="2"/>
      <c r="AC193" s="2"/>
      <c r="AD193" s="2"/>
      <c r="AK193" s="8">
        <f t="shared" si="3"/>
        <v>45686</v>
      </c>
    </row>
    <row r="194" spans="1:37" ht="15" customHeight="1">
      <c r="A194" s="2" t="s">
        <v>652</v>
      </c>
      <c r="B194" s="2">
        <v>0</v>
      </c>
      <c r="C194" s="2"/>
      <c r="D194" s="2" t="s">
        <v>305</v>
      </c>
      <c r="E194" s="2" t="s">
        <v>634</v>
      </c>
      <c r="F194" s="3">
        <v>45686</v>
      </c>
      <c r="G194" s="3">
        <v>45686</v>
      </c>
      <c r="H194" s="3">
        <v>45686</v>
      </c>
      <c r="I194" s="2"/>
      <c r="J194" s="2"/>
      <c r="K194" s="2" t="s">
        <v>25</v>
      </c>
      <c r="L194" s="2" t="s">
        <v>26</v>
      </c>
      <c r="M194" s="2"/>
      <c r="N194" s="2" t="s">
        <v>27</v>
      </c>
      <c r="O194" s="2">
        <v>139.75</v>
      </c>
      <c r="P194" s="2">
        <v>25.15</v>
      </c>
      <c r="Q194" s="2">
        <v>164.9</v>
      </c>
      <c r="R194" s="2">
        <v>164.9</v>
      </c>
      <c r="S194" s="2">
        <v>164.9</v>
      </c>
      <c r="T194" s="2" t="s">
        <v>28</v>
      </c>
      <c r="U194" s="2" t="b">
        <v>0</v>
      </c>
      <c r="V194" s="2" t="s">
        <v>29</v>
      </c>
      <c r="W194" s="2" t="s">
        <v>104</v>
      </c>
      <c r="X194" s="2" t="s">
        <v>105</v>
      </c>
      <c r="Y194" s="2" t="s">
        <v>653</v>
      </c>
      <c r="Z194" s="2" t="s">
        <v>31</v>
      </c>
      <c r="AA194" s="2"/>
      <c r="AB194" s="2"/>
      <c r="AC194" s="2"/>
      <c r="AD194" s="2"/>
      <c r="AK194" s="8">
        <f t="shared" si="3"/>
        <v>45686</v>
      </c>
    </row>
    <row r="195" spans="1:37" ht="15" customHeight="1">
      <c r="A195" s="2" t="s">
        <v>654</v>
      </c>
      <c r="B195" s="2">
        <v>0</v>
      </c>
      <c r="C195" s="2"/>
      <c r="D195" s="2" t="s">
        <v>305</v>
      </c>
      <c r="E195" s="2" t="s">
        <v>634</v>
      </c>
      <c r="F195" s="3">
        <v>45686</v>
      </c>
      <c r="G195" s="3">
        <v>45686</v>
      </c>
      <c r="H195" s="3">
        <v>45686</v>
      </c>
      <c r="I195" s="2"/>
      <c r="J195" s="2"/>
      <c r="K195" s="2" t="s">
        <v>25</v>
      </c>
      <c r="L195" s="2" t="s">
        <v>26</v>
      </c>
      <c r="M195" s="2"/>
      <c r="N195" s="2" t="s">
        <v>27</v>
      </c>
      <c r="O195" s="2">
        <v>79.150000000000006</v>
      </c>
      <c r="P195" s="2">
        <v>14.25</v>
      </c>
      <c r="Q195" s="2">
        <v>93.4</v>
      </c>
      <c r="R195" s="2">
        <v>93.4</v>
      </c>
      <c r="S195" s="2">
        <v>93.4</v>
      </c>
      <c r="T195" s="2" t="s">
        <v>28</v>
      </c>
      <c r="U195" s="2" t="b">
        <v>0</v>
      </c>
      <c r="V195" s="2" t="s">
        <v>29</v>
      </c>
      <c r="W195" s="2" t="s">
        <v>104</v>
      </c>
      <c r="X195" s="2" t="s">
        <v>105</v>
      </c>
      <c r="Y195" s="2" t="s">
        <v>655</v>
      </c>
      <c r="Z195" s="2" t="s">
        <v>31</v>
      </c>
      <c r="AA195" s="2"/>
      <c r="AB195" s="2"/>
      <c r="AC195" s="2"/>
      <c r="AD195" s="2"/>
      <c r="AK195" s="8">
        <f t="shared" si="3"/>
        <v>45686</v>
      </c>
    </row>
    <row r="196" spans="1:37" ht="15" customHeight="1">
      <c r="A196" s="2" t="s">
        <v>656</v>
      </c>
      <c r="B196" s="2">
        <v>0</v>
      </c>
      <c r="C196" s="2"/>
      <c r="D196" s="2" t="s">
        <v>305</v>
      </c>
      <c r="E196" s="2" t="s">
        <v>634</v>
      </c>
      <c r="F196" s="3">
        <v>45686</v>
      </c>
      <c r="G196" s="3">
        <v>45686</v>
      </c>
      <c r="H196" s="3">
        <v>45686</v>
      </c>
      <c r="I196" s="2"/>
      <c r="J196" s="2"/>
      <c r="K196" s="2" t="s">
        <v>25</v>
      </c>
      <c r="L196" s="2" t="s">
        <v>26</v>
      </c>
      <c r="M196" s="2"/>
      <c r="N196" s="2" t="s">
        <v>27</v>
      </c>
      <c r="O196" s="2">
        <v>447.73</v>
      </c>
      <c r="P196" s="2">
        <v>80.59</v>
      </c>
      <c r="Q196" s="2">
        <v>528.32000000000005</v>
      </c>
      <c r="R196" s="2">
        <v>528.32000000000005</v>
      </c>
      <c r="S196" s="2">
        <v>528.32000000000005</v>
      </c>
      <c r="T196" s="2" t="s">
        <v>28</v>
      </c>
      <c r="U196" s="2" t="b">
        <v>0</v>
      </c>
      <c r="V196" s="2" t="s">
        <v>29</v>
      </c>
      <c r="W196" s="2" t="s">
        <v>104</v>
      </c>
      <c r="X196" s="2" t="s">
        <v>105</v>
      </c>
      <c r="Y196" s="2" t="s">
        <v>657</v>
      </c>
      <c r="Z196" s="2" t="s">
        <v>31</v>
      </c>
      <c r="AA196" s="2"/>
      <c r="AB196" s="2"/>
      <c r="AC196" s="2"/>
      <c r="AD196" s="2"/>
      <c r="AK196" s="8">
        <f t="shared" si="3"/>
        <v>45686</v>
      </c>
    </row>
    <row r="197" spans="1:37" ht="15" customHeight="1">
      <c r="A197" s="2" t="s">
        <v>658</v>
      </c>
      <c r="B197" s="2">
        <v>0</v>
      </c>
      <c r="C197" s="2"/>
      <c r="D197" s="2" t="s">
        <v>305</v>
      </c>
      <c r="E197" s="2" t="s">
        <v>634</v>
      </c>
      <c r="F197" s="3">
        <v>45686</v>
      </c>
      <c r="G197" s="3">
        <v>45686</v>
      </c>
      <c r="H197" s="3">
        <v>45686</v>
      </c>
      <c r="I197" s="2"/>
      <c r="J197" s="2"/>
      <c r="K197" s="2" t="s">
        <v>25</v>
      </c>
      <c r="L197" s="2" t="s">
        <v>26</v>
      </c>
      <c r="M197" s="2"/>
      <c r="N197" s="2" t="s">
        <v>27</v>
      </c>
      <c r="O197" s="2">
        <v>150</v>
      </c>
      <c r="P197" s="2">
        <v>27</v>
      </c>
      <c r="Q197" s="2">
        <v>177</v>
      </c>
      <c r="R197" s="2">
        <v>177</v>
      </c>
      <c r="S197" s="2">
        <v>177</v>
      </c>
      <c r="T197" s="2" t="s">
        <v>28</v>
      </c>
      <c r="U197" s="2" t="b">
        <v>0</v>
      </c>
      <c r="V197" s="2" t="s">
        <v>29</v>
      </c>
      <c r="W197" s="2" t="s">
        <v>104</v>
      </c>
      <c r="X197" s="2" t="s">
        <v>105</v>
      </c>
      <c r="Y197" s="2" t="s">
        <v>659</v>
      </c>
      <c r="Z197" s="2" t="s">
        <v>31</v>
      </c>
      <c r="AA197" s="2"/>
      <c r="AB197" s="2"/>
      <c r="AC197" s="2"/>
      <c r="AD197" s="2"/>
      <c r="AK197" s="8">
        <f t="shared" si="3"/>
        <v>45686</v>
      </c>
    </row>
    <row r="198" spans="1:37" ht="15" customHeight="1">
      <c r="A198" s="2" t="s">
        <v>660</v>
      </c>
      <c r="B198" s="2">
        <v>0</v>
      </c>
      <c r="C198" s="2"/>
      <c r="D198" s="2" t="s">
        <v>305</v>
      </c>
      <c r="E198" s="2" t="s">
        <v>634</v>
      </c>
      <c r="F198" s="3">
        <v>45686</v>
      </c>
      <c r="G198" s="3">
        <v>45686</v>
      </c>
      <c r="H198" s="3">
        <v>45686</v>
      </c>
      <c r="I198" s="2"/>
      <c r="J198" s="2"/>
      <c r="K198" s="2" t="s">
        <v>25</v>
      </c>
      <c r="L198" s="2" t="s">
        <v>26</v>
      </c>
      <c r="M198" s="2"/>
      <c r="N198" s="2" t="s">
        <v>27</v>
      </c>
      <c r="O198" s="2">
        <v>2377.37</v>
      </c>
      <c r="P198" s="2">
        <v>427.93</v>
      </c>
      <c r="Q198" s="2">
        <v>2805.3</v>
      </c>
      <c r="R198" s="2">
        <v>2805.3</v>
      </c>
      <c r="S198" s="2">
        <v>2805.3</v>
      </c>
      <c r="T198" s="2" t="s">
        <v>28</v>
      </c>
      <c r="U198" s="2" t="b">
        <v>0</v>
      </c>
      <c r="V198" s="2" t="s">
        <v>29</v>
      </c>
      <c r="W198" s="2" t="s">
        <v>104</v>
      </c>
      <c r="X198" s="2" t="s">
        <v>105</v>
      </c>
      <c r="Y198" s="2" t="s">
        <v>661</v>
      </c>
      <c r="Z198" s="2" t="s">
        <v>31</v>
      </c>
      <c r="AA198" s="2"/>
      <c r="AB198" s="2"/>
      <c r="AC198" s="2"/>
      <c r="AD198" s="2"/>
      <c r="AK198" s="8">
        <f t="shared" si="3"/>
        <v>45686</v>
      </c>
    </row>
    <row r="199" spans="1:37" ht="15" customHeight="1">
      <c r="A199" s="2" t="s">
        <v>662</v>
      </c>
      <c r="B199" s="2">
        <v>0</v>
      </c>
      <c r="C199" s="2"/>
      <c r="D199" s="2" t="s">
        <v>305</v>
      </c>
      <c r="E199" s="2" t="s">
        <v>634</v>
      </c>
      <c r="F199" s="3">
        <v>45686</v>
      </c>
      <c r="G199" s="3">
        <v>45686</v>
      </c>
      <c r="H199" s="3">
        <v>45686</v>
      </c>
      <c r="I199" s="2"/>
      <c r="J199" s="2"/>
      <c r="K199" s="2" t="s">
        <v>25</v>
      </c>
      <c r="L199" s="2" t="s">
        <v>26</v>
      </c>
      <c r="M199" s="2"/>
      <c r="N199" s="2" t="s">
        <v>27</v>
      </c>
      <c r="O199" s="2">
        <v>1467.71</v>
      </c>
      <c r="P199" s="2">
        <v>264.19</v>
      </c>
      <c r="Q199" s="2">
        <v>1731.9</v>
      </c>
      <c r="R199" s="2">
        <v>1731.9</v>
      </c>
      <c r="S199" s="2">
        <v>1731.9</v>
      </c>
      <c r="T199" s="2" t="s">
        <v>28</v>
      </c>
      <c r="U199" s="2" t="b">
        <v>0</v>
      </c>
      <c r="V199" s="2" t="s">
        <v>29</v>
      </c>
      <c r="W199" s="2" t="s">
        <v>104</v>
      </c>
      <c r="X199" s="2" t="s">
        <v>105</v>
      </c>
      <c r="Y199" s="2" t="s">
        <v>663</v>
      </c>
      <c r="Z199" s="2" t="s">
        <v>31</v>
      </c>
      <c r="AA199" s="2"/>
      <c r="AB199" s="2"/>
      <c r="AC199" s="2"/>
      <c r="AD199" s="2"/>
      <c r="AK199" s="8">
        <f t="shared" ref="AK199:AK262" si="4">+IF(AE199&lt;&gt;"",AE199,F199)</f>
        <v>45686</v>
      </c>
    </row>
    <row r="200" spans="1:37" ht="15" customHeight="1">
      <c r="A200" s="2" t="s">
        <v>664</v>
      </c>
      <c r="B200" s="2">
        <v>0</v>
      </c>
      <c r="C200" s="2"/>
      <c r="D200" s="2" t="s">
        <v>305</v>
      </c>
      <c r="E200" s="2" t="s">
        <v>634</v>
      </c>
      <c r="F200" s="3">
        <v>45686</v>
      </c>
      <c r="G200" s="3">
        <v>45686</v>
      </c>
      <c r="H200" s="3">
        <v>45686</v>
      </c>
      <c r="I200" s="2"/>
      <c r="J200" s="2"/>
      <c r="K200" s="2" t="s">
        <v>25</v>
      </c>
      <c r="L200" s="2" t="s">
        <v>26</v>
      </c>
      <c r="M200" s="2"/>
      <c r="N200" s="2" t="s">
        <v>27</v>
      </c>
      <c r="O200" s="2">
        <v>423.73</v>
      </c>
      <c r="P200" s="2">
        <v>76.27</v>
      </c>
      <c r="Q200" s="2">
        <v>500</v>
      </c>
      <c r="R200" s="2">
        <v>500</v>
      </c>
      <c r="S200" s="2">
        <v>500</v>
      </c>
      <c r="T200" s="2" t="s">
        <v>28</v>
      </c>
      <c r="U200" s="2" t="b">
        <v>0</v>
      </c>
      <c r="V200" s="2" t="s">
        <v>29</v>
      </c>
      <c r="W200" s="2" t="s">
        <v>104</v>
      </c>
      <c r="X200" s="2" t="s">
        <v>105</v>
      </c>
      <c r="Y200" s="2" t="s">
        <v>665</v>
      </c>
      <c r="Z200" s="2" t="s">
        <v>31</v>
      </c>
      <c r="AA200" s="2"/>
      <c r="AB200" s="2"/>
      <c r="AC200" s="2"/>
      <c r="AD200" s="2"/>
      <c r="AK200" s="8">
        <f t="shared" si="4"/>
        <v>45686</v>
      </c>
    </row>
    <row r="201" spans="1:37" ht="15" customHeight="1">
      <c r="A201" s="2" t="s">
        <v>666</v>
      </c>
      <c r="B201" s="2">
        <v>0</v>
      </c>
      <c r="C201" s="2"/>
      <c r="D201" s="2" t="s">
        <v>305</v>
      </c>
      <c r="E201" s="2" t="s">
        <v>634</v>
      </c>
      <c r="F201" s="3">
        <v>45686</v>
      </c>
      <c r="G201" s="3">
        <v>45686</v>
      </c>
      <c r="H201" s="3">
        <v>45686</v>
      </c>
      <c r="I201" s="2"/>
      <c r="J201" s="2"/>
      <c r="K201" s="2" t="s">
        <v>25</v>
      </c>
      <c r="L201" s="2" t="s">
        <v>26</v>
      </c>
      <c r="M201" s="2"/>
      <c r="N201" s="2" t="s">
        <v>27</v>
      </c>
      <c r="O201" s="2">
        <v>526.1</v>
      </c>
      <c r="P201" s="2">
        <v>94.7</v>
      </c>
      <c r="Q201" s="2">
        <v>620.79999999999995</v>
      </c>
      <c r="R201" s="2">
        <v>620.79999999999995</v>
      </c>
      <c r="S201" s="2">
        <v>620.79999999999995</v>
      </c>
      <c r="T201" s="2" t="s">
        <v>28</v>
      </c>
      <c r="U201" s="2" t="b">
        <v>0</v>
      </c>
      <c r="V201" s="2" t="s">
        <v>29</v>
      </c>
      <c r="W201" s="2" t="s">
        <v>104</v>
      </c>
      <c r="X201" s="2" t="s">
        <v>105</v>
      </c>
      <c r="Y201" s="2" t="s">
        <v>667</v>
      </c>
      <c r="Z201" s="2" t="s">
        <v>31</v>
      </c>
      <c r="AA201" s="2"/>
      <c r="AB201" s="2"/>
      <c r="AC201" s="2"/>
      <c r="AD201" s="2"/>
      <c r="AK201" s="8">
        <f t="shared" si="4"/>
        <v>45686</v>
      </c>
    </row>
    <row r="202" spans="1:37" ht="15" customHeight="1">
      <c r="A202" s="2" t="s">
        <v>668</v>
      </c>
      <c r="B202" s="2">
        <v>0</v>
      </c>
      <c r="C202" s="2"/>
      <c r="D202" s="2" t="s">
        <v>305</v>
      </c>
      <c r="E202" s="2" t="s">
        <v>634</v>
      </c>
      <c r="F202" s="3">
        <v>45686</v>
      </c>
      <c r="G202" s="3">
        <v>45686</v>
      </c>
      <c r="H202" s="3">
        <v>45686</v>
      </c>
      <c r="I202" s="2"/>
      <c r="J202" s="2"/>
      <c r="K202" s="2" t="s">
        <v>25</v>
      </c>
      <c r="L202" s="2" t="s">
        <v>26</v>
      </c>
      <c r="M202" s="2"/>
      <c r="N202" s="2" t="s">
        <v>27</v>
      </c>
      <c r="O202" s="2">
        <v>304.83</v>
      </c>
      <c r="P202" s="2">
        <v>54.87</v>
      </c>
      <c r="Q202" s="2">
        <v>359.7</v>
      </c>
      <c r="R202" s="2">
        <v>359.7</v>
      </c>
      <c r="S202" s="2">
        <v>359.7</v>
      </c>
      <c r="T202" s="2" t="s">
        <v>28</v>
      </c>
      <c r="U202" s="2" t="b">
        <v>0</v>
      </c>
      <c r="V202" s="2" t="s">
        <v>29</v>
      </c>
      <c r="W202" s="2" t="s">
        <v>104</v>
      </c>
      <c r="X202" s="2" t="s">
        <v>105</v>
      </c>
      <c r="Y202" s="2" t="s">
        <v>669</v>
      </c>
      <c r="Z202" s="2" t="s">
        <v>31</v>
      </c>
      <c r="AA202" s="2"/>
      <c r="AB202" s="2"/>
      <c r="AC202" s="2"/>
      <c r="AD202" s="2"/>
      <c r="AK202" s="8">
        <f t="shared" si="4"/>
        <v>45686</v>
      </c>
    </row>
    <row r="203" spans="1:37" ht="15" customHeight="1">
      <c r="A203" s="2" t="s">
        <v>670</v>
      </c>
      <c r="B203" s="2">
        <v>0</v>
      </c>
      <c r="C203" s="2"/>
      <c r="D203" s="2" t="s">
        <v>305</v>
      </c>
      <c r="E203" s="2" t="s">
        <v>634</v>
      </c>
      <c r="F203" s="3">
        <v>45686</v>
      </c>
      <c r="G203" s="3">
        <v>45686</v>
      </c>
      <c r="H203" s="3">
        <v>45686</v>
      </c>
      <c r="I203" s="2"/>
      <c r="J203" s="2"/>
      <c r="K203" s="2" t="s">
        <v>25</v>
      </c>
      <c r="L203" s="2" t="s">
        <v>26</v>
      </c>
      <c r="M203" s="2"/>
      <c r="N203" s="2" t="s">
        <v>27</v>
      </c>
      <c r="O203" s="2">
        <v>423.73</v>
      </c>
      <c r="P203" s="2">
        <v>76.27</v>
      </c>
      <c r="Q203" s="2">
        <v>500</v>
      </c>
      <c r="R203" s="2">
        <v>500</v>
      </c>
      <c r="S203" s="2">
        <v>500</v>
      </c>
      <c r="T203" s="2" t="s">
        <v>28</v>
      </c>
      <c r="U203" s="2" t="b">
        <v>0</v>
      </c>
      <c r="V203" s="2" t="s">
        <v>29</v>
      </c>
      <c r="W203" s="2" t="s">
        <v>104</v>
      </c>
      <c r="X203" s="2" t="s">
        <v>105</v>
      </c>
      <c r="Y203" s="2" t="s">
        <v>671</v>
      </c>
      <c r="Z203" s="2" t="s">
        <v>31</v>
      </c>
      <c r="AA203" s="2"/>
      <c r="AB203" s="2"/>
      <c r="AC203" s="2"/>
      <c r="AD203" s="2"/>
      <c r="AK203" s="8">
        <f t="shared" si="4"/>
        <v>45686</v>
      </c>
    </row>
    <row r="204" spans="1:37" ht="15" customHeight="1">
      <c r="A204" s="2" t="s">
        <v>672</v>
      </c>
      <c r="B204" s="2">
        <v>0</v>
      </c>
      <c r="C204" s="2"/>
      <c r="D204" s="2" t="s">
        <v>305</v>
      </c>
      <c r="E204" s="2" t="s">
        <v>634</v>
      </c>
      <c r="F204" s="3">
        <v>45686</v>
      </c>
      <c r="G204" s="3">
        <v>45686</v>
      </c>
      <c r="H204" s="3">
        <v>45686</v>
      </c>
      <c r="I204" s="2"/>
      <c r="J204" s="2"/>
      <c r="K204" s="2" t="s">
        <v>25</v>
      </c>
      <c r="L204" s="2" t="s">
        <v>26</v>
      </c>
      <c r="M204" s="2"/>
      <c r="N204" s="2" t="s">
        <v>27</v>
      </c>
      <c r="O204" s="2">
        <v>10</v>
      </c>
      <c r="P204" s="2">
        <v>1.8</v>
      </c>
      <c r="Q204" s="2">
        <v>11.8</v>
      </c>
      <c r="R204" s="2">
        <v>11.8</v>
      </c>
      <c r="S204" s="2">
        <v>11.8</v>
      </c>
      <c r="T204" s="2" t="s">
        <v>28</v>
      </c>
      <c r="U204" s="2" t="b">
        <v>0</v>
      </c>
      <c r="V204" s="2" t="s">
        <v>29</v>
      </c>
      <c r="W204" s="2" t="s">
        <v>104</v>
      </c>
      <c r="X204" s="2" t="s">
        <v>105</v>
      </c>
      <c r="Y204" s="2" t="s">
        <v>673</v>
      </c>
      <c r="Z204" s="2" t="s">
        <v>31</v>
      </c>
      <c r="AA204" s="2"/>
      <c r="AB204" s="2"/>
      <c r="AC204" s="2"/>
      <c r="AD204" s="2"/>
      <c r="AK204" s="8">
        <f t="shared" si="4"/>
        <v>45686</v>
      </c>
    </row>
    <row r="205" spans="1:37" ht="15" customHeight="1">
      <c r="A205" s="2" t="s">
        <v>674</v>
      </c>
      <c r="B205" s="2">
        <v>0</v>
      </c>
      <c r="C205" s="2"/>
      <c r="D205" s="2" t="s">
        <v>305</v>
      </c>
      <c r="E205" s="2" t="s">
        <v>634</v>
      </c>
      <c r="F205" s="3">
        <v>45686</v>
      </c>
      <c r="G205" s="3">
        <v>45686</v>
      </c>
      <c r="H205" s="3">
        <v>45686</v>
      </c>
      <c r="I205" s="2"/>
      <c r="J205" s="2"/>
      <c r="K205" s="2" t="s">
        <v>25</v>
      </c>
      <c r="L205" s="2" t="s">
        <v>26</v>
      </c>
      <c r="M205" s="2"/>
      <c r="N205" s="2" t="s">
        <v>27</v>
      </c>
      <c r="O205" s="2">
        <v>300</v>
      </c>
      <c r="P205" s="2">
        <v>54</v>
      </c>
      <c r="Q205" s="2">
        <v>354</v>
      </c>
      <c r="R205" s="2">
        <v>354</v>
      </c>
      <c r="S205" s="2">
        <v>354</v>
      </c>
      <c r="T205" s="2" t="s">
        <v>28</v>
      </c>
      <c r="U205" s="2" t="b">
        <v>0</v>
      </c>
      <c r="V205" s="2" t="s">
        <v>29</v>
      </c>
      <c r="W205" s="2" t="s">
        <v>104</v>
      </c>
      <c r="X205" s="2" t="s">
        <v>105</v>
      </c>
      <c r="Y205" s="2" t="s">
        <v>675</v>
      </c>
      <c r="Z205" s="2" t="s">
        <v>31</v>
      </c>
      <c r="AA205" s="2"/>
      <c r="AB205" s="2"/>
      <c r="AC205" s="2"/>
      <c r="AD205" s="2"/>
      <c r="AK205" s="8">
        <f t="shared" si="4"/>
        <v>45686</v>
      </c>
    </row>
    <row r="206" spans="1:37" ht="15" customHeight="1">
      <c r="A206" s="2" t="s">
        <v>676</v>
      </c>
      <c r="B206" s="2">
        <v>0</v>
      </c>
      <c r="C206" s="2"/>
      <c r="D206" s="2" t="s">
        <v>305</v>
      </c>
      <c r="E206" s="2" t="s">
        <v>634</v>
      </c>
      <c r="F206" s="3">
        <v>45686</v>
      </c>
      <c r="G206" s="3">
        <v>45686</v>
      </c>
      <c r="H206" s="3">
        <v>45686</v>
      </c>
      <c r="I206" s="2"/>
      <c r="J206" s="2"/>
      <c r="K206" s="2" t="s">
        <v>25</v>
      </c>
      <c r="L206" s="2" t="s">
        <v>26</v>
      </c>
      <c r="M206" s="2"/>
      <c r="N206" s="2" t="s">
        <v>27</v>
      </c>
      <c r="O206" s="2">
        <v>3637.63</v>
      </c>
      <c r="P206" s="2">
        <v>654.77</v>
      </c>
      <c r="Q206" s="2">
        <v>4292.3999999999996</v>
      </c>
      <c r="R206" s="2">
        <v>4292.3999999999996</v>
      </c>
      <c r="S206" s="2">
        <v>4292.3999999999996</v>
      </c>
      <c r="T206" s="2" t="s">
        <v>28</v>
      </c>
      <c r="U206" s="2" t="b">
        <v>0</v>
      </c>
      <c r="V206" s="2" t="s">
        <v>29</v>
      </c>
      <c r="W206" s="2" t="s">
        <v>104</v>
      </c>
      <c r="X206" s="2" t="s">
        <v>105</v>
      </c>
      <c r="Y206" s="2" t="s">
        <v>677</v>
      </c>
      <c r="Z206" s="2" t="s">
        <v>31</v>
      </c>
      <c r="AA206" s="2"/>
      <c r="AB206" s="2"/>
      <c r="AC206" s="2"/>
      <c r="AD206" s="2"/>
      <c r="AK206" s="8">
        <f t="shared" si="4"/>
        <v>45686</v>
      </c>
    </row>
    <row r="207" spans="1:37" ht="15" customHeight="1">
      <c r="A207" s="2" t="s">
        <v>678</v>
      </c>
      <c r="B207" s="2">
        <v>0</v>
      </c>
      <c r="C207" s="2"/>
      <c r="D207" s="2" t="s">
        <v>305</v>
      </c>
      <c r="E207" s="2" t="s">
        <v>634</v>
      </c>
      <c r="F207" s="3">
        <v>45686</v>
      </c>
      <c r="G207" s="3">
        <v>45686</v>
      </c>
      <c r="H207" s="3">
        <v>45686</v>
      </c>
      <c r="I207" s="2"/>
      <c r="J207" s="2"/>
      <c r="K207" s="2" t="s">
        <v>25</v>
      </c>
      <c r="L207" s="2" t="s">
        <v>26</v>
      </c>
      <c r="M207" s="2"/>
      <c r="N207" s="2" t="s">
        <v>27</v>
      </c>
      <c r="O207" s="2">
        <v>2347.0300000000002</v>
      </c>
      <c r="P207" s="2">
        <v>422.47</v>
      </c>
      <c r="Q207" s="2">
        <v>2769.5</v>
      </c>
      <c r="R207" s="2">
        <v>2769.5</v>
      </c>
      <c r="S207" s="2">
        <v>2769.5</v>
      </c>
      <c r="T207" s="2" t="s">
        <v>28</v>
      </c>
      <c r="U207" s="2" t="b">
        <v>0</v>
      </c>
      <c r="V207" s="2" t="s">
        <v>29</v>
      </c>
      <c r="W207" s="2" t="s">
        <v>104</v>
      </c>
      <c r="X207" s="2" t="s">
        <v>105</v>
      </c>
      <c r="Y207" s="2" t="s">
        <v>679</v>
      </c>
      <c r="Z207" s="2" t="s">
        <v>31</v>
      </c>
      <c r="AA207" s="2"/>
      <c r="AB207" s="2"/>
      <c r="AC207" s="2"/>
      <c r="AD207" s="2"/>
      <c r="AK207" s="8">
        <f t="shared" si="4"/>
        <v>45686</v>
      </c>
    </row>
    <row r="208" spans="1:37" ht="15" customHeight="1">
      <c r="A208" s="2" t="s">
        <v>680</v>
      </c>
      <c r="B208" s="2">
        <v>0</v>
      </c>
      <c r="C208" s="2"/>
      <c r="D208" s="2" t="s">
        <v>272</v>
      </c>
      <c r="E208" s="2" t="s">
        <v>681</v>
      </c>
      <c r="F208" s="3">
        <v>45686</v>
      </c>
      <c r="G208" s="3">
        <v>45686</v>
      </c>
      <c r="H208" s="3">
        <v>45686</v>
      </c>
      <c r="I208" s="2"/>
      <c r="J208" s="2"/>
      <c r="K208" s="2" t="s">
        <v>25</v>
      </c>
      <c r="L208" s="2" t="s">
        <v>26</v>
      </c>
      <c r="M208" s="2"/>
      <c r="N208" s="2" t="s">
        <v>27</v>
      </c>
      <c r="O208" s="2">
        <v>483.73</v>
      </c>
      <c r="P208" s="2">
        <v>87.07</v>
      </c>
      <c r="Q208" s="2">
        <v>570.79999999999995</v>
      </c>
      <c r="R208" s="2">
        <v>570.79999999999995</v>
      </c>
      <c r="S208" s="2">
        <v>570.79999999999995</v>
      </c>
      <c r="T208" s="2" t="s">
        <v>28</v>
      </c>
      <c r="U208" s="2" t="b">
        <v>0</v>
      </c>
      <c r="V208" s="2" t="s">
        <v>29</v>
      </c>
      <c r="W208" s="2" t="s">
        <v>104</v>
      </c>
      <c r="X208" s="2" t="s">
        <v>105</v>
      </c>
      <c r="Y208" s="2" t="s">
        <v>682</v>
      </c>
      <c r="Z208" s="2" t="s">
        <v>31</v>
      </c>
      <c r="AA208" s="2"/>
      <c r="AB208" s="2"/>
      <c r="AC208" s="2"/>
      <c r="AD208" s="2"/>
      <c r="AK208" s="8">
        <f t="shared" si="4"/>
        <v>45686</v>
      </c>
    </row>
    <row r="209" spans="1:37" ht="15" customHeight="1">
      <c r="A209" s="2" t="s">
        <v>683</v>
      </c>
      <c r="B209" s="2">
        <v>0</v>
      </c>
      <c r="C209" s="2"/>
      <c r="D209" s="2" t="s">
        <v>272</v>
      </c>
      <c r="E209" s="2" t="s">
        <v>681</v>
      </c>
      <c r="F209" s="3">
        <v>45686</v>
      </c>
      <c r="G209" s="3">
        <v>45686</v>
      </c>
      <c r="H209" s="3">
        <v>45686</v>
      </c>
      <c r="I209" s="2"/>
      <c r="J209" s="2"/>
      <c r="K209" s="2" t="s">
        <v>25</v>
      </c>
      <c r="L209" s="2" t="s">
        <v>26</v>
      </c>
      <c r="M209" s="2"/>
      <c r="N209" s="2" t="s">
        <v>27</v>
      </c>
      <c r="O209" s="2">
        <v>3100</v>
      </c>
      <c r="P209" s="2">
        <v>558</v>
      </c>
      <c r="Q209" s="2">
        <v>3658</v>
      </c>
      <c r="R209" s="2">
        <v>3658</v>
      </c>
      <c r="S209" s="2">
        <v>3658</v>
      </c>
      <c r="T209" s="2" t="s">
        <v>28</v>
      </c>
      <c r="U209" s="2" t="b">
        <v>0</v>
      </c>
      <c r="V209" s="2" t="s">
        <v>29</v>
      </c>
      <c r="W209" s="2" t="s">
        <v>104</v>
      </c>
      <c r="X209" s="2" t="s">
        <v>105</v>
      </c>
      <c r="Y209" s="2" t="s">
        <v>684</v>
      </c>
      <c r="Z209" s="2" t="s">
        <v>31</v>
      </c>
      <c r="AA209" s="2"/>
      <c r="AB209" s="2"/>
      <c r="AC209" s="2"/>
      <c r="AD209" s="2"/>
      <c r="AK209" s="8">
        <f t="shared" si="4"/>
        <v>45686</v>
      </c>
    </row>
    <row r="210" spans="1:37" ht="15" customHeight="1">
      <c r="A210" s="2" t="s">
        <v>685</v>
      </c>
      <c r="B210" s="2">
        <v>0</v>
      </c>
      <c r="C210" s="2"/>
      <c r="D210" s="2" t="s">
        <v>272</v>
      </c>
      <c r="E210" s="2" t="s">
        <v>681</v>
      </c>
      <c r="F210" s="3">
        <v>45686</v>
      </c>
      <c r="G210" s="3">
        <v>45686</v>
      </c>
      <c r="H210" s="3">
        <v>45686</v>
      </c>
      <c r="I210" s="2"/>
      <c r="J210" s="2"/>
      <c r="K210" s="2" t="s">
        <v>25</v>
      </c>
      <c r="L210" s="2" t="s">
        <v>26</v>
      </c>
      <c r="M210" s="2"/>
      <c r="N210" s="2" t="s">
        <v>27</v>
      </c>
      <c r="O210" s="2">
        <v>5235.68</v>
      </c>
      <c r="P210" s="2">
        <v>942.42</v>
      </c>
      <c r="Q210" s="2">
        <v>6178.1</v>
      </c>
      <c r="R210" s="2">
        <v>6178.1</v>
      </c>
      <c r="S210" s="2">
        <v>6178.1</v>
      </c>
      <c r="T210" s="2" t="s">
        <v>28</v>
      </c>
      <c r="U210" s="2" t="b">
        <v>0</v>
      </c>
      <c r="V210" s="2" t="s">
        <v>29</v>
      </c>
      <c r="W210" s="2" t="s">
        <v>104</v>
      </c>
      <c r="X210" s="2" t="s">
        <v>105</v>
      </c>
      <c r="Y210" s="2" t="s">
        <v>686</v>
      </c>
      <c r="Z210" s="2" t="s">
        <v>31</v>
      </c>
      <c r="AA210" s="2"/>
      <c r="AB210" s="2"/>
      <c r="AC210" s="2"/>
      <c r="AD210" s="2"/>
      <c r="AK210" s="8">
        <f t="shared" si="4"/>
        <v>45686</v>
      </c>
    </row>
    <row r="211" spans="1:37" ht="15" customHeight="1">
      <c r="A211" s="2" t="s">
        <v>687</v>
      </c>
      <c r="B211" s="2">
        <v>0</v>
      </c>
      <c r="C211" s="2"/>
      <c r="D211" s="2" t="s">
        <v>272</v>
      </c>
      <c r="E211" s="2" t="s">
        <v>681</v>
      </c>
      <c r="F211" s="3">
        <v>45686</v>
      </c>
      <c r="G211" s="3">
        <v>45686</v>
      </c>
      <c r="H211" s="3">
        <v>45686</v>
      </c>
      <c r="I211" s="2"/>
      <c r="J211" s="2"/>
      <c r="K211" s="2" t="s">
        <v>25</v>
      </c>
      <c r="L211" s="2" t="s">
        <v>26</v>
      </c>
      <c r="M211" s="2"/>
      <c r="N211" s="2" t="s">
        <v>27</v>
      </c>
      <c r="O211" s="2">
        <v>4611.78</v>
      </c>
      <c r="P211" s="2">
        <v>830.12</v>
      </c>
      <c r="Q211" s="2">
        <v>5441.9</v>
      </c>
      <c r="R211" s="2">
        <v>5441.9</v>
      </c>
      <c r="S211" s="2">
        <v>5441.9</v>
      </c>
      <c r="T211" s="2" t="s">
        <v>28</v>
      </c>
      <c r="U211" s="2" t="b">
        <v>0</v>
      </c>
      <c r="V211" s="2" t="s">
        <v>29</v>
      </c>
      <c r="W211" s="2" t="s">
        <v>104</v>
      </c>
      <c r="X211" s="2" t="s">
        <v>105</v>
      </c>
      <c r="Y211" s="2" t="s">
        <v>688</v>
      </c>
      <c r="Z211" s="2" t="s">
        <v>31</v>
      </c>
      <c r="AA211" s="2"/>
      <c r="AB211" s="2"/>
      <c r="AC211" s="2"/>
      <c r="AD211" s="2"/>
      <c r="AK211" s="8">
        <f t="shared" si="4"/>
        <v>45686</v>
      </c>
    </row>
    <row r="212" spans="1:37" ht="15" customHeight="1">
      <c r="A212" s="2" t="s">
        <v>689</v>
      </c>
      <c r="B212" s="2">
        <v>0</v>
      </c>
      <c r="C212" s="2"/>
      <c r="D212" s="2" t="s">
        <v>305</v>
      </c>
      <c r="E212" s="2" t="s">
        <v>383</v>
      </c>
      <c r="F212" s="3">
        <v>45685</v>
      </c>
      <c r="G212" s="3">
        <v>45685</v>
      </c>
      <c r="H212" s="3">
        <v>45685</v>
      </c>
      <c r="I212" s="2"/>
      <c r="J212" s="2"/>
      <c r="K212" s="2" t="s">
        <v>25</v>
      </c>
      <c r="L212" s="2" t="s">
        <v>26</v>
      </c>
      <c r="M212" s="2"/>
      <c r="N212" s="2" t="s">
        <v>27</v>
      </c>
      <c r="O212" s="2">
        <v>2080</v>
      </c>
      <c r="P212" s="2">
        <v>374.4</v>
      </c>
      <c r="Q212" s="2">
        <v>2454.4</v>
      </c>
      <c r="R212" s="2">
        <v>2454.4</v>
      </c>
      <c r="S212" s="2">
        <v>2454.4</v>
      </c>
      <c r="T212" s="2" t="s">
        <v>28</v>
      </c>
      <c r="U212" s="2" t="b">
        <v>0</v>
      </c>
      <c r="V212" s="2" t="s">
        <v>29</v>
      </c>
      <c r="W212" s="2" t="s">
        <v>104</v>
      </c>
      <c r="X212" s="2" t="s">
        <v>105</v>
      </c>
      <c r="Y212" s="2" t="s">
        <v>690</v>
      </c>
      <c r="Z212" s="2" t="s">
        <v>31</v>
      </c>
      <c r="AA212" s="2"/>
      <c r="AB212" s="2"/>
      <c r="AC212" s="2"/>
      <c r="AD212" s="2"/>
      <c r="AK212" s="8">
        <f t="shared" si="4"/>
        <v>45685</v>
      </c>
    </row>
    <row r="213" spans="1:37" ht="15" customHeight="1">
      <c r="A213" s="2" t="s">
        <v>691</v>
      </c>
      <c r="B213" s="2">
        <v>0</v>
      </c>
      <c r="C213" s="2"/>
      <c r="D213" s="2" t="s">
        <v>305</v>
      </c>
      <c r="E213" s="2" t="s">
        <v>422</v>
      </c>
      <c r="F213" s="3">
        <v>45685</v>
      </c>
      <c r="G213" s="3">
        <v>45685</v>
      </c>
      <c r="H213" s="3">
        <v>45685</v>
      </c>
      <c r="I213" s="2"/>
      <c r="J213" s="2"/>
      <c r="K213" s="2" t="s">
        <v>25</v>
      </c>
      <c r="L213" s="2" t="s">
        <v>26</v>
      </c>
      <c r="M213" s="2"/>
      <c r="N213" s="2" t="s">
        <v>27</v>
      </c>
      <c r="O213" s="2">
        <v>5</v>
      </c>
      <c r="P213" s="2">
        <v>0.9</v>
      </c>
      <c r="Q213" s="2">
        <v>5.9</v>
      </c>
      <c r="R213" s="2">
        <v>5.9</v>
      </c>
      <c r="S213" s="2">
        <v>5.9</v>
      </c>
      <c r="T213" s="2" t="s">
        <v>28</v>
      </c>
      <c r="U213" s="2" t="b">
        <v>0</v>
      </c>
      <c r="V213" s="2" t="s">
        <v>29</v>
      </c>
      <c r="W213" s="2" t="s">
        <v>104</v>
      </c>
      <c r="X213" s="2" t="s">
        <v>105</v>
      </c>
      <c r="Y213" s="2" t="s">
        <v>692</v>
      </c>
      <c r="Z213" s="2" t="s">
        <v>31</v>
      </c>
      <c r="AA213" s="2"/>
      <c r="AB213" s="2"/>
      <c r="AC213" s="2"/>
      <c r="AD213" s="2"/>
      <c r="AK213" s="8">
        <f t="shared" si="4"/>
        <v>45685</v>
      </c>
    </row>
    <row r="214" spans="1:37" ht="15" customHeight="1">
      <c r="A214" s="2" t="s">
        <v>693</v>
      </c>
      <c r="B214" s="2">
        <v>0</v>
      </c>
      <c r="C214" s="2"/>
      <c r="D214" s="2" t="s">
        <v>305</v>
      </c>
      <c r="E214" s="2" t="s">
        <v>422</v>
      </c>
      <c r="F214" s="3">
        <v>45685</v>
      </c>
      <c r="G214" s="3">
        <v>45685</v>
      </c>
      <c r="H214" s="3">
        <v>45685</v>
      </c>
      <c r="I214" s="2"/>
      <c r="J214" s="2"/>
      <c r="K214" s="2" t="s">
        <v>25</v>
      </c>
      <c r="L214" s="2" t="s">
        <v>26</v>
      </c>
      <c r="M214" s="2"/>
      <c r="N214" s="2" t="s">
        <v>27</v>
      </c>
      <c r="O214" s="2">
        <v>1200</v>
      </c>
      <c r="P214" s="2">
        <v>216</v>
      </c>
      <c r="Q214" s="2">
        <v>1416</v>
      </c>
      <c r="R214" s="2">
        <v>1416</v>
      </c>
      <c r="S214" s="2">
        <v>1416</v>
      </c>
      <c r="T214" s="2" t="s">
        <v>28</v>
      </c>
      <c r="U214" s="2" t="b">
        <v>0</v>
      </c>
      <c r="V214" s="2" t="s">
        <v>29</v>
      </c>
      <c r="W214" s="2" t="s">
        <v>104</v>
      </c>
      <c r="X214" s="2" t="s">
        <v>105</v>
      </c>
      <c r="Y214" s="2" t="s">
        <v>694</v>
      </c>
      <c r="Z214" s="2" t="s">
        <v>31</v>
      </c>
      <c r="AA214" s="2"/>
      <c r="AB214" s="2"/>
      <c r="AC214" s="2"/>
      <c r="AD214" s="2"/>
      <c r="AK214" s="8">
        <f t="shared" si="4"/>
        <v>45685</v>
      </c>
    </row>
    <row r="215" spans="1:37" ht="15" customHeight="1">
      <c r="A215" s="2" t="s">
        <v>695</v>
      </c>
      <c r="B215" s="2">
        <v>0</v>
      </c>
      <c r="C215" s="2"/>
      <c r="D215" s="2" t="s">
        <v>305</v>
      </c>
      <c r="E215" s="2" t="s">
        <v>422</v>
      </c>
      <c r="F215" s="3">
        <v>45685</v>
      </c>
      <c r="G215" s="3">
        <v>45685</v>
      </c>
      <c r="H215" s="3">
        <v>45685</v>
      </c>
      <c r="I215" s="2"/>
      <c r="J215" s="2"/>
      <c r="K215" s="2" t="s">
        <v>25</v>
      </c>
      <c r="L215" s="2" t="s">
        <v>26</v>
      </c>
      <c r="M215" s="2"/>
      <c r="N215" s="2" t="s">
        <v>27</v>
      </c>
      <c r="O215" s="2">
        <v>872.71</v>
      </c>
      <c r="P215" s="2">
        <v>157.09</v>
      </c>
      <c r="Q215" s="2">
        <v>1029.8</v>
      </c>
      <c r="R215" s="2">
        <v>1029.8</v>
      </c>
      <c r="S215" s="2">
        <v>1029.8</v>
      </c>
      <c r="T215" s="2" t="s">
        <v>28</v>
      </c>
      <c r="U215" s="2" t="b">
        <v>0</v>
      </c>
      <c r="V215" s="2" t="s">
        <v>29</v>
      </c>
      <c r="W215" s="2" t="s">
        <v>104</v>
      </c>
      <c r="X215" s="2" t="s">
        <v>105</v>
      </c>
      <c r="Y215" s="2" t="s">
        <v>696</v>
      </c>
      <c r="Z215" s="2" t="s">
        <v>31</v>
      </c>
      <c r="AA215" s="2"/>
      <c r="AB215" s="2"/>
      <c r="AC215" s="2"/>
      <c r="AD215" s="2"/>
      <c r="AK215" s="8">
        <f t="shared" si="4"/>
        <v>45685</v>
      </c>
    </row>
    <row r="216" spans="1:37" ht="15" customHeight="1">
      <c r="A216" s="2" t="s">
        <v>697</v>
      </c>
      <c r="B216" s="2">
        <v>0</v>
      </c>
      <c r="C216" s="2"/>
      <c r="D216" s="2" t="s">
        <v>305</v>
      </c>
      <c r="E216" s="2" t="s">
        <v>422</v>
      </c>
      <c r="F216" s="3">
        <v>45685</v>
      </c>
      <c r="G216" s="3">
        <v>45685</v>
      </c>
      <c r="H216" s="3">
        <v>45685</v>
      </c>
      <c r="I216" s="2"/>
      <c r="J216" s="2"/>
      <c r="K216" s="2" t="s">
        <v>25</v>
      </c>
      <c r="L216" s="2" t="s">
        <v>26</v>
      </c>
      <c r="M216" s="2"/>
      <c r="N216" s="2" t="s">
        <v>27</v>
      </c>
      <c r="O216" s="2">
        <v>526.1</v>
      </c>
      <c r="P216" s="2">
        <v>94.7</v>
      </c>
      <c r="Q216" s="2">
        <v>620.79999999999995</v>
      </c>
      <c r="R216" s="2">
        <v>620.79999999999995</v>
      </c>
      <c r="S216" s="2">
        <v>620.79999999999995</v>
      </c>
      <c r="T216" s="2" t="s">
        <v>28</v>
      </c>
      <c r="U216" s="2" t="b">
        <v>0</v>
      </c>
      <c r="V216" s="2" t="s">
        <v>29</v>
      </c>
      <c r="W216" s="2" t="s">
        <v>104</v>
      </c>
      <c r="X216" s="2" t="s">
        <v>105</v>
      </c>
      <c r="Y216" s="2" t="s">
        <v>698</v>
      </c>
      <c r="Z216" s="2" t="s">
        <v>31</v>
      </c>
      <c r="AA216" s="2"/>
      <c r="AB216" s="2"/>
      <c r="AC216" s="2"/>
      <c r="AD216" s="2"/>
      <c r="AK216" s="8">
        <f t="shared" si="4"/>
        <v>45685</v>
      </c>
    </row>
    <row r="217" spans="1:37" ht="15" customHeight="1">
      <c r="A217" s="2" t="s">
        <v>699</v>
      </c>
      <c r="B217" s="2">
        <v>0</v>
      </c>
      <c r="C217" s="2"/>
      <c r="D217" s="2" t="s">
        <v>305</v>
      </c>
      <c r="E217" s="2" t="s">
        <v>431</v>
      </c>
      <c r="F217" s="3">
        <v>45685</v>
      </c>
      <c r="G217" s="3">
        <v>45685</v>
      </c>
      <c r="H217" s="3">
        <v>45685</v>
      </c>
      <c r="I217" s="2"/>
      <c r="J217" s="2"/>
      <c r="K217" s="2" t="s">
        <v>25</v>
      </c>
      <c r="L217" s="2" t="s">
        <v>26</v>
      </c>
      <c r="M217" s="2"/>
      <c r="N217" s="2" t="s">
        <v>27</v>
      </c>
      <c r="O217" s="2">
        <v>20</v>
      </c>
      <c r="P217" s="2">
        <v>3.6</v>
      </c>
      <c r="Q217" s="2">
        <v>23.6</v>
      </c>
      <c r="R217" s="2">
        <v>23.6</v>
      </c>
      <c r="S217" s="2">
        <v>23.6</v>
      </c>
      <c r="T217" s="2" t="s">
        <v>28</v>
      </c>
      <c r="U217" s="2" t="b">
        <v>0</v>
      </c>
      <c r="V217" s="2" t="s">
        <v>29</v>
      </c>
      <c r="W217" s="2" t="s">
        <v>104</v>
      </c>
      <c r="X217" s="2" t="s">
        <v>105</v>
      </c>
      <c r="Y217" s="2" t="s">
        <v>700</v>
      </c>
      <c r="Z217" s="2" t="s">
        <v>31</v>
      </c>
      <c r="AA217" s="2"/>
      <c r="AB217" s="2"/>
      <c r="AC217" s="2"/>
      <c r="AD217" s="2"/>
      <c r="AK217" s="8">
        <f t="shared" si="4"/>
        <v>45685</v>
      </c>
    </row>
    <row r="218" spans="1:37" ht="15" customHeight="1">
      <c r="A218" s="2" t="s">
        <v>701</v>
      </c>
      <c r="B218" s="2">
        <v>0</v>
      </c>
      <c r="C218" s="2"/>
      <c r="D218" s="2" t="s">
        <v>305</v>
      </c>
      <c r="E218" s="2" t="s">
        <v>431</v>
      </c>
      <c r="F218" s="3">
        <v>45685</v>
      </c>
      <c r="G218" s="3">
        <v>45685</v>
      </c>
      <c r="H218" s="3">
        <v>45685</v>
      </c>
      <c r="I218" s="2"/>
      <c r="J218" s="2"/>
      <c r="K218" s="2" t="s">
        <v>25</v>
      </c>
      <c r="L218" s="2" t="s">
        <v>26</v>
      </c>
      <c r="M218" s="2"/>
      <c r="N218" s="2" t="s">
        <v>27</v>
      </c>
      <c r="O218" s="2">
        <v>750</v>
      </c>
      <c r="P218" s="2">
        <v>135</v>
      </c>
      <c r="Q218" s="2">
        <v>885</v>
      </c>
      <c r="R218" s="2">
        <v>885</v>
      </c>
      <c r="S218" s="2">
        <v>885</v>
      </c>
      <c r="T218" s="2" t="s">
        <v>28</v>
      </c>
      <c r="U218" s="2" t="b">
        <v>0</v>
      </c>
      <c r="V218" s="2" t="s">
        <v>29</v>
      </c>
      <c r="W218" s="2" t="s">
        <v>104</v>
      </c>
      <c r="X218" s="2" t="s">
        <v>105</v>
      </c>
      <c r="Y218" s="2" t="s">
        <v>702</v>
      </c>
      <c r="Z218" s="2" t="s">
        <v>31</v>
      </c>
      <c r="AA218" s="2"/>
      <c r="AB218" s="2"/>
      <c r="AC218" s="2"/>
      <c r="AD218" s="2"/>
      <c r="AK218" s="8">
        <f t="shared" si="4"/>
        <v>45685</v>
      </c>
    </row>
    <row r="219" spans="1:37" ht="15" customHeight="1">
      <c r="A219" s="2" t="s">
        <v>703</v>
      </c>
      <c r="B219" s="2">
        <v>0</v>
      </c>
      <c r="C219" s="2"/>
      <c r="D219" s="2" t="s">
        <v>305</v>
      </c>
      <c r="E219" s="2" t="s">
        <v>431</v>
      </c>
      <c r="F219" s="3">
        <v>45685</v>
      </c>
      <c r="G219" s="3">
        <v>45685</v>
      </c>
      <c r="H219" s="3">
        <v>45685</v>
      </c>
      <c r="I219" s="2"/>
      <c r="J219" s="2"/>
      <c r="K219" s="2" t="s">
        <v>25</v>
      </c>
      <c r="L219" s="2" t="s">
        <v>26</v>
      </c>
      <c r="M219" s="2"/>
      <c r="N219" s="2" t="s">
        <v>27</v>
      </c>
      <c r="O219" s="2">
        <v>1575</v>
      </c>
      <c r="P219" s="2">
        <v>283.5</v>
      </c>
      <c r="Q219" s="2">
        <v>1858.5</v>
      </c>
      <c r="R219" s="2">
        <v>1858.5</v>
      </c>
      <c r="S219" s="2">
        <v>1858.5</v>
      </c>
      <c r="T219" s="2" t="s">
        <v>28</v>
      </c>
      <c r="U219" s="2" t="b">
        <v>0</v>
      </c>
      <c r="V219" s="2" t="s">
        <v>29</v>
      </c>
      <c r="W219" s="2" t="s">
        <v>104</v>
      </c>
      <c r="X219" s="2" t="s">
        <v>105</v>
      </c>
      <c r="Y219" s="2" t="s">
        <v>704</v>
      </c>
      <c r="Z219" s="2" t="s">
        <v>31</v>
      </c>
      <c r="AA219" s="2"/>
      <c r="AB219" s="2"/>
      <c r="AC219" s="2"/>
      <c r="AD219" s="2"/>
      <c r="AK219" s="8">
        <f t="shared" si="4"/>
        <v>45685</v>
      </c>
    </row>
    <row r="220" spans="1:37" ht="15" customHeight="1">
      <c r="A220" s="2" t="s">
        <v>705</v>
      </c>
      <c r="B220" s="2">
        <v>0</v>
      </c>
      <c r="C220" s="2"/>
      <c r="D220" s="2" t="s">
        <v>305</v>
      </c>
      <c r="E220" s="2" t="s">
        <v>431</v>
      </c>
      <c r="F220" s="3">
        <v>45685</v>
      </c>
      <c r="G220" s="3">
        <v>45685</v>
      </c>
      <c r="H220" s="3">
        <v>45685</v>
      </c>
      <c r="I220" s="2"/>
      <c r="J220" s="2"/>
      <c r="K220" s="2" t="s">
        <v>25</v>
      </c>
      <c r="L220" s="2" t="s">
        <v>26</v>
      </c>
      <c r="M220" s="2"/>
      <c r="N220" s="2" t="s">
        <v>27</v>
      </c>
      <c r="O220" s="2">
        <v>3585.68</v>
      </c>
      <c r="P220" s="2">
        <v>645.41999999999996</v>
      </c>
      <c r="Q220" s="2">
        <v>4231.1000000000004</v>
      </c>
      <c r="R220" s="2">
        <v>4231.1000000000004</v>
      </c>
      <c r="S220" s="2">
        <v>4231.1000000000004</v>
      </c>
      <c r="T220" s="2" t="s">
        <v>28</v>
      </c>
      <c r="U220" s="2" t="b">
        <v>0</v>
      </c>
      <c r="V220" s="2" t="s">
        <v>29</v>
      </c>
      <c r="W220" s="2" t="s">
        <v>104</v>
      </c>
      <c r="X220" s="2" t="s">
        <v>105</v>
      </c>
      <c r="Y220" s="2" t="s">
        <v>706</v>
      </c>
      <c r="Z220" s="2" t="s">
        <v>31</v>
      </c>
      <c r="AA220" s="2"/>
      <c r="AB220" s="2"/>
      <c r="AC220" s="2"/>
      <c r="AD220" s="2"/>
      <c r="AK220" s="8">
        <f t="shared" si="4"/>
        <v>45685</v>
      </c>
    </row>
    <row r="221" spans="1:37" ht="15" customHeight="1">
      <c r="A221" s="2" t="s">
        <v>707</v>
      </c>
      <c r="B221" s="2">
        <v>0</v>
      </c>
      <c r="C221" s="2"/>
      <c r="D221" s="2" t="s">
        <v>305</v>
      </c>
      <c r="E221" s="2" t="s">
        <v>431</v>
      </c>
      <c r="F221" s="3">
        <v>45685</v>
      </c>
      <c r="G221" s="3">
        <v>45685</v>
      </c>
      <c r="H221" s="3">
        <v>45685</v>
      </c>
      <c r="I221" s="2"/>
      <c r="J221" s="2"/>
      <c r="K221" s="2" t="s">
        <v>25</v>
      </c>
      <c r="L221" s="2" t="s">
        <v>26</v>
      </c>
      <c r="M221" s="2"/>
      <c r="N221" s="2" t="s">
        <v>27</v>
      </c>
      <c r="O221" s="2">
        <v>2103.31</v>
      </c>
      <c r="P221" s="2">
        <v>378.59</v>
      </c>
      <c r="Q221" s="2">
        <v>2481.9</v>
      </c>
      <c r="R221" s="2">
        <v>2481.9</v>
      </c>
      <c r="S221" s="2">
        <v>2481.9</v>
      </c>
      <c r="T221" s="2" t="s">
        <v>28</v>
      </c>
      <c r="U221" s="2" t="b">
        <v>0</v>
      </c>
      <c r="V221" s="2" t="s">
        <v>29</v>
      </c>
      <c r="W221" s="2" t="s">
        <v>104</v>
      </c>
      <c r="X221" s="2" t="s">
        <v>105</v>
      </c>
      <c r="Y221" s="2" t="s">
        <v>708</v>
      </c>
      <c r="Z221" s="2" t="s">
        <v>31</v>
      </c>
      <c r="AA221" s="2"/>
      <c r="AB221" s="2"/>
      <c r="AC221" s="2"/>
      <c r="AD221" s="2"/>
      <c r="AK221" s="8">
        <f t="shared" si="4"/>
        <v>45685</v>
      </c>
    </row>
    <row r="222" spans="1:37" ht="15" customHeight="1">
      <c r="A222" s="2" t="s">
        <v>709</v>
      </c>
      <c r="B222" s="2">
        <v>0</v>
      </c>
      <c r="C222" s="2"/>
      <c r="D222" s="2" t="s">
        <v>305</v>
      </c>
      <c r="E222" s="2" t="s">
        <v>492</v>
      </c>
      <c r="F222" s="3">
        <v>45685</v>
      </c>
      <c r="G222" s="3">
        <v>45685</v>
      </c>
      <c r="H222" s="3">
        <v>45685</v>
      </c>
      <c r="I222" s="2"/>
      <c r="J222" s="2"/>
      <c r="K222" s="2" t="s">
        <v>25</v>
      </c>
      <c r="L222" s="2" t="s">
        <v>26</v>
      </c>
      <c r="M222" s="2"/>
      <c r="N222" s="2" t="s">
        <v>27</v>
      </c>
      <c r="O222" s="2">
        <v>16.809999999999999</v>
      </c>
      <c r="P222" s="2">
        <v>3.03</v>
      </c>
      <c r="Q222" s="2">
        <v>19.84</v>
      </c>
      <c r="R222" s="2">
        <v>19.84</v>
      </c>
      <c r="S222" s="2">
        <v>19.84</v>
      </c>
      <c r="T222" s="2" t="s">
        <v>28</v>
      </c>
      <c r="U222" s="2" t="b">
        <v>0</v>
      </c>
      <c r="V222" s="2" t="s">
        <v>29</v>
      </c>
      <c r="W222" s="2" t="s">
        <v>104</v>
      </c>
      <c r="X222" s="2" t="s">
        <v>105</v>
      </c>
      <c r="Y222" s="2" t="s">
        <v>710</v>
      </c>
      <c r="Z222" s="2" t="s">
        <v>31</v>
      </c>
      <c r="AA222" s="2"/>
      <c r="AB222" s="2"/>
      <c r="AC222" s="2"/>
      <c r="AD222" s="2"/>
      <c r="AK222" s="8">
        <f t="shared" si="4"/>
        <v>45685</v>
      </c>
    </row>
    <row r="223" spans="1:37" ht="15" customHeight="1">
      <c r="A223" s="2" t="s">
        <v>711</v>
      </c>
      <c r="B223" s="2">
        <v>0</v>
      </c>
      <c r="C223" s="2"/>
      <c r="D223" s="2" t="s">
        <v>305</v>
      </c>
      <c r="E223" s="2" t="s">
        <v>492</v>
      </c>
      <c r="F223" s="3">
        <v>45685</v>
      </c>
      <c r="G223" s="3">
        <v>45685</v>
      </c>
      <c r="H223" s="3">
        <v>45685</v>
      </c>
      <c r="I223" s="2"/>
      <c r="J223" s="2"/>
      <c r="K223" s="2" t="s">
        <v>25</v>
      </c>
      <c r="L223" s="2" t="s">
        <v>26</v>
      </c>
      <c r="M223" s="2"/>
      <c r="N223" s="2" t="s">
        <v>27</v>
      </c>
      <c r="O223" s="2">
        <v>16</v>
      </c>
      <c r="P223" s="2">
        <v>2.88</v>
      </c>
      <c r="Q223" s="2">
        <v>18.88</v>
      </c>
      <c r="R223" s="2">
        <v>18.88</v>
      </c>
      <c r="S223" s="2">
        <v>18.88</v>
      </c>
      <c r="T223" s="2" t="s">
        <v>28</v>
      </c>
      <c r="U223" s="2" t="b">
        <v>0</v>
      </c>
      <c r="V223" s="2" t="s">
        <v>29</v>
      </c>
      <c r="W223" s="2" t="s">
        <v>104</v>
      </c>
      <c r="X223" s="2" t="s">
        <v>105</v>
      </c>
      <c r="Y223" s="2" t="s">
        <v>712</v>
      </c>
      <c r="Z223" s="2" t="s">
        <v>31</v>
      </c>
      <c r="AA223" s="2"/>
      <c r="AB223" s="2"/>
      <c r="AC223" s="2"/>
      <c r="AD223" s="2"/>
      <c r="AK223" s="8">
        <f t="shared" si="4"/>
        <v>45685</v>
      </c>
    </row>
    <row r="224" spans="1:37" ht="15" customHeight="1">
      <c r="A224" s="2" t="s">
        <v>713</v>
      </c>
      <c r="B224" s="2">
        <v>0</v>
      </c>
      <c r="C224" s="2"/>
      <c r="D224" s="2" t="s">
        <v>305</v>
      </c>
      <c r="E224" s="2" t="s">
        <v>497</v>
      </c>
      <c r="F224" s="3">
        <v>45685</v>
      </c>
      <c r="G224" s="3">
        <v>45685</v>
      </c>
      <c r="H224" s="3">
        <v>45685</v>
      </c>
      <c r="I224" s="2"/>
      <c r="J224" s="2"/>
      <c r="K224" s="2" t="s">
        <v>25</v>
      </c>
      <c r="L224" s="2" t="s">
        <v>26</v>
      </c>
      <c r="M224" s="2"/>
      <c r="N224" s="2" t="s">
        <v>27</v>
      </c>
      <c r="O224" s="2">
        <v>11.44</v>
      </c>
      <c r="P224" s="2">
        <v>2.06</v>
      </c>
      <c r="Q224" s="2">
        <v>13.5</v>
      </c>
      <c r="R224" s="2">
        <v>13.5</v>
      </c>
      <c r="S224" s="2">
        <v>13.5</v>
      </c>
      <c r="T224" s="2" t="s">
        <v>28</v>
      </c>
      <c r="U224" s="2" t="b">
        <v>0</v>
      </c>
      <c r="V224" s="2" t="s">
        <v>29</v>
      </c>
      <c r="W224" s="2" t="s">
        <v>104</v>
      </c>
      <c r="X224" s="2" t="s">
        <v>105</v>
      </c>
      <c r="Y224" s="2" t="s">
        <v>714</v>
      </c>
      <c r="Z224" s="2" t="s">
        <v>31</v>
      </c>
      <c r="AA224" s="2"/>
      <c r="AB224" s="2"/>
      <c r="AC224" s="2"/>
      <c r="AD224" s="2"/>
      <c r="AK224" s="8">
        <f t="shared" si="4"/>
        <v>45685</v>
      </c>
    </row>
    <row r="225" spans="1:37" ht="15" customHeight="1">
      <c r="A225" s="2" t="s">
        <v>715</v>
      </c>
      <c r="B225" s="2">
        <v>0</v>
      </c>
      <c r="C225" s="2"/>
      <c r="D225" s="2" t="s">
        <v>305</v>
      </c>
      <c r="E225" s="2" t="s">
        <v>497</v>
      </c>
      <c r="F225" s="3">
        <v>45685</v>
      </c>
      <c r="G225" s="3">
        <v>45685</v>
      </c>
      <c r="H225" s="3">
        <v>45685</v>
      </c>
      <c r="I225" s="2"/>
      <c r="J225" s="2"/>
      <c r="K225" s="2" t="s">
        <v>25</v>
      </c>
      <c r="L225" s="2" t="s">
        <v>26</v>
      </c>
      <c r="M225" s="2"/>
      <c r="N225" s="2" t="s">
        <v>27</v>
      </c>
      <c r="O225" s="2">
        <v>6.36</v>
      </c>
      <c r="P225" s="2">
        <v>1.1399999999999999</v>
      </c>
      <c r="Q225" s="2">
        <v>7.5</v>
      </c>
      <c r="R225" s="2">
        <v>7.5</v>
      </c>
      <c r="S225" s="2">
        <v>7.5</v>
      </c>
      <c r="T225" s="2" t="s">
        <v>28</v>
      </c>
      <c r="U225" s="2" t="b">
        <v>0</v>
      </c>
      <c r="V225" s="2" t="s">
        <v>29</v>
      </c>
      <c r="W225" s="2" t="s">
        <v>104</v>
      </c>
      <c r="X225" s="2" t="s">
        <v>105</v>
      </c>
      <c r="Y225" s="2" t="s">
        <v>716</v>
      </c>
      <c r="Z225" s="2" t="s">
        <v>31</v>
      </c>
      <c r="AA225" s="2"/>
      <c r="AB225" s="2"/>
      <c r="AC225" s="2"/>
      <c r="AD225" s="2"/>
      <c r="AK225" s="8">
        <f t="shared" si="4"/>
        <v>45685</v>
      </c>
    </row>
    <row r="226" spans="1:37" ht="15" customHeight="1">
      <c r="A226" s="2" t="s">
        <v>717</v>
      </c>
      <c r="B226" s="2">
        <v>0</v>
      </c>
      <c r="C226" s="2"/>
      <c r="D226" s="2" t="s">
        <v>305</v>
      </c>
      <c r="E226" s="2" t="s">
        <v>469</v>
      </c>
      <c r="F226" s="3">
        <v>45685</v>
      </c>
      <c r="G226" s="3">
        <v>45685</v>
      </c>
      <c r="H226" s="3">
        <v>45685</v>
      </c>
      <c r="I226" s="2"/>
      <c r="J226" s="2"/>
      <c r="K226" s="2" t="s">
        <v>25</v>
      </c>
      <c r="L226" s="2" t="s">
        <v>26</v>
      </c>
      <c r="M226" s="2"/>
      <c r="N226" s="2" t="s">
        <v>27</v>
      </c>
      <c r="O226" s="2">
        <v>41.1</v>
      </c>
      <c r="P226" s="2">
        <v>7.4</v>
      </c>
      <c r="Q226" s="2">
        <v>48.5</v>
      </c>
      <c r="R226" s="2">
        <v>48.5</v>
      </c>
      <c r="S226" s="2">
        <v>48.5</v>
      </c>
      <c r="T226" s="2" t="s">
        <v>28</v>
      </c>
      <c r="U226" s="2" t="b">
        <v>0</v>
      </c>
      <c r="V226" s="2" t="s">
        <v>29</v>
      </c>
      <c r="W226" s="2" t="s">
        <v>104</v>
      </c>
      <c r="X226" s="2" t="s">
        <v>105</v>
      </c>
      <c r="Y226" s="2" t="s">
        <v>718</v>
      </c>
      <c r="Z226" s="2" t="s">
        <v>31</v>
      </c>
      <c r="AA226" s="2"/>
      <c r="AB226" s="2"/>
      <c r="AC226" s="2"/>
      <c r="AD226" s="2"/>
      <c r="AK226" s="8">
        <f t="shared" si="4"/>
        <v>45685</v>
      </c>
    </row>
    <row r="227" spans="1:37" ht="15" customHeight="1">
      <c r="A227" s="2" t="s">
        <v>719</v>
      </c>
      <c r="B227" s="2">
        <v>0</v>
      </c>
      <c r="C227" s="2"/>
      <c r="D227" s="2" t="s">
        <v>305</v>
      </c>
      <c r="E227" s="2" t="s">
        <v>469</v>
      </c>
      <c r="F227" s="3">
        <v>45685</v>
      </c>
      <c r="G227" s="3">
        <v>45685</v>
      </c>
      <c r="H227" s="3">
        <v>45685</v>
      </c>
      <c r="I227" s="2"/>
      <c r="J227" s="2"/>
      <c r="K227" s="2" t="s">
        <v>25</v>
      </c>
      <c r="L227" s="2" t="s">
        <v>26</v>
      </c>
      <c r="M227" s="2"/>
      <c r="N227" s="2" t="s">
        <v>27</v>
      </c>
      <c r="O227" s="2">
        <v>27.46</v>
      </c>
      <c r="P227" s="2">
        <v>4.9400000000000004</v>
      </c>
      <c r="Q227" s="2">
        <v>32.4</v>
      </c>
      <c r="R227" s="2">
        <v>32.4</v>
      </c>
      <c r="S227" s="2">
        <v>32.4</v>
      </c>
      <c r="T227" s="2" t="s">
        <v>28</v>
      </c>
      <c r="U227" s="2" t="b">
        <v>0</v>
      </c>
      <c r="V227" s="2" t="s">
        <v>29</v>
      </c>
      <c r="W227" s="2" t="s">
        <v>104</v>
      </c>
      <c r="X227" s="2" t="s">
        <v>105</v>
      </c>
      <c r="Y227" s="2" t="s">
        <v>720</v>
      </c>
      <c r="Z227" s="2" t="s">
        <v>31</v>
      </c>
      <c r="AA227" s="2"/>
      <c r="AB227" s="2"/>
      <c r="AC227" s="2"/>
      <c r="AD227" s="2"/>
      <c r="AK227" s="8">
        <f t="shared" si="4"/>
        <v>45685</v>
      </c>
    </row>
    <row r="228" spans="1:37" ht="15" customHeight="1">
      <c r="A228" s="2" t="s">
        <v>721</v>
      </c>
      <c r="B228" s="2">
        <v>0</v>
      </c>
      <c r="C228" s="2"/>
      <c r="D228" s="2" t="s">
        <v>305</v>
      </c>
      <c r="E228" s="2" t="s">
        <v>722</v>
      </c>
      <c r="F228" s="3">
        <v>45685</v>
      </c>
      <c r="G228" s="3">
        <v>45685</v>
      </c>
      <c r="H228" s="3">
        <v>45685</v>
      </c>
      <c r="I228" s="2"/>
      <c r="J228" s="2"/>
      <c r="K228" s="2" t="s">
        <v>25</v>
      </c>
      <c r="L228" s="2" t="s">
        <v>26</v>
      </c>
      <c r="M228" s="2"/>
      <c r="N228" s="2" t="s">
        <v>27</v>
      </c>
      <c r="O228" s="2">
        <v>274.92</v>
      </c>
      <c r="P228" s="2">
        <v>49.48</v>
      </c>
      <c r="Q228" s="2">
        <v>324.39999999999998</v>
      </c>
      <c r="R228" s="2">
        <v>324.39999999999998</v>
      </c>
      <c r="S228" s="2">
        <v>324.39999999999998</v>
      </c>
      <c r="T228" s="2" t="s">
        <v>28</v>
      </c>
      <c r="U228" s="2" t="b">
        <v>0</v>
      </c>
      <c r="V228" s="2" t="s">
        <v>29</v>
      </c>
      <c r="W228" s="2" t="s">
        <v>104</v>
      </c>
      <c r="X228" s="2" t="s">
        <v>105</v>
      </c>
      <c r="Y228" s="2" t="s">
        <v>723</v>
      </c>
      <c r="Z228" s="2" t="s">
        <v>31</v>
      </c>
      <c r="AA228" s="2"/>
      <c r="AB228" s="2"/>
      <c r="AC228" s="2"/>
      <c r="AD228" s="2"/>
      <c r="AK228" s="8">
        <f t="shared" si="4"/>
        <v>45685</v>
      </c>
    </row>
    <row r="229" spans="1:37" ht="15" customHeight="1">
      <c r="A229" s="2" t="s">
        <v>724</v>
      </c>
      <c r="B229" s="2">
        <v>0</v>
      </c>
      <c r="C229" s="2"/>
      <c r="D229" s="2" t="s">
        <v>305</v>
      </c>
      <c r="E229" s="2" t="s">
        <v>722</v>
      </c>
      <c r="F229" s="3">
        <v>45685</v>
      </c>
      <c r="G229" s="3">
        <v>45685</v>
      </c>
      <c r="H229" s="3">
        <v>45685</v>
      </c>
      <c r="I229" s="2"/>
      <c r="J229" s="2"/>
      <c r="K229" s="2" t="s">
        <v>25</v>
      </c>
      <c r="L229" s="2" t="s">
        <v>26</v>
      </c>
      <c r="M229" s="2"/>
      <c r="N229" s="2" t="s">
        <v>27</v>
      </c>
      <c r="O229" s="2">
        <v>159.29</v>
      </c>
      <c r="P229" s="2">
        <v>28.67</v>
      </c>
      <c r="Q229" s="2">
        <v>187.96</v>
      </c>
      <c r="R229" s="2">
        <v>187.96</v>
      </c>
      <c r="S229" s="2">
        <v>187.96</v>
      </c>
      <c r="T229" s="2" t="s">
        <v>28</v>
      </c>
      <c r="U229" s="2" t="b">
        <v>0</v>
      </c>
      <c r="V229" s="2" t="s">
        <v>29</v>
      </c>
      <c r="W229" s="2" t="s">
        <v>104</v>
      </c>
      <c r="X229" s="2" t="s">
        <v>105</v>
      </c>
      <c r="Y229" s="2" t="s">
        <v>725</v>
      </c>
      <c r="Z229" s="2" t="s">
        <v>31</v>
      </c>
      <c r="AA229" s="2"/>
      <c r="AB229" s="2"/>
      <c r="AC229" s="2"/>
      <c r="AD229" s="2"/>
      <c r="AK229" s="8">
        <f t="shared" si="4"/>
        <v>45685</v>
      </c>
    </row>
    <row r="230" spans="1:37" ht="15" customHeight="1">
      <c r="A230" s="2" t="s">
        <v>726</v>
      </c>
      <c r="B230" s="2">
        <v>0</v>
      </c>
      <c r="C230" s="2"/>
      <c r="D230" s="2" t="s">
        <v>305</v>
      </c>
      <c r="E230" s="2" t="s">
        <v>727</v>
      </c>
      <c r="F230" s="3">
        <v>45685</v>
      </c>
      <c r="G230" s="3">
        <v>45685</v>
      </c>
      <c r="H230" s="3">
        <v>45685</v>
      </c>
      <c r="I230" s="2"/>
      <c r="J230" s="2"/>
      <c r="K230" s="2" t="s">
        <v>25</v>
      </c>
      <c r="L230" s="2" t="s">
        <v>26</v>
      </c>
      <c r="M230" s="2"/>
      <c r="N230" s="2" t="s">
        <v>27</v>
      </c>
      <c r="O230" s="2">
        <v>967.12</v>
      </c>
      <c r="P230" s="2">
        <v>174.08</v>
      </c>
      <c r="Q230" s="2">
        <v>1141.2</v>
      </c>
      <c r="R230" s="2">
        <v>1141.2</v>
      </c>
      <c r="S230" s="2">
        <v>1141.2</v>
      </c>
      <c r="T230" s="2" t="s">
        <v>28</v>
      </c>
      <c r="U230" s="2" t="b">
        <v>0</v>
      </c>
      <c r="V230" s="2" t="s">
        <v>29</v>
      </c>
      <c r="W230" s="2" t="s">
        <v>104</v>
      </c>
      <c r="X230" s="2" t="s">
        <v>105</v>
      </c>
      <c r="Y230" s="2" t="s">
        <v>728</v>
      </c>
      <c r="Z230" s="2" t="s">
        <v>31</v>
      </c>
      <c r="AA230" s="2"/>
      <c r="AB230" s="2"/>
      <c r="AC230" s="2"/>
      <c r="AD230" s="2"/>
      <c r="AK230" s="8">
        <f t="shared" si="4"/>
        <v>45685</v>
      </c>
    </row>
    <row r="231" spans="1:37" ht="15" customHeight="1">
      <c r="A231" s="2" t="s">
        <v>729</v>
      </c>
      <c r="B231" s="2">
        <v>0</v>
      </c>
      <c r="C231" s="2"/>
      <c r="D231" s="2" t="s">
        <v>305</v>
      </c>
      <c r="E231" s="2" t="s">
        <v>727</v>
      </c>
      <c r="F231" s="3">
        <v>45685</v>
      </c>
      <c r="G231" s="3">
        <v>45685</v>
      </c>
      <c r="H231" s="3">
        <v>45685</v>
      </c>
      <c r="I231" s="2"/>
      <c r="J231" s="2"/>
      <c r="K231" s="2" t="s">
        <v>25</v>
      </c>
      <c r="L231" s="2" t="s">
        <v>26</v>
      </c>
      <c r="M231" s="2"/>
      <c r="N231" s="2" t="s">
        <v>27</v>
      </c>
      <c r="O231" s="2">
        <v>777.2</v>
      </c>
      <c r="P231" s="2">
        <v>139.9</v>
      </c>
      <c r="Q231" s="2">
        <v>917.1</v>
      </c>
      <c r="R231" s="2">
        <v>917.1</v>
      </c>
      <c r="S231" s="2">
        <v>917.1</v>
      </c>
      <c r="T231" s="2" t="s">
        <v>28</v>
      </c>
      <c r="U231" s="2" t="b">
        <v>0</v>
      </c>
      <c r="V231" s="2" t="s">
        <v>29</v>
      </c>
      <c r="W231" s="2" t="s">
        <v>104</v>
      </c>
      <c r="X231" s="2" t="s">
        <v>105</v>
      </c>
      <c r="Y231" s="2" t="s">
        <v>730</v>
      </c>
      <c r="Z231" s="2" t="s">
        <v>31</v>
      </c>
      <c r="AA231" s="2"/>
      <c r="AB231" s="2"/>
      <c r="AC231" s="2"/>
      <c r="AD231" s="2"/>
      <c r="AK231" s="8">
        <f t="shared" si="4"/>
        <v>45685</v>
      </c>
    </row>
    <row r="232" spans="1:37" ht="15" customHeight="1">
      <c r="A232" s="2" t="s">
        <v>731</v>
      </c>
      <c r="B232" s="2">
        <v>0</v>
      </c>
      <c r="C232" s="2"/>
      <c r="D232" s="2" t="s">
        <v>305</v>
      </c>
      <c r="E232" s="2" t="s">
        <v>732</v>
      </c>
      <c r="F232" s="3">
        <v>45685</v>
      </c>
      <c r="G232" s="3">
        <v>45685</v>
      </c>
      <c r="H232" s="3">
        <v>45685</v>
      </c>
      <c r="I232" s="2"/>
      <c r="J232" s="2"/>
      <c r="K232" s="2" t="s">
        <v>25</v>
      </c>
      <c r="L232" s="2" t="s">
        <v>26</v>
      </c>
      <c r="M232" s="2"/>
      <c r="N232" s="2" t="s">
        <v>27</v>
      </c>
      <c r="O232" s="2">
        <v>2</v>
      </c>
      <c r="P232" s="2">
        <v>0.36</v>
      </c>
      <c r="Q232" s="2">
        <v>2.36</v>
      </c>
      <c r="R232" s="2">
        <v>2.36</v>
      </c>
      <c r="S232" s="2">
        <v>2.36</v>
      </c>
      <c r="T232" s="2" t="s">
        <v>28</v>
      </c>
      <c r="U232" s="2" t="b">
        <v>0</v>
      </c>
      <c r="V232" s="2" t="s">
        <v>29</v>
      </c>
      <c r="W232" s="2" t="s">
        <v>104</v>
      </c>
      <c r="X232" s="2" t="s">
        <v>105</v>
      </c>
      <c r="Y232" s="2" t="s">
        <v>733</v>
      </c>
      <c r="Z232" s="2" t="s">
        <v>31</v>
      </c>
      <c r="AA232" s="2"/>
      <c r="AB232" s="2"/>
      <c r="AC232" s="2"/>
      <c r="AD232" s="2"/>
      <c r="AK232" s="8">
        <f t="shared" si="4"/>
        <v>45685</v>
      </c>
    </row>
    <row r="233" spans="1:37" ht="15" customHeight="1">
      <c r="A233" s="2" t="s">
        <v>734</v>
      </c>
      <c r="B233" s="2">
        <v>0</v>
      </c>
      <c r="C233" s="2"/>
      <c r="D233" s="2" t="s">
        <v>305</v>
      </c>
      <c r="E233" s="2" t="s">
        <v>732</v>
      </c>
      <c r="F233" s="3">
        <v>45685</v>
      </c>
      <c r="G233" s="3">
        <v>45685</v>
      </c>
      <c r="H233" s="3">
        <v>45685</v>
      </c>
      <c r="I233" s="2"/>
      <c r="J233" s="2"/>
      <c r="K233" s="2" t="s">
        <v>25</v>
      </c>
      <c r="L233" s="2" t="s">
        <v>26</v>
      </c>
      <c r="M233" s="2"/>
      <c r="N233" s="2" t="s">
        <v>27</v>
      </c>
      <c r="O233" s="2">
        <v>276.52999999999997</v>
      </c>
      <c r="P233" s="2">
        <v>49.77</v>
      </c>
      <c r="Q233" s="2">
        <v>326.3</v>
      </c>
      <c r="R233" s="2">
        <v>326.3</v>
      </c>
      <c r="S233" s="2">
        <v>326.3</v>
      </c>
      <c r="T233" s="2" t="s">
        <v>28</v>
      </c>
      <c r="U233" s="2" t="b">
        <v>0</v>
      </c>
      <c r="V233" s="2" t="s">
        <v>29</v>
      </c>
      <c r="W233" s="2" t="s">
        <v>104</v>
      </c>
      <c r="X233" s="2" t="s">
        <v>105</v>
      </c>
      <c r="Y233" s="2" t="s">
        <v>735</v>
      </c>
      <c r="Z233" s="2" t="s">
        <v>31</v>
      </c>
      <c r="AA233" s="2"/>
      <c r="AB233" s="2"/>
      <c r="AC233" s="2"/>
      <c r="AD233" s="2"/>
      <c r="AK233" s="8">
        <f t="shared" si="4"/>
        <v>45685</v>
      </c>
    </row>
    <row r="234" spans="1:37" ht="15" customHeight="1">
      <c r="A234" s="2" t="s">
        <v>736</v>
      </c>
      <c r="B234" s="2">
        <v>0</v>
      </c>
      <c r="C234" s="2"/>
      <c r="D234" s="2" t="s">
        <v>305</v>
      </c>
      <c r="E234" s="2" t="s">
        <v>732</v>
      </c>
      <c r="F234" s="3">
        <v>45685</v>
      </c>
      <c r="G234" s="3">
        <v>45685</v>
      </c>
      <c r="H234" s="3">
        <v>45685</v>
      </c>
      <c r="I234" s="2"/>
      <c r="J234" s="2"/>
      <c r="K234" s="2" t="s">
        <v>25</v>
      </c>
      <c r="L234" s="2" t="s">
        <v>26</v>
      </c>
      <c r="M234" s="2"/>
      <c r="N234" s="2" t="s">
        <v>27</v>
      </c>
      <c r="O234" s="2">
        <v>177.63</v>
      </c>
      <c r="P234" s="2">
        <v>31.97</v>
      </c>
      <c r="Q234" s="2">
        <v>209.6</v>
      </c>
      <c r="R234" s="2">
        <v>209.6</v>
      </c>
      <c r="S234" s="2">
        <v>209.6</v>
      </c>
      <c r="T234" s="2" t="s">
        <v>28</v>
      </c>
      <c r="U234" s="2" t="b">
        <v>0</v>
      </c>
      <c r="V234" s="2" t="s">
        <v>29</v>
      </c>
      <c r="W234" s="2" t="s">
        <v>104</v>
      </c>
      <c r="X234" s="2" t="s">
        <v>105</v>
      </c>
      <c r="Y234" s="2" t="s">
        <v>737</v>
      </c>
      <c r="Z234" s="2" t="s">
        <v>31</v>
      </c>
      <c r="AA234" s="2"/>
      <c r="AB234" s="2"/>
      <c r="AC234" s="2"/>
      <c r="AD234" s="2"/>
      <c r="AK234" s="8">
        <f t="shared" si="4"/>
        <v>45685</v>
      </c>
    </row>
    <row r="235" spans="1:37" ht="15" customHeight="1">
      <c r="A235" s="2" t="s">
        <v>738</v>
      </c>
      <c r="B235" s="2">
        <v>0</v>
      </c>
      <c r="C235" s="2"/>
      <c r="D235" s="2" t="s">
        <v>272</v>
      </c>
      <c r="E235" s="2" t="s">
        <v>739</v>
      </c>
      <c r="F235" s="3">
        <v>45685</v>
      </c>
      <c r="G235" s="3">
        <v>45685</v>
      </c>
      <c r="H235" s="3">
        <v>45685</v>
      </c>
      <c r="I235" s="2"/>
      <c r="J235" s="2"/>
      <c r="K235" s="2" t="s">
        <v>25</v>
      </c>
      <c r="L235" s="2" t="s">
        <v>26</v>
      </c>
      <c r="M235" s="2"/>
      <c r="N235" s="2" t="s">
        <v>27</v>
      </c>
      <c r="O235" s="2">
        <v>34.32</v>
      </c>
      <c r="P235" s="2">
        <v>6.18</v>
      </c>
      <c r="Q235" s="2">
        <v>40.5</v>
      </c>
      <c r="R235" s="2">
        <v>40.5</v>
      </c>
      <c r="S235" s="2">
        <v>40.5</v>
      </c>
      <c r="T235" s="2" t="s">
        <v>28</v>
      </c>
      <c r="U235" s="2" t="b">
        <v>0</v>
      </c>
      <c r="V235" s="2" t="s">
        <v>29</v>
      </c>
      <c r="W235" s="2" t="s">
        <v>104</v>
      </c>
      <c r="X235" s="2" t="s">
        <v>105</v>
      </c>
      <c r="Y235" s="2" t="s">
        <v>740</v>
      </c>
      <c r="Z235" s="2" t="s">
        <v>31</v>
      </c>
      <c r="AA235" s="2"/>
      <c r="AB235" s="2"/>
      <c r="AC235" s="2"/>
      <c r="AD235" s="2"/>
      <c r="AK235" s="8">
        <f t="shared" si="4"/>
        <v>45685</v>
      </c>
    </row>
    <row r="236" spans="1:37" ht="15" customHeight="1">
      <c r="A236" s="2" t="s">
        <v>741</v>
      </c>
      <c r="B236" s="2">
        <v>0</v>
      </c>
      <c r="C236" s="2"/>
      <c r="D236" s="2" t="s">
        <v>272</v>
      </c>
      <c r="E236" s="2" t="s">
        <v>739</v>
      </c>
      <c r="F236" s="3">
        <v>45685</v>
      </c>
      <c r="G236" s="3">
        <v>45685</v>
      </c>
      <c r="H236" s="3">
        <v>45685</v>
      </c>
      <c r="I236" s="2"/>
      <c r="J236" s="2"/>
      <c r="K236" s="2" t="s">
        <v>25</v>
      </c>
      <c r="L236" s="2" t="s">
        <v>26</v>
      </c>
      <c r="M236" s="2"/>
      <c r="N236" s="2" t="s">
        <v>27</v>
      </c>
      <c r="O236" s="2">
        <v>19.07</v>
      </c>
      <c r="P236" s="2">
        <v>3.43</v>
      </c>
      <c r="Q236" s="2">
        <v>22.5</v>
      </c>
      <c r="R236" s="2">
        <v>22.5</v>
      </c>
      <c r="S236" s="2">
        <v>22.5</v>
      </c>
      <c r="T236" s="2" t="s">
        <v>28</v>
      </c>
      <c r="U236" s="2" t="b">
        <v>0</v>
      </c>
      <c r="V236" s="2" t="s">
        <v>29</v>
      </c>
      <c r="W236" s="2" t="s">
        <v>104</v>
      </c>
      <c r="X236" s="2" t="s">
        <v>105</v>
      </c>
      <c r="Y236" s="2" t="s">
        <v>742</v>
      </c>
      <c r="Z236" s="2" t="s">
        <v>31</v>
      </c>
      <c r="AA236" s="2"/>
      <c r="AB236" s="2"/>
      <c r="AC236" s="2"/>
      <c r="AD236" s="2"/>
      <c r="AK236" s="8">
        <f t="shared" si="4"/>
        <v>45685</v>
      </c>
    </row>
    <row r="237" spans="1:37" ht="15" customHeight="1">
      <c r="A237" s="2" t="s">
        <v>743</v>
      </c>
      <c r="B237" s="2">
        <v>0</v>
      </c>
      <c r="C237" s="2"/>
      <c r="D237" s="2" t="s">
        <v>272</v>
      </c>
      <c r="E237" s="2" t="s">
        <v>744</v>
      </c>
      <c r="F237" s="3">
        <v>45685</v>
      </c>
      <c r="G237" s="3">
        <v>45685</v>
      </c>
      <c r="H237" s="3">
        <v>45685</v>
      </c>
      <c r="I237" s="2"/>
      <c r="J237" s="2"/>
      <c r="K237" s="2" t="s">
        <v>25</v>
      </c>
      <c r="L237" s="2" t="s">
        <v>26</v>
      </c>
      <c r="M237" s="2"/>
      <c r="N237" s="2" t="s">
        <v>27</v>
      </c>
      <c r="O237" s="2">
        <v>240.25</v>
      </c>
      <c r="P237" s="2">
        <v>43.25</v>
      </c>
      <c r="Q237" s="2">
        <v>283.5</v>
      </c>
      <c r="R237" s="2">
        <v>283.5</v>
      </c>
      <c r="S237" s="2">
        <v>283.5</v>
      </c>
      <c r="T237" s="2" t="s">
        <v>28</v>
      </c>
      <c r="U237" s="2" t="b">
        <v>0</v>
      </c>
      <c r="V237" s="2" t="s">
        <v>29</v>
      </c>
      <c r="W237" s="2" t="s">
        <v>104</v>
      </c>
      <c r="X237" s="2" t="s">
        <v>105</v>
      </c>
      <c r="Y237" s="2" t="s">
        <v>745</v>
      </c>
      <c r="Z237" s="2" t="s">
        <v>31</v>
      </c>
      <c r="AA237" s="2"/>
      <c r="AB237" s="2"/>
      <c r="AC237" s="2"/>
      <c r="AD237" s="2"/>
      <c r="AK237" s="8">
        <f t="shared" si="4"/>
        <v>45685</v>
      </c>
    </row>
    <row r="238" spans="1:37" ht="15" customHeight="1">
      <c r="A238" s="2" t="s">
        <v>746</v>
      </c>
      <c r="B238" s="2">
        <v>0</v>
      </c>
      <c r="C238" s="2"/>
      <c r="D238" s="2" t="s">
        <v>272</v>
      </c>
      <c r="E238" s="2" t="s">
        <v>744</v>
      </c>
      <c r="F238" s="3">
        <v>45685</v>
      </c>
      <c r="G238" s="3">
        <v>45685</v>
      </c>
      <c r="H238" s="3">
        <v>45685</v>
      </c>
      <c r="I238" s="2"/>
      <c r="J238" s="2"/>
      <c r="K238" s="2" t="s">
        <v>25</v>
      </c>
      <c r="L238" s="2" t="s">
        <v>26</v>
      </c>
      <c r="M238" s="2"/>
      <c r="N238" s="2" t="s">
        <v>27</v>
      </c>
      <c r="O238" s="2">
        <v>133.47</v>
      </c>
      <c r="P238" s="2">
        <v>24.03</v>
      </c>
      <c r="Q238" s="2">
        <v>157.5</v>
      </c>
      <c r="R238" s="2">
        <v>157.5</v>
      </c>
      <c r="S238" s="2">
        <v>157.5</v>
      </c>
      <c r="T238" s="2" t="s">
        <v>28</v>
      </c>
      <c r="U238" s="2" t="b">
        <v>0</v>
      </c>
      <c r="V238" s="2" t="s">
        <v>29</v>
      </c>
      <c r="W238" s="2" t="s">
        <v>104</v>
      </c>
      <c r="X238" s="2" t="s">
        <v>105</v>
      </c>
      <c r="Y238" s="2" t="s">
        <v>747</v>
      </c>
      <c r="Z238" s="2" t="s">
        <v>31</v>
      </c>
      <c r="AA238" s="2"/>
      <c r="AB238" s="2"/>
      <c r="AC238" s="2"/>
      <c r="AD238" s="2"/>
      <c r="AK238" s="8">
        <f t="shared" si="4"/>
        <v>45685</v>
      </c>
    </row>
    <row r="239" spans="1:37" ht="15" customHeight="1">
      <c r="A239" s="2" t="s">
        <v>748</v>
      </c>
      <c r="B239" s="2">
        <v>0</v>
      </c>
      <c r="C239" s="2"/>
      <c r="D239" s="2" t="s">
        <v>272</v>
      </c>
      <c r="E239" s="2" t="s">
        <v>749</v>
      </c>
      <c r="F239" s="3">
        <v>45685</v>
      </c>
      <c r="G239" s="3">
        <v>45685</v>
      </c>
      <c r="H239" s="3">
        <v>45685</v>
      </c>
      <c r="I239" s="2"/>
      <c r="J239" s="2"/>
      <c r="K239" s="2" t="s">
        <v>25</v>
      </c>
      <c r="L239" s="2" t="s">
        <v>26</v>
      </c>
      <c r="M239" s="2"/>
      <c r="N239" s="2" t="s">
        <v>27</v>
      </c>
      <c r="O239" s="2">
        <v>1346.2</v>
      </c>
      <c r="P239" s="2">
        <v>242.32</v>
      </c>
      <c r="Q239" s="2">
        <v>1588.52</v>
      </c>
      <c r="R239" s="2">
        <v>1588.52</v>
      </c>
      <c r="S239" s="2">
        <v>1588.52</v>
      </c>
      <c r="T239" s="2" t="s">
        <v>28</v>
      </c>
      <c r="U239" s="2" t="b">
        <v>0</v>
      </c>
      <c r="V239" s="2" t="s">
        <v>29</v>
      </c>
      <c r="W239" s="2" t="s">
        <v>104</v>
      </c>
      <c r="X239" s="2" t="s">
        <v>105</v>
      </c>
      <c r="Y239" s="2" t="s">
        <v>750</v>
      </c>
      <c r="Z239" s="2" t="s">
        <v>31</v>
      </c>
      <c r="AA239" s="2"/>
      <c r="AB239" s="2"/>
      <c r="AC239" s="2"/>
      <c r="AD239" s="2"/>
      <c r="AK239" s="8">
        <f t="shared" si="4"/>
        <v>45685</v>
      </c>
    </row>
    <row r="240" spans="1:37" ht="15" customHeight="1">
      <c r="A240" s="2" t="s">
        <v>751</v>
      </c>
      <c r="B240" s="2">
        <v>0</v>
      </c>
      <c r="C240" s="2"/>
      <c r="D240" s="2" t="s">
        <v>272</v>
      </c>
      <c r="E240" s="2" t="s">
        <v>749</v>
      </c>
      <c r="F240" s="3">
        <v>45685</v>
      </c>
      <c r="G240" s="3">
        <v>45685</v>
      </c>
      <c r="H240" s="3">
        <v>45685</v>
      </c>
      <c r="I240" s="2"/>
      <c r="J240" s="2"/>
      <c r="K240" s="2" t="s">
        <v>25</v>
      </c>
      <c r="L240" s="2" t="s">
        <v>26</v>
      </c>
      <c r="M240" s="2"/>
      <c r="N240" s="2" t="s">
        <v>27</v>
      </c>
      <c r="O240" s="2">
        <v>824.87</v>
      </c>
      <c r="P240" s="2">
        <v>148.47999999999999</v>
      </c>
      <c r="Q240" s="2">
        <v>973.35</v>
      </c>
      <c r="R240" s="2">
        <v>973.35</v>
      </c>
      <c r="S240" s="2">
        <v>973.35</v>
      </c>
      <c r="T240" s="2" t="s">
        <v>28</v>
      </c>
      <c r="U240" s="2" t="b">
        <v>0</v>
      </c>
      <c r="V240" s="2" t="s">
        <v>29</v>
      </c>
      <c r="W240" s="2" t="s">
        <v>104</v>
      </c>
      <c r="X240" s="2" t="s">
        <v>105</v>
      </c>
      <c r="Y240" s="2" t="s">
        <v>752</v>
      </c>
      <c r="Z240" s="2" t="s">
        <v>31</v>
      </c>
      <c r="AA240" s="2"/>
      <c r="AB240" s="2"/>
      <c r="AC240" s="2"/>
      <c r="AD240" s="2"/>
      <c r="AK240" s="8">
        <f t="shared" si="4"/>
        <v>45685</v>
      </c>
    </row>
    <row r="241" spans="1:37" ht="15" customHeight="1">
      <c r="A241" s="2" t="s">
        <v>753</v>
      </c>
      <c r="B241" s="2">
        <v>0</v>
      </c>
      <c r="C241" s="2"/>
      <c r="D241" s="2" t="s">
        <v>272</v>
      </c>
      <c r="E241" s="2" t="s">
        <v>754</v>
      </c>
      <c r="F241" s="3">
        <v>45685</v>
      </c>
      <c r="G241" s="3">
        <v>45685</v>
      </c>
      <c r="H241" s="3">
        <v>45685</v>
      </c>
      <c r="I241" s="2"/>
      <c r="J241" s="2"/>
      <c r="K241" s="2" t="s">
        <v>25</v>
      </c>
      <c r="L241" s="2" t="s">
        <v>26</v>
      </c>
      <c r="M241" s="2"/>
      <c r="N241" s="2" t="s">
        <v>27</v>
      </c>
      <c r="O241" s="2">
        <v>96.1</v>
      </c>
      <c r="P241" s="2">
        <v>17.3</v>
      </c>
      <c r="Q241" s="2">
        <v>113.4</v>
      </c>
      <c r="R241" s="2">
        <v>113.4</v>
      </c>
      <c r="S241" s="2">
        <v>113.4</v>
      </c>
      <c r="T241" s="2" t="s">
        <v>28</v>
      </c>
      <c r="U241" s="2" t="b">
        <v>0</v>
      </c>
      <c r="V241" s="2" t="s">
        <v>29</v>
      </c>
      <c r="W241" s="2" t="s">
        <v>104</v>
      </c>
      <c r="X241" s="2" t="s">
        <v>105</v>
      </c>
      <c r="Y241" s="2" t="s">
        <v>755</v>
      </c>
      <c r="Z241" s="2" t="s">
        <v>31</v>
      </c>
      <c r="AA241" s="2"/>
      <c r="AB241" s="2"/>
      <c r="AC241" s="2"/>
      <c r="AD241" s="2"/>
      <c r="AK241" s="8">
        <f t="shared" si="4"/>
        <v>45685</v>
      </c>
    </row>
    <row r="242" spans="1:37" ht="15" customHeight="1">
      <c r="A242" s="2" t="s">
        <v>756</v>
      </c>
      <c r="B242" s="2">
        <v>0</v>
      </c>
      <c r="C242" s="2"/>
      <c r="D242" s="2" t="s">
        <v>272</v>
      </c>
      <c r="E242" s="2" t="s">
        <v>754</v>
      </c>
      <c r="F242" s="3">
        <v>45685</v>
      </c>
      <c r="G242" s="3">
        <v>45685</v>
      </c>
      <c r="H242" s="3">
        <v>45685</v>
      </c>
      <c r="I242" s="2"/>
      <c r="J242" s="2"/>
      <c r="K242" s="2" t="s">
        <v>25</v>
      </c>
      <c r="L242" s="2" t="s">
        <v>26</v>
      </c>
      <c r="M242" s="2"/>
      <c r="N242" s="2" t="s">
        <v>27</v>
      </c>
      <c r="O242" s="2">
        <v>95.97</v>
      </c>
      <c r="P242" s="2">
        <v>17.27</v>
      </c>
      <c r="Q242" s="2">
        <v>113.24</v>
      </c>
      <c r="R242" s="2">
        <v>113.24</v>
      </c>
      <c r="S242" s="2">
        <v>113.24</v>
      </c>
      <c r="T242" s="2" t="s">
        <v>28</v>
      </c>
      <c r="U242" s="2" t="b">
        <v>0</v>
      </c>
      <c r="V242" s="2" t="s">
        <v>29</v>
      </c>
      <c r="W242" s="2" t="s">
        <v>104</v>
      </c>
      <c r="X242" s="2" t="s">
        <v>105</v>
      </c>
      <c r="Y242" s="2" t="s">
        <v>757</v>
      </c>
      <c r="Z242" s="2" t="s">
        <v>31</v>
      </c>
      <c r="AA242" s="2"/>
      <c r="AB242" s="2"/>
      <c r="AC242" s="2"/>
      <c r="AD242" s="2"/>
      <c r="AK242" s="8">
        <f t="shared" si="4"/>
        <v>45685</v>
      </c>
    </row>
    <row r="243" spans="1:37" ht="15" customHeight="1">
      <c r="A243" s="2" t="s">
        <v>758</v>
      </c>
      <c r="B243" s="2">
        <v>0</v>
      </c>
      <c r="C243" s="2"/>
      <c r="D243" s="2" t="s">
        <v>305</v>
      </c>
      <c r="E243" s="2" t="s">
        <v>34</v>
      </c>
      <c r="F243" s="3">
        <v>45684</v>
      </c>
      <c r="G243" s="3">
        <v>45684</v>
      </c>
      <c r="H243" s="3">
        <v>45684</v>
      </c>
      <c r="I243" s="2"/>
      <c r="J243" s="2"/>
      <c r="K243" s="2" t="s">
        <v>25</v>
      </c>
      <c r="L243" s="2" t="s">
        <v>26</v>
      </c>
      <c r="M243" s="2"/>
      <c r="N243" s="2" t="s">
        <v>27</v>
      </c>
      <c r="O243" s="2">
        <v>800</v>
      </c>
      <c r="P243" s="2">
        <v>144</v>
      </c>
      <c r="Q243" s="2">
        <v>944</v>
      </c>
      <c r="R243" s="2">
        <v>944</v>
      </c>
      <c r="S243" s="2">
        <v>944</v>
      </c>
      <c r="T243" s="2" t="s">
        <v>28</v>
      </c>
      <c r="U243" s="2" t="b">
        <v>0</v>
      </c>
      <c r="V243" s="2" t="s">
        <v>29</v>
      </c>
      <c r="W243" s="2" t="s">
        <v>104</v>
      </c>
      <c r="X243" s="2" t="s">
        <v>105</v>
      </c>
      <c r="Y243" s="2" t="s">
        <v>759</v>
      </c>
      <c r="Z243" s="2" t="s">
        <v>31</v>
      </c>
      <c r="AA243" s="2"/>
      <c r="AB243" s="2"/>
      <c r="AC243" s="2"/>
      <c r="AD243" s="2"/>
      <c r="AK243" s="8">
        <f t="shared" si="4"/>
        <v>45684</v>
      </c>
    </row>
    <row r="244" spans="1:37" ht="15" customHeight="1">
      <c r="A244" s="2" t="s">
        <v>760</v>
      </c>
      <c r="B244" s="2">
        <v>0</v>
      </c>
      <c r="C244" s="2"/>
      <c r="D244" s="2" t="s">
        <v>305</v>
      </c>
      <c r="E244" s="2" t="s">
        <v>34</v>
      </c>
      <c r="F244" s="3">
        <v>45680</v>
      </c>
      <c r="G244" s="3">
        <v>45680</v>
      </c>
      <c r="H244" s="3">
        <v>45680</v>
      </c>
      <c r="I244" s="2"/>
      <c r="J244" s="2"/>
      <c r="K244" s="2" t="s">
        <v>25</v>
      </c>
      <c r="L244" s="2" t="s">
        <v>26</v>
      </c>
      <c r="M244" s="2"/>
      <c r="N244" s="2" t="s">
        <v>27</v>
      </c>
      <c r="O244" s="2">
        <v>910</v>
      </c>
      <c r="P244" s="2">
        <v>163.80000000000001</v>
      </c>
      <c r="Q244" s="2">
        <v>1073.8</v>
      </c>
      <c r="R244" s="2">
        <v>1073.8</v>
      </c>
      <c r="S244" s="2">
        <v>1073.8</v>
      </c>
      <c r="T244" s="2" t="s">
        <v>28</v>
      </c>
      <c r="U244" s="2" t="b">
        <v>0</v>
      </c>
      <c r="V244" s="2" t="s">
        <v>29</v>
      </c>
      <c r="W244" s="2" t="s">
        <v>104</v>
      </c>
      <c r="X244" s="2" t="s">
        <v>105</v>
      </c>
      <c r="Y244" s="2" t="s">
        <v>761</v>
      </c>
      <c r="Z244" s="2" t="s">
        <v>31</v>
      </c>
      <c r="AA244" s="2"/>
      <c r="AB244" s="2"/>
      <c r="AC244" s="2"/>
      <c r="AD244" s="2"/>
      <c r="AK244" s="8">
        <f t="shared" si="4"/>
        <v>45680</v>
      </c>
    </row>
    <row r="245" spans="1:37" ht="15" customHeight="1">
      <c r="A245" s="2" t="s">
        <v>762</v>
      </c>
      <c r="B245" s="2">
        <v>0</v>
      </c>
      <c r="C245" s="2"/>
      <c r="D245" s="2" t="s">
        <v>305</v>
      </c>
      <c r="E245" s="2" t="s">
        <v>763</v>
      </c>
      <c r="F245" s="3">
        <v>45680</v>
      </c>
      <c r="G245" s="3">
        <v>45680</v>
      </c>
      <c r="H245" s="3">
        <v>45680</v>
      </c>
      <c r="I245" s="2"/>
      <c r="J245" s="2"/>
      <c r="K245" s="2" t="s">
        <v>25</v>
      </c>
      <c r="L245" s="2" t="s">
        <v>26</v>
      </c>
      <c r="M245" s="2"/>
      <c r="N245" s="2" t="s">
        <v>27</v>
      </c>
      <c r="O245" s="2">
        <v>25.35</v>
      </c>
      <c r="P245" s="2">
        <v>4.5599999999999996</v>
      </c>
      <c r="Q245" s="2">
        <v>29.91</v>
      </c>
      <c r="R245" s="2">
        <v>29.91</v>
      </c>
      <c r="S245" s="2">
        <v>29.91</v>
      </c>
      <c r="T245" s="2" t="s">
        <v>28</v>
      </c>
      <c r="U245" s="2" t="b">
        <v>0</v>
      </c>
      <c r="V245" s="2" t="s">
        <v>29</v>
      </c>
      <c r="W245" s="2" t="s">
        <v>104</v>
      </c>
      <c r="X245" s="2" t="s">
        <v>105</v>
      </c>
      <c r="Y245" s="2" t="s">
        <v>764</v>
      </c>
      <c r="Z245" s="2" t="s">
        <v>31</v>
      </c>
      <c r="AA245" s="2"/>
      <c r="AB245" s="2"/>
      <c r="AC245" s="2"/>
      <c r="AD245" s="2"/>
      <c r="AK245" s="8">
        <f t="shared" si="4"/>
        <v>45680</v>
      </c>
    </row>
    <row r="246" spans="1:37" ht="15" customHeight="1">
      <c r="A246" s="2" t="s">
        <v>765</v>
      </c>
      <c r="B246" s="2">
        <v>0</v>
      </c>
      <c r="C246" s="2"/>
      <c r="D246" s="2" t="s">
        <v>305</v>
      </c>
      <c r="E246" s="2" t="s">
        <v>763</v>
      </c>
      <c r="F246" s="3">
        <v>45680</v>
      </c>
      <c r="G246" s="3">
        <v>45680</v>
      </c>
      <c r="H246" s="3">
        <v>45680</v>
      </c>
      <c r="I246" s="2"/>
      <c r="J246" s="2"/>
      <c r="K246" s="2" t="s">
        <v>25</v>
      </c>
      <c r="L246" s="2" t="s">
        <v>26</v>
      </c>
      <c r="M246" s="2"/>
      <c r="N246" s="2" t="s">
        <v>27</v>
      </c>
      <c r="O246" s="2">
        <v>100</v>
      </c>
      <c r="P246" s="2">
        <v>18</v>
      </c>
      <c r="Q246" s="2">
        <v>118</v>
      </c>
      <c r="R246" s="2">
        <v>118</v>
      </c>
      <c r="S246" s="2">
        <v>118</v>
      </c>
      <c r="T246" s="2" t="s">
        <v>28</v>
      </c>
      <c r="U246" s="2" t="b">
        <v>0</v>
      </c>
      <c r="V246" s="2" t="s">
        <v>29</v>
      </c>
      <c r="W246" s="2" t="s">
        <v>104</v>
      </c>
      <c r="X246" s="2" t="s">
        <v>105</v>
      </c>
      <c r="Y246" s="2" t="s">
        <v>766</v>
      </c>
      <c r="Z246" s="2" t="s">
        <v>31</v>
      </c>
      <c r="AA246" s="2"/>
      <c r="AB246" s="2"/>
      <c r="AC246" s="2"/>
      <c r="AD246" s="2"/>
      <c r="AK246" s="8">
        <f t="shared" si="4"/>
        <v>45680</v>
      </c>
    </row>
    <row r="247" spans="1:37" ht="15" customHeight="1">
      <c r="A247" s="2" t="s">
        <v>767</v>
      </c>
      <c r="B247" s="2">
        <v>0</v>
      </c>
      <c r="C247" s="2"/>
      <c r="D247" s="2" t="s">
        <v>305</v>
      </c>
      <c r="E247" s="2" t="s">
        <v>763</v>
      </c>
      <c r="F247" s="3">
        <v>45680</v>
      </c>
      <c r="G247" s="3">
        <v>45680</v>
      </c>
      <c r="H247" s="3">
        <v>45680</v>
      </c>
      <c r="I247" s="2"/>
      <c r="J247" s="2"/>
      <c r="K247" s="2" t="s">
        <v>25</v>
      </c>
      <c r="L247" s="2" t="s">
        <v>26</v>
      </c>
      <c r="M247" s="2"/>
      <c r="N247" s="2" t="s">
        <v>27</v>
      </c>
      <c r="O247" s="2">
        <v>100</v>
      </c>
      <c r="P247" s="2">
        <v>18</v>
      </c>
      <c r="Q247" s="2">
        <v>118</v>
      </c>
      <c r="R247" s="2">
        <v>118</v>
      </c>
      <c r="S247" s="2">
        <v>118</v>
      </c>
      <c r="T247" s="2" t="s">
        <v>28</v>
      </c>
      <c r="U247" s="2" t="b">
        <v>0</v>
      </c>
      <c r="V247" s="2" t="s">
        <v>29</v>
      </c>
      <c r="W247" s="2" t="s">
        <v>104</v>
      </c>
      <c r="X247" s="2" t="s">
        <v>105</v>
      </c>
      <c r="Y247" s="2" t="s">
        <v>768</v>
      </c>
      <c r="Z247" s="2" t="s">
        <v>31</v>
      </c>
      <c r="AA247" s="2"/>
      <c r="AB247" s="2"/>
      <c r="AC247" s="2"/>
      <c r="AD247" s="2"/>
      <c r="AK247" s="8">
        <f t="shared" si="4"/>
        <v>45680</v>
      </c>
    </row>
    <row r="248" spans="1:37" ht="15" customHeight="1">
      <c r="A248" s="2" t="s">
        <v>769</v>
      </c>
      <c r="B248" s="2">
        <v>0</v>
      </c>
      <c r="C248" s="2"/>
      <c r="D248" s="2" t="s">
        <v>305</v>
      </c>
      <c r="E248" s="2" t="s">
        <v>763</v>
      </c>
      <c r="F248" s="3">
        <v>45680</v>
      </c>
      <c r="G248" s="3">
        <v>45680</v>
      </c>
      <c r="H248" s="3">
        <v>45680</v>
      </c>
      <c r="I248" s="2"/>
      <c r="J248" s="2"/>
      <c r="K248" s="2" t="s">
        <v>25</v>
      </c>
      <c r="L248" s="2" t="s">
        <v>26</v>
      </c>
      <c r="M248" s="2"/>
      <c r="N248" s="2" t="s">
        <v>27</v>
      </c>
      <c r="O248" s="2">
        <v>6508.39</v>
      </c>
      <c r="P248" s="2">
        <v>1171.51</v>
      </c>
      <c r="Q248" s="2">
        <v>7679.9</v>
      </c>
      <c r="R248" s="2">
        <v>7679.9</v>
      </c>
      <c r="S248" s="2">
        <v>7679.9</v>
      </c>
      <c r="T248" s="2" t="s">
        <v>28</v>
      </c>
      <c r="U248" s="2" t="b">
        <v>0</v>
      </c>
      <c r="V248" s="2" t="s">
        <v>29</v>
      </c>
      <c r="W248" s="2" t="s">
        <v>104</v>
      </c>
      <c r="X248" s="2" t="s">
        <v>105</v>
      </c>
      <c r="Y248" s="2" t="s">
        <v>770</v>
      </c>
      <c r="Z248" s="2" t="s">
        <v>31</v>
      </c>
      <c r="AA248" s="2"/>
      <c r="AB248" s="2"/>
      <c r="AC248" s="2"/>
      <c r="AD248" s="2"/>
      <c r="AK248" s="8">
        <f t="shared" si="4"/>
        <v>45680</v>
      </c>
    </row>
    <row r="249" spans="1:37" ht="15" customHeight="1">
      <c r="A249" s="2" t="s">
        <v>771</v>
      </c>
      <c r="B249" s="2">
        <v>0</v>
      </c>
      <c r="C249" s="2"/>
      <c r="D249" s="2" t="s">
        <v>305</v>
      </c>
      <c r="E249" s="2" t="s">
        <v>763</v>
      </c>
      <c r="F249" s="3">
        <v>45680</v>
      </c>
      <c r="G249" s="3">
        <v>45680</v>
      </c>
      <c r="H249" s="3">
        <v>45680</v>
      </c>
      <c r="I249" s="2"/>
      <c r="J249" s="2"/>
      <c r="K249" s="2" t="s">
        <v>25</v>
      </c>
      <c r="L249" s="2" t="s">
        <v>26</v>
      </c>
      <c r="M249" s="2"/>
      <c r="N249" s="2" t="s">
        <v>27</v>
      </c>
      <c r="O249" s="2">
        <v>5640.85</v>
      </c>
      <c r="P249" s="2">
        <v>1015.35</v>
      </c>
      <c r="Q249" s="2">
        <v>6656.2</v>
      </c>
      <c r="R249" s="2">
        <v>6656.2</v>
      </c>
      <c r="S249" s="2">
        <v>6656.2</v>
      </c>
      <c r="T249" s="2" t="s">
        <v>28</v>
      </c>
      <c r="U249" s="2" t="b">
        <v>0</v>
      </c>
      <c r="V249" s="2" t="s">
        <v>29</v>
      </c>
      <c r="W249" s="2" t="s">
        <v>104</v>
      </c>
      <c r="X249" s="2" t="s">
        <v>105</v>
      </c>
      <c r="Y249" s="2" t="s">
        <v>772</v>
      </c>
      <c r="Z249" s="2" t="s">
        <v>31</v>
      </c>
      <c r="AA249" s="2"/>
      <c r="AB249" s="2"/>
      <c r="AC249" s="2"/>
      <c r="AD249" s="2"/>
      <c r="AK249" s="8">
        <f t="shared" si="4"/>
        <v>45680</v>
      </c>
    </row>
    <row r="250" spans="1:37" ht="15" customHeight="1">
      <c r="A250" s="2" t="s">
        <v>773</v>
      </c>
      <c r="B250" s="2">
        <v>0</v>
      </c>
      <c r="C250" s="2"/>
      <c r="D250" s="2" t="s">
        <v>305</v>
      </c>
      <c r="E250" s="2" t="s">
        <v>401</v>
      </c>
      <c r="F250" s="3">
        <v>45680</v>
      </c>
      <c r="G250" s="3">
        <v>45680</v>
      </c>
      <c r="H250" s="3">
        <v>45680</v>
      </c>
      <c r="I250" s="2"/>
      <c r="J250" s="2"/>
      <c r="K250" s="2" t="s">
        <v>25</v>
      </c>
      <c r="L250" s="2" t="s">
        <v>26</v>
      </c>
      <c r="M250" s="2"/>
      <c r="N250" s="2" t="s">
        <v>27</v>
      </c>
      <c r="O250" s="2">
        <v>170</v>
      </c>
      <c r="P250" s="2">
        <v>30.6</v>
      </c>
      <c r="Q250" s="2">
        <v>200.6</v>
      </c>
      <c r="R250" s="2">
        <v>200.6</v>
      </c>
      <c r="S250" s="2">
        <v>200.6</v>
      </c>
      <c r="T250" s="2" t="s">
        <v>28</v>
      </c>
      <c r="U250" s="2" t="b">
        <v>0</v>
      </c>
      <c r="V250" s="2" t="s">
        <v>29</v>
      </c>
      <c r="W250" s="2" t="s">
        <v>104</v>
      </c>
      <c r="X250" s="2" t="s">
        <v>105</v>
      </c>
      <c r="Y250" s="2" t="s">
        <v>774</v>
      </c>
      <c r="Z250" s="2" t="s">
        <v>31</v>
      </c>
      <c r="AA250" s="2"/>
      <c r="AB250" s="2"/>
      <c r="AC250" s="2"/>
      <c r="AD250" s="2"/>
      <c r="AK250" s="8">
        <f t="shared" si="4"/>
        <v>45680</v>
      </c>
    </row>
    <row r="251" spans="1:37" ht="15" customHeight="1">
      <c r="A251" s="2" t="s">
        <v>775</v>
      </c>
      <c r="B251" s="2">
        <v>0</v>
      </c>
      <c r="C251" s="2"/>
      <c r="D251" s="2" t="s">
        <v>305</v>
      </c>
      <c r="E251" s="2" t="s">
        <v>401</v>
      </c>
      <c r="F251" s="3">
        <v>45680</v>
      </c>
      <c r="G251" s="3">
        <v>45680</v>
      </c>
      <c r="H251" s="3">
        <v>45680</v>
      </c>
      <c r="I251" s="2"/>
      <c r="J251" s="2"/>
      <c r="K251" s="2" t="s">
        <v>25</v>
      </c>
      <c r="L251" s="2" t="s">
        <v>26</v>
      </c>
      <c r="M251" s="2"/>
      <c r="N251" s="2" t="s">
        <v>27</v>
      </c>
      <c r="O251" s="2">
        <v>187.63</v>
      </c>
      <c r="P251" s="2">
        <v>33.770000000000003</v>
      </c>
      <c r="Q251" s="2">
        <v>221.4</v>
      </c>
      <c r="R251" s="2">
        <v>221.4</v>
      </c>
      <c r="S251" s="2">
        <v>221.4</v>
      </c>
      <c r="T251" s="2" t="s">
        <v>28</v>
      </c>
      <c r="U251" s="2" t="b">
        <v>0</v>
      </c>
      <c r="V251" s="2" t="s">
        <v>29</v>
      </c>
      <c r="W251" s="2" t="s">
        <v>104</v>
      </c>
      <c r="X251" s="2" t="s">
        <v>105</v>
      </c>
      <c r="Y251" s="2" t="s">
        <v>776</v>
      </c>
      <c r="Z251" s="2" t="s">
        <v>31</v>
      </c>
      <c r="AA251" s="2"/>
      <c r="AB251" s="2"/>
      <c r="AC251" s="2"/>
      <c r="AD251" s="2"/>
      <c r="AK251" s="8">
        <f t="shared" si="4"/>
        <v>45680</v>
      </c>
    </row>
    <row r="252" spans="1:37" ht="15" customHeight="1">
      <c r="A252" s="2" t="s">
        <v>777</v>
      </c>
      <c r="B252" s="2">
        <v>0</v>
      </c>
      <c r="C252" s="2"/>
      <c r="D252" s="2" t="s">
        <v>305</v>
      </c>
      <c r="E252" s="2" t="s">
        <v>469</v>
      </c>
      <c r="F252" s="3">
        <v>45680</v>
      </c>
      <c r="G252" s="3">
        <v>45680</v>
      </c>
      <c r="H252" s="3">
        <v>45680</v>
      </c>
      <c r="I252" s="2"/>
      <c r="J252" s="2"/>
      <c r="K252" s="2" t="s">
        <v>25</v>
      </c>
      <c r="L252" s="2" t="s">
        <v>26</v>
      </c>
      <c r="M252" s="2"/>
      <c r="N252" s="2" t="s">
        <v>27</v>
      </c>
      <c r="O252" s="2">
        <v>5</v>
      </c>
      <c r="P252" s="2">
        <v>0.9</v>
      </c>
      <c r="Q252" s="2">
        <v>5.9</v>
      </c>
      <c r="R252" s="2">
        <v>5.9</v>
      </c>
      <c r="S252" s="2">
        <v>5.9</v>
      </c>
      <c r="T252" s="2" t="s">
        <v>28</v>
      </c>
      <c r="U252" s="2" t="b">
        <v>0</v>
      </c>
      <c r="V252" s="2" t="s">
        <v>29</v>
      </c>
      <c r="W252" s="2" t="s">
        <v>104</v>
      </c>
      <c r="X252" s="2" t="s">
        <v>105</v>
      </c>
      <c r="Y252" s="2" t="s">
        <v>778</v>
      </c>
      <c r="Z252" s="2" t="s">
        <v>31</v>
      </c>
      <c r="AA252" s="2"/>
      <c r="AB252" s="2"/>
      <c r="AC252" s="2"/>
      <c r="AD252" s="2"/>
      <c r="AK252" s="8">
        <f t="shared" si="4"/>
        <v>45680</v>
      </c>
    </row>
    <row r="253" spans="1:37" ht="15" customHeight="1">
      <c r="A253" s="2" t="s">
        <v>779</v>
      </c>
      <c r="B253" s="2">
        <v>0</v>
      </c>
      <c r="C253" s="2"/>
      <c r="D253" s="2" t="s">
        <v>305</v>
      </c>
      <c r="E253" s="2" t="s">
        <v>469</v>
      </c>
      <c r="F253" s="3">
        <v>45680</v>
      </c>
      <c r="G253" s="3">
        <v>45680</v>
      </c>
      <c r="H253" s="3">
        <v>45680</v>
      </c>
      <c r="I253" s="2"/>
      <c r="J253" s="2"/>
      <c r="K253" s="2" t="s">
        <v>25</v>
      </c>
      <c r="L253" s="2" t="s">
        <v>26</v>
      </c>
      <c r="M253" s="2"/>
      <c r="N253" s="2" t="s">
        <v>27</v>
      </c>
      <c r="O253" s="2">
        <v>400.93</v>
      </c>
      <c r="P253" s="2">
        <v>72.17</v>
      </c>
      <c r="Q253" s="2">
        <v>473.1</v>
      </c>
      <c r="R253" s="2">
        <v>473.1</v>
      </c>
      <c r="S253" s="2">
        <v>473.1</v>
      </c>
      <c r="T253" s="2" t="s">
        <v>28</v>
      </c>
      <c r="U253" s="2" t="b">
        <v>0</v>
      </c>
      <c r="V253" s="2" t="s">
        <v>29</v>
      </c>
      <c r="W253" s="2" t="s">
        <v>104</v>
      </c>
      <c r="X253" s="2" t="s">
        <v>105</v>
      </c>
      <c r="Y253" s="2" t="s">
        <v>780</v>
      </c>
      <c r="Z253" s="2" t="s">
        <v>31</v>
      </c>
      <c r="AA253" s="2"/>
      <c r="AB253" s="2"/>
      <c r="AC253" s="2"/>
      <c r="AD253" s="2"/>
      <c r="AK253" s="8">
        <f t="shared" si="4"/>
        <v>45680</v>
      </c>
    </row>
    <row r="254" spans="1:37" ht="15" customHeight="1">
      <c r="A254" s="2" t="s">
        <v>781</v>
      </c>
      <c r="B254" s="2">
        <v>0</v>
      </c>
      <c r="C254" s="2"/>
      <c r="D254" s="2" t="s">
        <v>305</v>
      </c>
      <c r="E254" s="2" t="s">
        <v>469</v>
      </c>
      <c r="F254" s="3">
        <v>45680</v>
      </c>
      <c r="G254" s="3">
        <v>45680</v>
      </c>
      <c r="H254" s="3">
        <v>45680</v>
      </c>
      <c r="I254" s="2"/>
      <c r="J254" s="2"/>
      <c r="K254" s="2" t="s">
        <v>25</v>
      </c>
      <c r="L254" s="2" t="s">
        <v>26</v>
      </c>
      <c r="M254" s="2"/>
      <c r="N254" s="2" t="s">
        <v>27</v>
      </c>
      <c r="O254" s="2">
        <v>289.32</v>
      </c>
      <c r="P254" s="2">
        <v>52.08</v>
      </c>
      <c r="Q254" s="2">
        <v>341.4</v>
      </c>
      <c r="R254" s="2">
        <v>341.4</v>
      </c>
      <c r="S254" s="2">
        <v>341.4</v>
      </c>
      <c r="T254" s="2" t="s">
        <v>28</v>
      </c>
      <c r="U254" s="2" t="b">
        <v>0</v>
      </c>
      <c r="V254" s="2" t="s">
        <v>29</v>
      </c>
      <c r="W254" s="2" t="s">
        <v>104</v>
      </c>
      <c r="X254" s="2" t="s">
        <v>105</v>
      </c>
      <c r="Y254" s="2" t="s">
        <v>782</v>
      </c>
      <c r="Z254" s="2" t="s">
        <v>31</v>
      </c>
      <c r="AA254" s="2"/>
      <c r="AB254" s="2"/>
      <c r="AC254" s="2"/>
      <c r="AD254" s="2"/>
      <c r="AK254" s="8">
        <f t="shared" si="4"/>
        <v>45680</v>
      </c>
    </row>
    <row r="255" spans="1:37" ht="15" customHeight="1">
      <c r="A255" s="2" t="s">
        <v>783</v>
      </c>
      <c r="B255" s="2">
        <v>0</v>
      </c>
      <c r="C255" s="2"/>
      <c r="D255" s="2" t="s">
        <v>305</v>
      </c>
      <c r="E255" s="2" t="s">
        <v>449</v>
      </c>
      <c r="F255" s="3">
        <v>45680</v>
      </c>
      <c r="G255" s="3">
        <v>45680</v>
      </c>
      <c r="H255" s="3">
        <v>45680</v>
      </c>
      <c r="I255" s="2"/>
      <c r="J255" s="2"/>
      <c r="K255" s="2" t="s">
        <v>25</v>
      </c>
      <c r="L255" s="2" t="s">
        <v>26</v>
      </c>
      <c r="M255" s="2"/>
      <c r="N255" s="2" t="s">
        <v>27</v>
      </c>
      <c r="O255" s="2">
        <v>106.95</v>
      </c>
      <c r="P255" s="2">
        <v>19.25</v>
      </c>
      <c r="Q255" s="2">
        <v>126.2</v>
      </c>
      <c r="R255" s="2">
        <v>126.2</v>
      </c>
      <c r="S255" s="2">
        <v>126.2</v>
      </c>
      <c r="T255" s="2" t="s">
        <v>28</v>
      </c>
      <c r="U255" s="2" t="b">
        <v>0</v>
      </c>
      <c r="V255" s="2" t="s">
        <v>29</v>
      </c>
      <c r="W255" s="2" t="s">
        <v>104</v>
      </c>
      <c r="X255" s="2" t="s">
        <v>105</v>
      </c>
      <c r="Y255" s="2" t="s">
        <v>784</v>
      </c>
      <c r="Z255" s="2" t="s">
        <v>31</v>
      </c>
      <c r="AA255" s="2"/>
      <c r="AB255" s="2"/>
      <c r="AC255" s="2"/>
      <c r="AD255" s="2"/>
      <c r="AK255" s="8">
        <f t="shared" si="4"/>
        <v>45680</v>
      </c>
    </row>
    <row r="256" spans="1:37" ht="15" customHeight="1">
      <c r="A256" s="2" t="s">
        <v>785</v>
      </c>
      <c r="B256" s="2">
        <v>0</v>
      </c>
      <c r="C256" s="2"/>
      <c r="D256" s="2" t="s">
        <v>305</v>
      </c>
      <c r="E256" s="2" t="s">
        <v>449</v>
      </c>
      <c r="F256" s="3">
        <v>45680</v>
      </c>
      <c r="G256" s="3">
        <v>45680</v>
      </c>
      <c r="H256" s="3">
        <v>45680</v>
      </c>
      <c r="I256" s="2"/>
      <c r="J256" s="2"/>
      <c r="K256" s="2" t="s">
        <v>25</v>
      </c>
      <c r="L256" s="2" t="s">
        <v>26</v>
      </c>
      <c r="M256" s="2"/>
      <c r="N256" s="2" t="s">
        <v>27</v>
      </c>
      <c r="O256" s="2">
        <v>66.69</v>
      </c>
      <c r="P256" s="2">
        <v>12.01</v>
      </c>
      <c r="Q256" s="2">
        <v>78.7</v>
      </c>
      <c r="R256" s="2">
        <v>78.7</v>
      </c>
      <c r="S256" s="2">
        <v>78.7</v>
      </c>
      <c r="T256" s="2" t="s">
        <v>28</v>
      </c>
      <c r="U256" s="2" t="b">
        <v>0</v>
      </c>
      <c r="V256" s="2" t="s">
        <v>29</v>
      </c>
      <c r="W256" s="2" t="s">
        <v>104</v>
      </c>
      <c r="X256" s="2" t="s">
        <v>105</v>
      </c>
      <c r="Y256" s="2" t="s">
        <v>786</v>
      </c>
      <c r="Z256" s="2" t="s">
        <v>31</v>
      </c>
      <c r="AA256" s="2"/>
      <c r="AB256" s="2"/>
      <c r="AC256" s="2"/>
      <c r="AD256" s="2"/>
      <c r="AK256" s="8">
        <f t="shared" si="4"/>
        <v>45680</v>
      </c>
    </row>
    <row r="257" spans="1:37" ht="15" customHeight="1">
      <c r="A257" s="2" t="s">
        <v>787</v>
      </c>
      <c r="B257" s="2">
        <v>0</v>
      </c>
      <c r="C257" s="2"/>
      <c r="D257" s="2" t="s">
        <v>305</v>
      </c>
      <c r="E257" s="2" t="s">
        <v>459</v>
      </c>
      <c r="F257" s="3">
        <v>45680</v>
      </c>
      <c r="G257" s="3">
        <v>45680</v>
      </c>
      <c r="H257" s="3">
        <v>45680</v>
      </c>
      <c r="I257" s="2"/>
      <c r="J257" s="2"/>
      <c r="K257" s="2" t="s">
        <v>25</v>
      </c>
      <c r="L257" s="2" t="s">
        <v>26</v>
      </c>
      <c r="M257" s="2"/>
      <c r="N257" s="2" t="s">
        <v>27</v>
      </c>
      <c r="O257" s="2">
        <v>54.75</v>
      </c>
      <c r="P257" s="2">
        <v>9.85</v>
      </c>
      <c r="Q257" s="2">
        <v>64.599999999999994</v>
      </c>
      <c r="R257" s="2">
        <v>64.599999999999994</v>
      </c>
      <c r="S257" s="2">
        <v>64.599999999999994</v>
      </c>
      <c r="T257" s="2" t="s">
        <v>28</v>
      </c>
      <c r="U257" s="2" t="b">
        <v>0</v>
      </c>
      <c r="V257" s="2" t="s">
        <v>29</v>
      </c>
      <c r="W257" s="2" t="s">
        <v>104</v>
      </c>
      <c r="X257" s="2" t="s">
        <v>105</v>
      </c>
      <c r="Y257" s="2" t="s">
        <v>788</v>
      </c>
      <c r="Z257" s="2" t="s">
        <v>31</v>
      </c>
      <c r="AA257" s="2"/>
      <c r="AB257" s="2"/>
      <c r="AC257" s="2"/>
      <c r="AD257" s="2"/>
      <c r="AK257" s="8">
        <f t="shared" si="4"/>
        <v>45680</v>
      </c>
    </row>
    <row r="258" spans="1:37" ht="15" customHeight="1">
      <c r="A258" s="2" t="s">
        <v>789</v>
      </c>
      <c r="B258" s="2">
        <v>0</v>
      </c>
      <c r="C258" s="2"/>
      <c r="D258" s="2" t="s">
        <v>305</v>
      </c>
      <c r="E258" s="2" t="s">
        <v>459</v>
      </c>
      <c r="F258" s="3">
        <v>45680</v>
      </c>
      <c r="G258" s="3">
        <v>45680</v>
      </c>
      <c r="H258" s="3">
        <v>45680</v>
      </c>
      <c r="I258" s="2"/>
      <c r="J258" s="2"/>
      <c r="K258" s="2" t="s">
        <v>25</v>
      </c>
      <c r="L258" s="2" t="s">
        <v>26</v>
      </c>
      <c r="M258" s="2"/>
      <c r="N258" s="2" t="s">
        <v>27</v>
      </c>
      <c r="O258" s="2">
        <v>33.22</v>
      </c>
      <c r="P258" s="2">
        <v>5.98</v>
      </c>
      <c r="Q258" s="2">
        <v>39.200000000000003</v>
      </c>
      <c r="R258" s="2">
        <v>39.200000000000003</v>
      </c>
      <c r="S258" s="2">
        <v>39.200000000000003</v>
      </c>
      <c r="T258" s="2" t="s">
        <v>28</v>
      </c>
      <c r="U258" s="2" t="b">
        <v>0</v>
      </c>
      <c r="V258" s="2" t="s">
        <v>29</v>
      </c>
      <c r="W258" s="2" t="s">
        <v>104</v>
      </c>
      <c r="X258" s="2" t="s">
        <v>105</v>
      </c>
      <c r="Y258" s="2" t="s">
        <v>790</v>
      </c>
      <c r="Z258" s="2" t="s">
        <v>31</v>
      </c>
      <c r="AA258" s="2"/>
      <c r="AB258" s="2"/>
      <c r="AC258" s="2"/>
      <c r="AD258" s="2"/>
      <c r="AK258" s="8">
        <f t="shared" si="4"/>
        <v>45680</v>
      </c>
    </row>
    <row r="259" spans="1:37" ht="15" customHeight="1">
      <c r="A259" s="2" t="s">
        <v>791</v>
      </c>
      <c r="B259" s="2">
        <v>0</v>
      </c>
      <c r="C259" s="2"/>
      <c r="D259" s="2" t="s">
        <v>305</v>
      </c>
      <c r="E259" s="2" t="s">
        <v>792</v>
      </c>
      <c r="F259" s="3">
        <v>45680</v>
      </c>
      <c r="G259" s="3">
        <v>45680</v>
      </c>
      <c r="H259" s="3">
        <v>45680</v>
      </c>
      <c r="I259" s="2"/>
      <c r="J259" s="2"/>
      <c r="K259" s="2" t="s">
        <v>25</v>
      </c>
      <c r="L259" s="2" t="s">
        <v>26</v>
      </c>
      <c r="M259" s="2"/>
      <c r="N259" s="2" t="s">
        <v>27</v>
      </c>
      <c r="O259" s="2">
        <v>97.37</v>
      </c>
      <c r="P259" s="2">
        <v>17.53</v>
      </c>
      <c r="Q259" s="2">
        <v>114.9</v>
      </c>
      <c r="R259" s="2">
        <v>114.9</v>
      </c>
      <c r="S259" s="2">
        <v>114.9</v>
      </c>
      <c r="T259" s="2" t="s">
        <v>28</v>
      </c>
      <c r="U259" s="2" t="b">
        <v>0</v>
      </c>
      <c r="V259" s="2" t="s">
        <v>29</v>
      </c>
      <c r="W259" s="2" t="s">
        <v>104</v>
      </c>
      <c r="X259" s="2" t="s">
        <v>105</v>
      </c>
      <c r="Y259" s="2" t="s">
        <v>793</v>
      </c>
      <c r="Z259" s="2" t="s">
        <v>31</v>
      </c>
      <c r="AA259" s="2"/>
      <c r="AB259" s="2"/>
      <c r="AC259" s="2"/>
      <c r="AD259" s="2"/>
      <c r="AK259" s="8">
        <f t="shared" si="4"/>
        <v>45680</v>
      </c>
    </row>
    <row r="260" spans="1:37" ht="15" customHeight="1">
      <c r="A260" s="2" t="s">
        <v>794</v>
      </c>
      <c r="B260" s="2">
        <v>0</v>
      </c>
      <c r="C260" s="2"/>
      <c r="D260" s="2" t="s">
        <v>305</v>
      </c>
      <c r="E260" s="2" t="s">
        <v>792</v>
      </c>
      <c r="F260" s="3">
        <v>45680</v>
      </c>
      <c r="G260" s="3">
        <v>45680</v>
      </c>
      <c r="H260" s="3">
        <v>45680</v>
      </c>
      <c r="I260" s="2"/>
      <c r="J260" s="2"/>
      <c r="K260" s="2" t="s">
        <v>25</v>
      </c>
      <c r="L260" s="2" t="s">
        <v>26</v>
      </c>
      <c r="M260" s="2"/>
      <c r="N260" s="2" t="s">
        <v>27</v>
      </c>
      <c r="O260" s="2">
        <v>59.07</v>
      </c>
      <c r="P260" s="2">
        <v>10.63</v>
      </c>
      <c r="Q260" s="2">
        <v>69.7</v>
      </c>
      <c r="R260" s="2">
        <v>69.7</v>
      </c>
      <c r="S260" s="2">
        <v>69.7</v>
      </c>
      <c r="T260" s="2" t="s">
        <v>28</v>
      </c>
      <c r="U260" s="2" t="b">
        <v>0</v>
      </c>
      <c r="V260" s="2" t="s">
        <v>29</v>
      </c>
      <c r="W260" s="2" t="s">
        <v>104</v>
      </c>
      <c r="X260" s="2" t="s">
        <v>105</v>
      </c>
      <c r="Y260" s="2" t="s">
        <v>795</v>
      </c>
      <c r="Z260" s="2" t="s">
        <v>31</v>
      </c>
      <c r="AA260" s="2"/>
      <c r="AB260" s="2"/>
      <c r="AC260" s="2"/>
      <c r="AD260" s="2"/>
      <c r="AK260" s="8">
        <f t="shared" si="4"/>
        <v>45680</v>
      </c>
    </row>
    <row r="261" spans="1:37" ht="15" customHeight="1">
      <c r="A261" s="2" t="s">
        <v>796</v>
      </c>
      <c r="B261" s="2">
        <v>0</v>
      </c>
      <c r="C261" s="2"/>
      <c r="D261" s="2" t="s">
        <v>305</v>
      </c>
      <c r="E261" s="2" t="s">
        <v>422</v>
      </c>
      <c r="F261" s="3">
        <v>45680</v>
      </c>
      <c r="G261" s="3">
        <v>45680</v>
      </c>
      <c r="H261" s="3">
        <v>45680</v>
      </c>
      <c r="I261" s="2"/>
      <c r="J261" s="2"/>
      <c r="K261" s="2" t="s">
        <v>25</v>
      </c>
      <c r="L261" s="2" t="s">
        <v>26</v>
      </c>
      <c r="M261" s="2"/>
      <c r="N261" s="2" t="s">
        <v>27</v>
      </c>
      <c r="O261" s="2">
        <v>1</v>
      </c>
      <c r="P261" s="2">
        <v>0.18</v>
      </c>
      <c r="Q261" s="2">
        <v>1.18</v>
      </c>
      <c r="R261" s="2">
        <v>1.18</v>
      </c>
      <c r="S261" s="2">
        <v>1.18</v>
      </c>
      <c r="T261" s="2" t="s">
        <v>28</v>
      </c>
      <c r="U261" s="2" t="b">
        <v>0</v>
      </c>
      <c r="V261" s="2" t="s">
        <v>29</v>
      </c>
      <c r="W261" s="2" t="s">
        <v>104</v>
      </c>
      <c r="X261" s="2" t="s">
        <v>105</v>
      </c>
      <c r="Y261" s="2" t="s">
        <v>797</v>
      </c>
      <c r="Z261" s="2" t="s">
        <v>31</v>
      </c>
      <c r="AA261" s="2"/>
      <c r="AB261" s="2"/>
      <c r="AC261" s="2"/>
      <c r="AD261" s="2"/>
      <c r="AK261" s="8">
        <f t="shared" si="4"/>
        <v>45680</v>
      </c>
    </row>
    <row r="262" spans="1:37" ht="15" customHeight="1">
      <c r="A262" s="2" t="s">
        <v>798</v>
      </c>
      <c r="B262" s="2">
        <v>0</v>
      </c>
      <c r="C262" s="2"/>
      <c r="D262" s="2" t="s">
        <v>305</v>
      </c>
      <c r="E262" s="2" t="s">
        <v>422</v>
      </c>
      <c r="F262" s="3">
        <v>45680</v>
      </c>
      <c r="G262" s="3">
        <v>45680</v>
      </c>
      <c r="H262" s="3">
        <v>45680</v>
      </c>
      <c r="I262" s="2"/>
      <c r="J262" s="2"/>
      <c r="K262" s="2" t="s">
        <v>25</v>
      </c>
      <c r="L262" s="2" t="s">
        <v>26</v>
      </c>
      <c r="M262" s="2"/>
      <c r="N262" s="2" t="s">
        <v>27</v>
      </c>
      <c r="O262" s="2">
        <v>1400</v>
      </c>
      <c r="P262" s="2">
        <v>252</v>
      </c>
      <c r="Q262" s="2">
        <v>1652</v>
      </c>
      <c r="R262" s="2">
        <v>1652</v>
      </c>
      <c r="S262" s="2">
        <v>1652</v>
      </c>
      <c r="T262" s="2" t="s">
        <v>28</v>
      </c>
      <c r="U262" s="2" t="b">
        <v>0</v>
      </c>
      <c r="V262" s="2" t="s">
        <v>29</v>
      </c>
      <c r="W262" s="2" t="s">
        <v>104</v>
      </c>
      <c r="X262" s="2" t="s">
        <v>105</v>
      </c>
      <c r="Y262" s="2" t="s">
        <v>799</v>
      </c>
      <c r="Z262" s="2" t="s">
        <v>31</v>
      </c>
      <c r="AA262" s="2"/>
      <c r="AB262" s="2"/>
      <c r="AC262" s="2"/>
      <c r="AD262" s="2"/>
      <c r="AK262" s="8">
        <f t="shared" si="4"/>
        <v>45680</v>
      </c>
    </row>
    <row r="263" spans="1:37" ht="15" customHeight="1">
      <c r="A263" s="2" t="s">
        <v>800</v>
      </c>
      <c r="B263" s="2">
        <v>0</v>
      </c>
      <c r="C263" s="2"/>
      <c r="D263" s="2" t="s">
        <v>305</v>
      </c>
      <c r="E263" s="2" t="s">
        <v>422</v>
      </c>
      <c r="F263" s="3">
        <v>45680</v>
      </c>
      <c r="G263" s="3">
        <v>45680</v>
      </c>
      <c r="H263" s="3">
        <v>45680</v>
      </c>
      <c r="I263" s="2"/>
      <c r="J263" s="2"/>
      <c r="K263" s="2" t="s">
        <v>25</v>
      </c>
      <c r="L263" s="2" t="s">
        <v>26</v>
      </c>
      <c r="M263" s="2"/>
      <c r="N263" s="2" t="s">
        <v>27</v>
      </c>
      <c r="O263" s="2">
        <v>1400</v>
      </c>
      <c r="P263" s="2">
        <v>252</v>
      </c>
      <c r="Q263" s="2">
        <v>1652</v>
      </c>
      <c r="R263" s="2">
        <v>1652</v>
      </c>
      <c r="S263" s="2">
        <v>1652</v>
      </c>
      <c r="T263" s="2" t="s">
        <v>28</v>
      </c>
      <c r="U263" s="2" t="b">
        <v>0</v>
      </c>
      <c r="V263" s="2" t="s">
        <v>29</v>
      </c>
      <c r="W263" s="2" t="s">
        <v>104</v>
      </c>
      <c r="X263" s="2" t="s">
        <v>105</v>
      </c>
      <c r="Y263" s="2" t="s">
        <v>801</v>
      </c>
      <c r="Z263" s="2" t="s">
        <v>31</v>
      </c>
      <c r="AA263" s="2"/>
      <c r="AB263" s="2"/>
      <c r="AC263" s="2"/>
      <c r="AD263" s="2"/>
      <c r="AK263" s="8">
        <f t="shared" ref="AK263:AK326" si="5">+IF(AE263&lt;&gt;"",AE263,F263)</f>
        <v>45680</v>
      </c>
    </row>
    <row r="264" spans="1:37" ht="15" customHeight="1">
      <c r="A264" s="2" t="s">
        <v>802</v>
      </c>
      <c r="B264" s="2">
        <v>0</v>
      </c>
      <c r="C264" s="2"/>
      <c r="D264" s="2" t="s">
        <v>305</v>
      </c>
      <c r="E264" s="2" t="s">
        <v>422</v>
      </c>
      <c r="F264" s="3">
        <v>45680</v>
      </c>
      <c r="G264" s="3">
        <v>45680</v>
      </c>
      <c r="H264" s="3">
        <v>45680</v>
      </c>
      <c r="I264" s="2"/>
      <c r="J264" s="2"/>
      <c r="K264" s="2" t="s">
        <v>25</v>
      </c>
      <c r="L264" s="2" t="s">
        <v>26</v>
      </c>
      <c r="M264" s="2"/>
      <c r="N264" s="2" t="s">
        <v>27</v>
      </c>
      <c r="O264" s="2">
        <v>3754.15</v>
      </c>
      <c r="P264" s="2">
        <v>675.75</v>
      </c>
      <c r="Q264" s="2">
        <v>4429.8999999999996</v>
      </c>
      <c r="R264" s="2">
        <v>4429.8999999999996</v>
      </c>
      <c r="S264" s="2">
        <v>4429.8999999999996</v>
      </c>
      <c r="T264" s="2" t="s">
        <v>28</v>
      </c>
      <c r="U264" s="2" t="b">
        <v>0</v>
      </c>
      <c r="V264" s="2" t="s">
        <v>29</v>
      </c>
      <c r="W264" s="2" t="s">
        <v>104</v>
      </c>
      <c r="X264" s="2" t="s">
        <v>105</v>
      </c>
      <c r="Y264" s="2" t="s">
        <v>803</v>
      </c>
      <c r="Z264" s="2" t="s">
        <v>31</v>
      </c>
      <c r="AA264" s="2"/>
      <c r="AB264" s="2"/>
      <c r="AC264" s="2"/>
      <c r="AD264" s="2"/>
      <c r="AK264" s="8">
        <f t="shared" si="5"/>
        <v>45680</v>
      </c>
    </row>
    <row r="265" spans="1:37" ht="15" customHeight="1">
      <c r="A265" s="2" t="s">
        <v>804</v>
      </c>
      <c r="B265" s="2">
        <v>0</v>
      </c>
      <c r="C265" s="2"/>
      <c r="D265" s="2" t="s">
        <v>305</v>
      </c>
      <c r="E265" s="2" t="s">
        <v>422</v>
      </c>
      <c r="F265" s="3">
        <v>45680</v>
      </c>
      <c r="G265" s="3">
        <v>45680</v>
      </c>
      <c r="H265" s="3">
        <v>45680</v>
      </c>
      <c r="I265" s="2"/>
      <c r="J265" s="2"/>
      <c r="K265" s="2" t="s">
        <v>25</v>
      </c>
      <c r="L265" s="2" t="s">
        <v>26</v>
      </c>
      <c r="M265" s="2"/>
      <c r="N265" s="2" t="s">
        <v>27</v>
      </c>
      <c r="O265" s="2">
        <v>288.14</v>
      </c>
      <c r="P265" s="2">
        <v>51.86</v>
      </c>
      <c r="Q265" s="2">
        <v>340</v>
      </c>
      <c r="R265" s="2">
        <v>340</v>
      </c>
      <c r="S265" s="2">
        <v>340</v>
      </c>
      <c r="T265" s="2" t="s">
        <v>28</v>
      </c>
      <c r="U265" s="2" t="b">
        <v>0</v>
      </c>
      <c r="V265" s="2" t="s">
        <v>29</v>
      </c>
      <c r="W265" s="2" t="s">
        <v>104</v>
      </c>
      <c r="X265" s="2" t="s">
        <v>105</v>
      </c>
      <c r="Y265" s="2" t="s">
        <v>805</v>
      </c>
      <c r="Z265" s="2" t="s">
        <v>31</v>
      </c>
      <c r="AA265" s="2"/>
      <c r="AB265" s="2"/>
      <c r="AC265" s="2"/>
      <c r="AD265" s="2"/>
      <c r="AK265" s="8">
        <f t="shared" si="5"/>
        <v>45680</v>
      </c>
    </row>
    <row r="266" spans="1:37" ht="15" customHeight="1">
      <c r="A266" s="2" t="s">
        <v>806</v>
      </c>
      <c r="B266" s="2">
        <v>0</v>
      </c>
      <c r="C266" s="2"/>
      <c r="D266" s="2" t="s">
        <v>305</v>
      </c>
      <c r="E266" s="2" t="s">
        <v>422</v>
      </c>
      <c r="F266" s="3">
        <v>45680</v>
      </c>
      <c r="G266" s="3">
        <v>45680</v>
      </c>
      <c r="H266" s="3">
        <v>45680</v>
      </c>
      <c r="I266" s="2"/>
      <c r="J266" s="2"/>
      <c r="K266" s="2" t="s">
        <v>25</v>
      </c>
      <c r="L266" s="2" t="s">
        <v>26</v>
      </c>
      <c r="M266" s="2"/>
      <c r="N266" s="2" t="s">
        <v>27</v>
      </c>
      <c r="O266" s="2">
        <v>1</v>
      </c>
      <c r="P266" s="2">
        <v>0.18</v>
      </c>
      <c r="Q266" s="2">
        <v>1.18</v>
      </c>
      <c r="R266" s="2">
        <v>1.18</v>
      </c>
      <c r="S266" s="2">
        <v>1.18</v>
      </c>
      <c r="T266" s="2" t="s">
        <v>28</v>
      </c>
      <c r="U266" s="2" t="b">
        <v>0</v>
      </c>
      <c r="V266" s="2" t="s">
        <v>29</v>
      </c>
      <c r="W266" s="2" t="s">
        <v>104</v>
      </c>
      <c r="X266" s="2" t="s">
        <v>105</v>
      </c>
      <c r="Y266" s="2" t="s">
        <v>807</v>
      </c>
      <c r="Z266" s="2" t="s">
        <v>31</v>
      </c>
      <c r="AA266" s="2"/>
      <c r="AB266" s="2"/>
      <c r="AC266" s="2"/>
      <c r="AD266" s="2"/>
      <c r="AK266" s="8">
        <f t="shared" si="5"/>
        <v>45680</v>
      </c>
    </row>
    <row r="267" spans="1:37" ht="15" customHeight="1">
      <c r="A267" s="2" t="s">
        <v>808</v>
      </c>
      <c r="B267" s="2">
        <v>0</v>
      </c>
      <c r="C267" s="2"/>
      <c r="D267" s="2" t="s">
        <v>305</v>
      </c>
      <c r="E267" s="2" t="s">
        <v>422</v>
      </c>
      <c r="F267" s="3">
        <v>45680</v>
      </c>
      <c r="G267" s="3">
        <v>45680</v>
      </c>
      <c r="H267" s="3">
        <v>45680</v>
      </c>
      <c r="I267" s="2"/>
      <c r="J267" s="2"/>
      <c r="K267" s="2" t="s">
        <v>25</v>
      </c>
      <c r="L267" s="2" t="s">
        <v>26</v>
      </c>
      <c r="M267" s="2"/>
      <c r="N267" s="2" t="s">
        <v>27</v>
      </c>
      <c r="O267" s="2">
        <v>2400</v>
      </c>
      <c r="P267" s="2">
        <v>432</v>
      </c>
      <c r="Q267" s="2">
        <v>2832</v>
      </c>
      <c r="R267" s="2">
        <v>2832</v>
      </c>
      <c r="S267" s="2">
        <v>2832</v>
      </c>
      <c r="T267" s="2" t="s">
        <v>28</v>
      </c>
      <c r="U267" s="2" t="b">
        <v>0</v>
      </c>
      <c r="V267" s="2" t="s">
        <v>29</v>
      </c>
      <c r="W267" s="2" t="s">
        <v>104</v>
      </c>
      <c r="X267" s="2" t="s">
        <v>105</v>
      </c>
      <c r="Y267" s="2" t="s">
        <v>809</v>
      </c>
      <c r="Z267" s="2" t="s">
        <v>31</v>
      </c>
      <c r="AA267" s="2"/>
      <c r="AB267" s="2"/>
      <c r="AC267" s="2"/>
      <c r="AD267" s="2"/>
      <c r="AK267" s="8">
        <f t="shared" si="5"/>
        <v>45680</v>
      </c>
    </row>
    <row r="268" spans="1:37" ht="15" customHeight="1">
      <c r="A268" s="2" t="s">
        <v>810</v>
      </c>
      <c r="B268" s="2">
        <v>0</v>
      </c>
      <c r="C268" s="2"/>
      <c r="D268" s="2" t="s">
        <v>305</v>
      </c>
      <c r="E268" s="2" t="s">
        <v>422</v>
      </c>
      <c r="F268" s="3">
        <v>45680</v>
      </c>
      <c r="G268" s="3">
        <v>45680</v>
      </c>
      <c r="H268" s="3">
        <v>45680</v>
      </c>
      <c r="I268" s="2"/>
      <c r="J268" s="2"/>
      <c r="K268" s="2" t="s">
        <v>25</v>
      </c>
      <c r="L268" s="2" t="s">
        <v>26</v>
      </c>
      <c r="M268" s="2"/>
      <c r="N268" s="2" t="s">
        <v>27</v>
      </c>
      <c r="O268" s="2">
        <v>800</v>
      </c>
      <c r="P268" s="2">
        <v>144</v>
      </c>
      <c r="Q268" s="2">
        <v>944</v>
      </c>
      <c r="R268" s="2">
        <v>944</v>
      </c>
      <c r="S268" s="2">
        <v>944</v>
      </c>
      <c r="T268" s="2" t="s">
        <v>28</v>
      </c>
      <c r="U268" s="2" t="b">
        <v>0</v>
      </c>
      <c r="V268" s="2" t="s">
        <v>29</v>
      </c>
      <c r="W268" s="2" t="s">
        <v>104</v>
      </c>
      <c r="X268" s="2" t="s">
        <v>105</v>
      </c>
      <c r="Y268" s="2" t="s">
        <v>811</v>
      </c>
      <c r="Z268" s="2" t="s">
        <v>31</v>
      </c>
      <c r="AA268" s="2"/>
      <c r="AB268" s="2"/>
      <c r="AC268" s="2"/>
      <c r="AD268" s="2"/>
      <c r="AK268" s="8">
        <f t="shared" si="5"/>
        <v>45680</v>
      </c>
    </row>
    <row r="269" spans="1:37" ht="15" customHeight="1">
      <c r="A269" s="2" t="s">
        <v>812</v>
      </c>
      <c r="B269" s="2">
        <v>0</v>
      </c>
      <c r="C269" s="2"/>
      <c r="D269" s="2" t="s">
        <v>305</v>
      </c>
      <c r="E269" s="2" t="s">
        <v>422</v>
      </c>
      <c r="F269" s="3">
        <v>45680</v>
      </c>
      <c r="G269" s="3">
        <v>45680</v>
      </c>
      <c r="H269" s="3">
        <v>45680</v>
      </c>
      <c r="I269" s="2"/>
      <c r="J269" s="2"/>
      <c r="K269" s="2" t="s">
        <v>25</v>
      </c>
      <c r="L269" s="2" t="s">
        <v>26</v>
      </c>
      <c r="M269" s="2"/>
      <c r="N269" s="2" t="s">
        <v>27</v>
      </c>
      <c r="O269" s="2">
        <v>800</v>
      </c>
      <c r="P269" s="2">
        <v>144</v>
      </c>
      <c r="Q269" s="2">
        <v>944</v>
      </c>
      <c r="R269" s="2">
        <v>944</v>
      </c>
      <c r="S269" s="2">
        <v>944</v>
      </c>
      <c r="T269" s="2" t="s">
        <v>28</v>
      </c>
      <c r="U269" s="2" t="b">
        <v>0</v>
      </c>
      <c r="V269" s="2" t="s">
        <v>29</v>
      </c>
      <c r="W269" s="2" t="s">
        <v>104</v>
      </c>
      <c r="X269" s="2" t="s">
        <v>105</v>
      </c>
      <c r="Y269" s="2" t="s">
        <v>813</v>
      </c>
      <c r="Z269" s="2" t="s">
        <v>31</v>
      </c>
      <c r="AA269" s="2"/>
      <c r="AB269" s="2"/>
      <c r="AC269" s="2"/>
      <c r="AD269" s="2"/>
      <c r="AK269" s="8">
        <f t="shared" si="5"/>
        <v>45680</v>
      </c>
    </row>
    <row r="270" spans="1:37" ht="15" customHeight="1">
      <c r="A270" s="2" t="s">
        <v>814</v>
      </c>
      <c r="B270" s="2">
        <v>0</v>
      </c>
      <c r="C270" s="2"/>
      <c r="D270" s="2" t="s">
        <v>305</v>
      </c>
      <c r="E270" s="2" t="s">
        <v>422</v>
      </c>
      <c r="F270" s="3">
        <v>45680</v>
      </c>
      <c r="G270" s="3">
        <v>45680</v>
      </c>
      <c r="H270" s="3">
        <v>45680</v>
      </c>
      <c r="I270" s="2"/>
      <c r="J270" s="2"/>
      <c r="K270" s="2" t="s">
        <v>25</v>
      </c>
      <c r="L270" s="2" t="s">
        <v>26</v>
      </c>
      <c r="M270" s="2"/>
      <c r="N270" s="2" t="s">
        <v>27</v>
      </c>
      <c r="O270" s="2">
        <v>800</v>
      </c>
      <c r="P270" s="2">
        <v>144</v>
      </c>
      <c r="Q270" s="2">
        <v>944</v>
      </c>
      <c r="R270" s="2">
        <v>944</v>
      </c>
      <c r="S270" s="2">
        <v>944</v>
      </c>
      <c r="T270" s="2" t="s">
        <v>28</v>
      </c>
      <c r="U270" s="2" t="b">
        <v>0</v>
      </c>
      <c r="V270" s="2" t="s">
        <v>29</v>
      </c>
      <c r="W270" s="2" t="s">
        <v>104</v>
      </c>
      <c r="X270" s="2" t="s">
        <v>105</v>
      </c>
      <c r="Y270" s="2" t="s">
        <v>815</v>
      </c>
      <c r="Z270" s="2" t="s">
        <v>31</v>
      </c>
      <c r="AA270" s="2"/>
      <c r="AB270" s="2"/>
      <c r="AC270" s="2"/>
      <c r="AD270" s="2"/>
      <c r="AK270" s="8">
        <f t="shared" si="5"/>
        <v>45680</v>
      </c>
    </row>
    <row r="271" spans="1:37" ht="15" customHeight="1">
      <c r="A271" s="2" t="s">
        <v>816</v>
      </c>
      <c r="B271" s="2">
        <v>0</v>
      </c>
      <c r="C271" s="2"/>
      <c r="D271" s="2" t="s">
        <v>305</v>
      </c>
      <c r="E271" s="2" t="s">
        <v>422</v>
      </c>
      <c r="F271" s="3">
        <v>45680</v>
      </c>
      <c r="G271" s="3">
        <v>45680</v>
      </c>
      <c r="H271" s="3">
        <v>45680</v>
      </c>
      <c r="I271" s="2"/>
      <c r="J271" s="2"/>
      <c r="K271" s="2" t="s">
        <v>25</v>
      </c>
      <c r="L271" s="2" t="s">
        <v>26</v>
      </c>
      <c r="M271" s="2"/>
      <c r="N271" s="2" t="s">
        <v>27</v>
      </c>
      <c r="O271" s="2">
        <v>2200</v>
      </c>
      <c r="P271" s="2">
        <v>396</v>
      </c>
      <c r="Q271" s="2">
        <v>2596</v>
      </c>
      <c r="R271" s="2">
        <v>2596</v>
      </c>
      <c r="S271" s="2">
        <v>2596</v>
      </c>
      <c r="T271" s="2" t="s">
        <v>28</v>
      </c>
      <c r="U271" s="2" t="b">
        <v>0</v>
      </c>
      <c r="V271" s="2" t="s">
        <v>29</v>
      </c>
      <c r="W271" s="2" t="s">
        <v>104</v>
      </c>
      <c r="X271" s="2" t="s">
        <v>105</v>
      </c>
      <c r="Y271" s="2" t="s">
        <v>817</v>
      </c>
      <c r="Z271" s="2" t="s">
        <v>31</v>
      </c>
      <c r="AA271" s="2"/>
      <c r="AB271" s="2"/>
      <c r="AC271" s="2"/>
      <c r="AD271" s="2"/>
      <c r="AK271" s="8">
        <f t="shared" si="5"/>
        <v>45680</v>
      </c>
    </row>
    <row r="272" spans="1:37" ht="15" customHeight="1">
      <c r="A272" s="2" t="s">
        <v>818</v>
      </c>
      <c r="B272" s="2">
        <v>0</v>
      </c>
      <c r="C272" s="2"/>
      <c r="D272" s="2" t="s">
        <v>305</v>
      </c>
      <c r="E272" s="2" t="s">
        <v>422</v>
      </c>
      <c r="F272" s="3">
        <v>45680</v>
      </c>
      <c r="G272" s="3">
        <v>45680</v>
      </c>
      <c r="H272" s="3">
        <v>45680</v>
      </c>
      <c r="I272" s="2"/>
      <c r="J272" s="2"/>
      <c r="K272" s="2" t="s">
        <v>25</v>
      </c>
      <c r="L272" s="2" t="s">
        <v>26</v>
      </c>
      <c r="M272" s="2"/>
      <c r="N272" s="2" t="s">
        <v>27</v>
      </c>
      <c r="O272" s="2">
        <v>5158.5600000000004</v>
      </c>
      <c r="P272" s="2">
        <v>928.54</v>
      </c>
      <c r="Q272" s="2">
        <v>6087.1</v>
      </c>
      <c r="R272" s="2">
        <v>6087.1</v>
      </c>
      <c r="S272" s="2">
        <v>6087.1</v>
      </c>
      <c r="T272" s="2" t="s">
        <v>28</v>
      </c>
      <c r="U272" s="2" t="b">
        <v>0</v>
      </c>
      <c r="V272" s="2" t="s">
        <v>29</v>
      </c>
      <c r="W272" s="2" t="s">
        <v>104</v>
      </c>
      <c r="X272" s="2" t="s">
        <v>105</v>
      </c>
      <c r="Y272" s="2" t="s">
        <v>819</v>
      </c>
      <c r="Z272" s="2" t="s">
        <v>31</v>
      </c>
      <c r="AA272" s="2"/>
      <c r="AB272" s="2"/>
      <c r="AC272" s="2"/>
      <c r="AD272" s="2"/>
      <c r="AK272" s="8">
        <f t="shared" si="5"/>
        <v>45680</v>
      </c>
    </row>
    <row r="273" spans="1:37" ht="15" customHeight="1">
      <c r="A273" s="2" t="s">
        <v>820</v>
      </c>
      <c r="B273" s="2">
        <v>0</v>
      </c>
      <c r="C273" s="2"/>
      <c r="D273" s="2" t="s">
        <v>305</v>
      </c>
      <c r="E273" s="2" t="s">
        <v>422</v>
      </c>
      <c r="F273" s="3">
        <v>45680</v>
      </c>
      <c r="G273" s="3">
        <v>45680</v>
      </c>
      <c r="H273" s="3">
        <v>45680</v>
      </c>
      <c r="I273" s="2"/>
      <c r="J273" s="2"/>
      <c r="K273" s="2" t="s">
        <v>25</v>
      </c>
      <c r="L273" s="2" t="s">
        <v>26</v>
      </c>
      <c r="M273" s="2"/>
      <c r="N273" s="2" t="s">
        <v>27</v>
      </c>
      <c r="O273" s="2">
        <v>3246.44</v>
      </c>
      <c r="P273" s="2">
        <v>584.36</v>
      </c>
      <c r="Q273" s="2">
        <v>3830.8</v>
      </c>
      <c r="R273" s="2">
        <v>3830.8</v>
      </c>
      <c r="S273" s="2">
        <v>3830.8</v>
      </c>
      <c r="T273" s="2" t="s">
        <v>28</v>
      </c>
      <c r="U273" s="2" t="b">
        <v>0</v>
      </c>
      <c r="V273" s="2" t="s">
        <v>29</v>
      </c>
      <c r="W273" s="2" t="s">
        <v>104</v>
      </c>
      <c r="X273" s="2" t="s">
        <v>105</v>
      </c>
      <c r="Y273" s="2" t="s">
        <v>821</v>
      </c>
      <c r="Z273" s="2" t="s">
        <v>31</v>
      </c>
      <c r="AA273" s="2"/>
      <c r="AB273" s="2"/>
      <c r="AC273" s="2"/>
      <c r="AD273" s="2"/>
      <c r="AK273" s="8">
        <f t="shared" si="5"/>
        <v>45680</v>
      </c>
    </row>
    <row r="274" spans="1:37" ht="15" customHeight="1">
      <c r="A274" s="2" t="s">
        <v>822</v>
      </c>
      <c r="B274" s="2">
        <v>0</v>
      </c>
      <c r="C274" s="2"/>
      <c r="D274" s="2" t="s">
        <v>305</v>
      </c>
      <c r="E274" s="2" t="s">
        <v>497</v>
      </c>
      <c r="F274" s="3">
        <v>45680</v>
      </c>
      <c r="G274" s="3">
        <v>45680</v>
      </c>
      <c r="H274" s="3">
        <v>45680</v>
      </c>
      <c r="I274" s="2"/>
      <c r="J274" s="2"/>
      <c r="K274" s="2" t="s">
        <v>25</v>
      </c>
      <c r="L274" s="2" t="s">
        <v>26</v>
      </c>
      <c r="M274" s="2"/>
      <c r="N274" s="2" t="s">
        <v>27</v>
      </c>
      <c r="O274" s="2">
        <v>25.34</v>
      </c>
      <c r="P274" s="2">
        <v>4.5599999999999996</v>
      </c>
      <c r="Q274" s="2">
        <v>29.9</v>
      </c>
      <c r="R274" s="2">
        <v>29.9</v>
      </c>
      <c r="S274" s="2">
        <v>29.9</v>
      </c>
      <c r="T274" s="2" t="s">
        <v>28</v>
      </c>
      <c r="U274" s="2" t="b">
        <v>0</v>
      </c>
      <c r="V274" s="2" t="s">
        <v>29</v>
      </c>
      <c r="W274" s="2" t="s">
        <v>104</v>
      </c>
      <c r="X274" s="2" t="s">
        <v>105</v>
      </c>
      <c r="Y274" s="2" t="s">
        <v>823</v>
      </c>
      <c r="Z274" s="2" t="s">
        <v>31</v>
      </c>
      <c r="AA274" s="2"/>
      <c r="AB274" s="2"/>
      <c r="AC274" s="2"/>
      <c r="AD274" s="2"/>
      <c r="AK274" s="8">
        <f t="shared" si="5"/>
        <v>45680</v>
      </c>
    </row>
    <row r="275" spans="1:37" ht="15" customHeight="1">
      <c r="A275" s="2" t="s">
        <v>824</v>
      </c>
      <c r="B275" s="2">
        <v>0</v>
      </c>
      <c r="C275" s="2"/>
      <c r="D275" s="2" t="s">
        <v>305</v>
      </c>
      <c r="E275" s="2" t="s">
        <v>497</v>
      </c>
      <c r="F275" s="3">
        <v>45680</v>
      </c>
      <c r="G275" s="3">
        <v>45680</v>
      </c>
      <c r="H275" s="3">
        <v>45680</v>
      </c>
      <c r="I275" s="2"/>
      <c r="J275" s="2"/>
      <c r="K275" s="2" t="s">
        <v>25</v>
      </c>
      <c r="L275" s="2" t="s">
        <v>26</v>
      </c>
      <c r="M275" s="2"/>
      <c r="N275" s="2" t="s">
        <v>27</v>
      </c>
      <c r="O275" s="2">
        <v>18.05</v>
      </c>
      <c r="P275" s="2">
        <v>3.25</v>
      </c>
      <c r="Q275" s="2">
        <v>21.3</v>
      </c>
      <c r="R275" s="2">
        <v>21.3</v>
      </c>
      <c r="S275" s="2">
        <v>21.3</v>
      </c>
      <c r="T275" s="2" t="s">
        <v>28</v>
      </c>
      <c r="U275" s="2" t="b">
        <v>0</v>
      </c>
      <c r="V275" s="2" t="s">
        <v>29</v>
      </c>
      <c r="W275" s="2" t="s">
        <v>104</v>
      </c>
      <c r="X275" s="2" t="s">
        <v>105</v>
      </c>
      <c r="Y275" s="2" t="s">
        <v>825</v>
      </c>
      <c r="Z275" s="2" t="s">
        <v>31</v>
      </c>
      <c r="AA275" s="2"/>
      <c r="AB275" s="2"/>
      <c r="AC275" s="2"/>
      <c r="AD275" s="2"/>
      <c r="AK275" s="8">
        <f t="shared" si="5"/>
        <v>45680</v>
      </c>
    </row>
    <row r="276" spans="1:37" ht="15" customHeight="1">
      <c r="A276" s="2" t="s">
        <v>826</v>
      </c>
      <c r="B276" s="2">
        <v>0</v>
      </c>
      <c r="C276" s="2"/>
      <c r="D276" s="2" t="s">
        <v>305</v>
      </c>
      <c r="E276" s="2" t="s">
        <v>431</v>
      </c>
      <c r="F276" s="3">
        <v>45680</v>
      </c>
      <c r="G276" s="3">
        <v>45680</v>
      </c>
      <c r="H276" s="3">
        <v>45680</v>
      </c>
      <c r="I276" s="2"/>
      <c r="J276" s="2"/>
      <c r="K276" s="2" t="s">
        <v>25</v>
      </c>
      <c r="L276" s="2" t="s">
        <v>26</v>
      </c>
      <c r="M276" s="2"/>
      <c r="N276" s="2" t="s">
        <v>27</v>
      </c>
      <c r="O276" s="2">
        <v>600</v>
      </c>
      <c r="P276" s="2">
        <v>108</v>
      </c>
      <c r="Q276" s="2">
        <v>708</v>
      </c>
      <c r="R276" s="2">
        <v>708</v>
      </c>
      <c r="S276" s="2">
        <v>708</v>
      </c>
      <c r="T276" s="2" t="s">
        <v>28</v>
      </c>
      <c r="U276" s="2" t="b">
        <v>0</v>
      </c>
      <c r="V276" s="2" t="s">
        <v>29</v>
      </c>
      <c r="W276" s="2" t="s">
        <v>104</v>
      </c>
      <c r="X276" s="2" t="s">
        <v>105</v>
      </c>
      <c r="Y276" s="2" t="s">
        <v>827</v>
      </c>
      <c r="Z276" s="2" t="s">
        <v>31</v>
      </c>
      <c r="AA276" s="2"/>
      <c r="AB276" s="2"/>
      <c r="AC276" s="2"/>
      <c r="AD276" s="2"/>
      <c r="AK276" s="8">
        <f t="shared" si="5"/>
        <v>45680</v>
      </c>
    </row>
    <row r="277" spans="1:37" ht="15" customHeight="1">
      <c r="A277" s="2" t="s">
        <v>828</v>
      </c>
      <c r="B277" s="2">
        <v>0</v>
      </c>
      <c r="C277" s="2"/>
      <c r="D277" s="2" t="s">
        <v>305</v>
      </c>
      <c r="E277" s="2" t="s">
        <v>431</v>
      </c>
      <c r="F277" s="3">
        <v>45680</v>
      </c>
      <c r="G277" s="3">
        <v>45680</v>
      </c>
      <c r="H277" s="3">
        <v>45680</v>
      </c>
      <c r="I277" s="2"/>
      <c r="J277" s="2"/>
      <c r="K277" s="2" t="s">
        <v>25</v>
      </c>
      <c r="L277" s="2" t="s">
        <v>26</v>
      </c>
      <c r="M277" s="2"/>
      <c r="N277" s="2" t="s">
        <v>27</v>
      </c>
      <c r="O277" s="2">
        <v>1000</v>
      </c>
      <c r="P277" s="2">
        <v>180</v>
      </c>
      <c r="Q277" s="2">
        <v>1180</v>
      </c>
      <c r="R277" s="2">
        <v>1180</v>
      </c>
      <c r="S277" s="2">
        <v>1180</v>
      </c>
      <c r="T277" s="2" t="s">
        <v>28</v>
      </c>
      <c r="U277" s="2" t="b">
        <v>0</v>
      </c>
      <c r="V277" s="2" t="s">
        <v>29</v>
      </c>
      <c r="W277" s="2" t="s">
        <v>104</v>
      </c>
      <c r="X277" s="2" t="s">
        <v>105</v>
      </c>
      <c r="Y277" s="2" t="s">
        <v>829</v>
      </c>
      <c r="Z277" s="2" t="s">
        <v>31</v>
      </c>
      <c r="AA277" s="2"/>
      <c r="AB277" s="2"/>
      <c r="AC277" s="2"/>
      <c r="AD277" s="2"/>
      <c r="AK277" s="8">
        <f t="shared" si="5"/>
        <v>45680</v>
      </c>
    </row>
    <row r="278" spans="1:37" ht="15" customHeight="1">
      <c r="A278" s="2" t="s">
        <v>830</v>
      </c>
      <c r="B278" s="2">
        <v>0</v>
      </c>
      <c r="C278" s="2"/>
      <c r="D278" s="2" t="s">
        <v>305</v>
      </c>
      <c r="E278" s="2" t="s">
        <v>431</v>
      </c>
      <c r="F278" s="3">
        <v>45680</v>
      </c>
      <c r="G278" s="3">
        <v>45680</v>
      </c>
      <c r="H278" s="3">
        <v>45680</v>
      </c>
      <c r="I278" s="2"/>
      <c r="J278" s="2"/>
      <c r="K278" s="2" t="s">
        <v>25</v>
      </c>
      <c r="L278" s="2" t="s">
        <v>26</v>
      </c>
      <c r="M278" s="2"/>
      <c r="N278" s="2" t="s">
        <v>27</v>
      </c>
      <c r="O278" s="2">
        <v>3384.15</v>
      </c>
      <c r="P278" s="2">
        <v>609.15</v>
      </c>
      <c r="Q278" s="2">
        <v>3993.3</v>
      </c>
      <c r="R278" s="2">
        <v>3993.3</v>
      </c>
      <c r="S278" s="2">
        <v>3993.3</v>
      </c>
      <c r="T278" s="2" t="s">
        <v>28</v>
      </c>
      <c r="U278" s="2" t="b">
        <v>0</v>
      </c>
      <c r="V278" s="2" t="s">
        <v>29</v>
      </c>
      <c r="W278" s="2" t="s">
        <v>104</v>
      </c>
      <c r="X278" s="2" t="s">
        <v>105</v>
      </c>
      <c r="Y278" s="2" t="s">
        <v>831</v>
      </c>
      <c r="Z278" s="2" t="s">
        <v>31</v>
      </c>
      <c r="AA278" s="2"/>
      <c r="AB278" s="2"/>
      <c r="AC278" s="2"/>
      <c r="AD278" s="2"/>
      <c r="AK278" s="8">
        <f t="shared" si="5"/>
        <v>45680</v>
      </c>
    </row>
    <row r="279" spans="1:37" ht="15" customHeight="1">
      <c r="A279" s="2" t="s">
        <v>832</v>
      </c>
      <c r="B279" s="2">
        <v>0</v>
      </c>
      <c r="C279" s="2"/>
      <c r="D279" s="2" t="s">
        <v>305</v>
      </c>
      <c r="E279" s="2" t="s">
        <v>431</v>
      </c>
      <c r="F279" s="3">
        <v>45680</v>
      </c>
      <c r="G279" s="3">
        <v>45680</v>
      </c>
      <c r="H279" s="3">
        <v>45680</v>
      </c>
      <c r="I279" s="2"/>
      <c r="J279" s="2"/>
      <c r="K279" s="2" t="s">
        <v>25</v>
      </c>
      <c r="L279" s="2" t="s">
        <v>26</v>
      </c>
      <c r="M279" s="2"/>
      <c r="N279" s="2" t="s">
        <v>27</v>
      </c>
      <c r="O279" s="2">
        <v>1669.75</v>
      </c>
      <c r="P279" s="2">
        <v>300.55</v>
      </c>
      <c r="Q279" s="2">
        <v>1970.3</v>
      </c>
      <c r="R279" s="2">
        <v>1970.3</v>
      </c>
      <c r="S279" s="2">
        <v>1970.3</v>
      </c>
      <c r="T279" s="2" t="s">
        <v>28</v>
      </c>
      <c r="U279" s="2" t="b">
        <v>0</v>
      </c>
      <c r="V279" s="2" t="s">
        <v>29</v>
      </c>
      <c r="W279" s="2" t="s">
        <v>104</v>
      </c>
      <c r="X279" s="2" t="s">
        <v>105</v>
      </c>
      <c r="Y279" s="2" t="s">
        <v>833</v>
      </c>
      <c r="Z279" s="2" t="s">
        <v>31</v>
      </c>
      <c r="AA279" s="2"/>
      <c r="AB279" s="2"/>
      <c r="AC279" s="2"/>
      <c r="AD279" s="2"/>
      <c r="AK279" s="8">
        <f t="shared" si="5"/>
        <v>45680</v>
      </c>
    </row>
    <row r="280" spans="1:37" ht="15" customHeight="1">
      <c r="A280" s="2" t="s">
        <v>834</v>
      </c>
      <c r="B280" s="2">
        <v>0</v>
      </c>
      <c r="C280" s="2"/>
      <c r="D280" s="2" t="s">
        <v>305</v>
      </c>
      <c r="E280" s="2" t="s">
        <v>422</v>
      </c>
      <c r="F280" s="3">
        <v>45680</v>
      </c>
      <c r="G280" s="3">
        <v>45680</v>
      </c>
      <c r="H280" s="3">
        <v>45680</v>
      </c>
      <c r="I280" s="2"/>
      <c r="J280" s="2"/>
      <c r="K280" s="2" t="s">
        <v>25</v>
      </c>
      <c r="L280" s="2" t="s">
        <v>26</v>
      </c>
      <c r="M280" s="2"/>
      <c r="N280" s="2" t="s">
        <v>27</v>
      </c>
      <c r="O280" s="2">
        <v>1</v>
      </c>
      <c r="P280" s="2">
        <v>0.18</v>
      </c>
      <c r="Q280" s="2">
        <v>1.18</v>
      </c>
      <c r="R280" s="2">
        <v>1.18</v>
      </c>
      <c r="S280" s="2">
        <v>1.18</v>
      </c>
      <c r="T280" s="2" t="s">
        <v>28</v>
      </c>
      <c r="U280" s="2" t="b">
        <v>0</v>
      </c>
      <c r="V280" s="2" t="s">
        <v>29</v>
      </c>
      <c r="W280" s="2" t="s">
        <v>104</v>
      </c>
      <c r="X280" s="2" t="s">
        <v>105</v>
      </c>
      <c r="Y280" s="2" t="s">
        <v>835</v>
      </c>
      <c r="Z280" s="2" t="s">
        <v>31</v>
      </c>
      <c r="AA280" s="2"/>
      <c r="AB280" s="2"/>
      <c r="AC280" s="2"/>
      <c r="AD280" s="2"/>
      <c r="AK280" s="8">
        <f t="shared" si="5"/>
        <v>45680</v>
      </c>
    </row>
    <row r="281" spans="1:37" ht="15" customHeight="1">
      <c r="A281" s="2" t="s">
        <v>836</v>
      </c>
      <c r="B281" s="2">
        <v>0</v>
      </c>
      <c r="C281" s="2"/>
      <c r="D281" s="2" t="s">
        <v>305</v>
      </c>
      <c r="E281" s="2" t="s">
        <v>422</v>
      </c>
      <c r="F281" s="3">
        <v>45680</v>
      </c>
      <c r="G281" s="3">
        <v>45680</v>
      </c>
      <c r="H281" s="3">
        <v>45680</v>
      </c>
      <c r="I281" s="2"/>
      <c r="J281" s="2"/>
      <c r="K281" s="2" t="s">
        <v>25</v>
      </c>
      <c r="L281" s="2" t="s">
        <v>26</v>
      </c>
      <c r="M281" s="2"/>
      <c r="N281" s="2" t="s">
        <v>27</v>
      </c>
      <c r="O281" s="2">
        <v>1400</v>
      </c>
      <c r="P281" s="2">
        <v>252</v>
      </c>
      <c r="Q281" s="2">
        <v>1652</v>
      </c>
      <c r="R281" s="2">
        <v>1652</v>
      </c>
      <c r="S281" s="2">
        <v>1652</v>
      </c>
      <c r="T281" s="2" t="s">
        <v>28</v>
      </c>
      <c r="U281" s="2" t="b">
        <v>0</v>
      </c>
      <c r="V281" s="2" t="s">
        <v>29</v>
      </c>
      <c r="W281" s="2" t="s">
        <v>104</v>
      </c>
      <c r="X281" s="2" t="s">
        <v>105</v>
      </c>
      <c r="Y281" s="2" t="s">
        <v>837</v>
      </c>
      <c r="Z281" s="2" t="s">
        <v>31</v>
      </c>
      <c r="AA281" s="2"/>
      <c r="AB281" s="2"/>
      <c r="AC281" s="2"/>
      <c r="AD281" s="2"/>
      <c r="AK281" s="8">
        <f t="shared" si="5"/>
        <v>45680</v>
      </c>
    </row>
    <row r="282" spans="1:37" ht="15" customHeight="1">
      <c r="A282" s="2" t="s">
        <v>838</v>
      </c>
      <c r="B282" s="2">
        <v>0</v>
      </c>
      <c r="C282" s="2"/>
      <c r="D282" s="2" t="s">
        <v>305</v>
      </c>
      <c r="E282" s="2" t="s">
        <v>422</v>
      </c>
      <c r="F282" s="3">
        <v>45680</v>
      </c>
      <c r="G282" s="3">
        <v>45680</v>
      </c>
      <c r="H282" s="3">
        <v>45680</v>
      </c>
      <c r="I282" s="2"/>
      <c r="J282" s="2"/>
      <c r="K282" s="2" t="s">
        <v>25</v>
      </c>
      <c r="L282" s="2" t="s">
        <v>26</v>
      </c>
      <c r="M282" s="2"/>
      <c r="N282" s="2" t="s">
        <v>27</v>
      </c>
      <c r="O282" s="2">
        <v>2372.2399999999998</v>
      </c>
      <c r="P282" s="2">
        <v>427</v>
      </c>
      <c r="Q282" s="2">
        <v>2799.24</v>
      </c>
      <c r="R282" s="2">
        <v>2799.24</v>
      </c>
      <c r="S282" s="2">
        <v>2799.24</v>
      </c>
      <c r="T282" s="2" t="s">
        <v>28</v>
      </c>
      <c r="U282" s="2" t="b">
        <v>0</v>
      </c>
      <c r="V282" s="2" t="s">
        <v>29</v>
      </c>
      <c r="W282" s="2" t="s">
        <v>104</v>
      </c>
      <c r="X282" s="2" t="s">
        <v>105</v>
      </c>
      <c r="Y282" s="2" t="s">
        <v>839</v>
      </c>
      <c r="Z282" s="2" t="s">
        <v>31</v>
      </c>
      <c r="AA282" s="2"/>
      <c r="AB282" s="2"/>
      <c r="AC282" s="2"/>
      <c r="AD282" s="2"/>
      <c r="AK282" s="8">
        <f t="shared" si="5"/>
        <v>45680</v>
      </c>
    </row>
    <row r="283" spans="1:37" ht="15" customHeight="1">
      <c r="A283" s="2" t="s">
        <v>840</v>
      </c>
      <c r="B283" s="2">
        <v>0</v>
      </c>
      <c r="C283" s="2"/>
      <c r="D283" s="2" t="s">
        <v>305</v>
      </c>
      <c r="E283" s="2" t="s">
        <v>422</v>
      </c>
      <c r="F283" s="3">
        <v>45680</v>
      </c>
      <c r="G283" s="3">
        <v>45680</v>
      </c>
      <c r="H283" s="3">
        <v>45680</v>
      </c>
      <c r="I283" s="2"/>
      <c r="J283" s="2"/>
      <c r="K283" s="2" t="s">
        <v>25</v>
      </c>
      <c r="L283" s="2" t="s">
        <v>26</v>
      </c>
      <c r="M283" s="2"/>
      <c r="N283" s="2" t="s">
        <v>27</v>
      </c>
      <c r="O283" s="2">
        <v>1467.44</v>
      </c>
      <c r="P283" s="2">
        <v>264.14</v>
      </c>
      <c r="Q283" s="2">
        <v>1731.58</v>
      </c>
      <c r="R283" s="2">
        <v>1731.58</v>
      </c>
      <c r="S283" s="2">
        <v>1731.58</v>
      </c>
      <c r="T283" s="2" t="s">
        <v>28</v>
      </c>
      <c r="U283" s="2" t="b">
        <v>0</v>
      </c>
      <c r="V283" s="2" t="s">
        <v>29</v>
      </c>
      <c r="W283" s="2" t="s">
        <v>104</v>
      </c>
      <c r="X283" s="2" t="s">
        <v>105</v>
      </c>
      <c r="Y283" s="2" t="s">
        <v>841</v>
      </c>
      <c r="Z283" s="2" t="s">
        <v>31</v>
      </c>
      <c r="AA283" s="2"/>
      <c r="AB283" s="2"/>
      <c r="AC283" s="2"/>
      <c r="AD283" s="2"/>
      <c r="AK283" s="8">
        <f t="shared" si="5"/>
        <v>45680</v>
      </c>
    </row>
    <row r="284" spans="1:37" ht="15" customHeight="1">
      <c r="A284" s="2" t="s">
        <v>842</v>
      </c>
      <c r="B284" s="2">
        <v>0</v>
      </c>
      <c r="C284" s="2"/>
      <c r="D284" s="2" t="s">
        <v>305</v>
      </c>
      <c r="E284" s="2" t="s">
        <v>422</v>
      </c>
      <c r="F284" s="3">
        <v>45680</v>
      </c>
      <c r="G284" s="3">
        <v>45680</v>
      </c>
      <c r="H284" s="3">
        <v>45680</v>
      </c>
      <c r="I284" s="2"/>
      <c r="J284" s="2"/>
      <c r="K284" s="2" t="s">
        <v>25</v>
      </c>
      <c r="L284" s="2" t="s">
        <v>26</v>
      </c>
      <c r="M284" s="2"/>
      <c r="N284" s="2" t="s">
        <v>27</v>
      </c>
      <c r="O284" s="2">
        <v>1</v>
      </c>
      <c r="P284" s="2">
        <v>0.18</v>
      </c>
      <c r="Q284" s="2">
        <v>1.18</v>
      </c>
      <c r="R284" s="2">
        <v>1.18</v>
      </c>
      <c r="S284" s="2">
        <v>1.18</v>
      </c>
      <c r="T284" s="2" t="s">
        <v>28</v>
      </c>
      <c r="U284" s="2" t="b">
        <v>0</v>
      </c>
      <c r="V284" s="2" t="s">
        <v>29</v>
      </c>
      <c r="W284" s="2" t="s">
        <v>104</v>
      </c>
      <c r="X284" s="2" t="s">
        <v>105</v>
      </c>
      <c r="Y284" s="2" t="s">
        <v>843</v>
      </c>
      <c r="Z284" s="2" t="s">
        <v>31</v>
      </c>
      <c r="AA284" s="2"/>
      <c r="AB284" s="2"/>
      <c r="AC284" s="2"/>
      <c r="AD284" s="2"/>
      <c r="AK284" s="8">
        <f t="shared" si="5"/>
        <v>45680</v>
      </c>
    </row>
    <row r="285" spans="1:37" ht="15" customHeight="1">
      <c r="A285" s="2" t="s">
        <v>844</v>
      </c>
      <c r="B285" s="2">
        <v>0</v>
      </c>
      <c r="C285" s="2"/>
      <c r="D285" s="2" t="s">
        <v>305</v>
      </c>
      <c r="E285" s="2" t="s">
        <v>422</v>
      </c>
      <c r="F285" s="3">
        <v>45680</v>
      </c>
      <c r="G285" s="3">
        <v>45680</v>
      </c>
      <c r="H285" s="3">
        <v>45680</v>
      </c>
      <c r="I285" s="2"/>
      <c r="J285" s="2"/>
      <c r="K285" s="2" t="s">
        <v>25</v>
      </c>
      <c r="L285" s="2" t="s">
        <v>26</v>
      </c>
      <c r="M285" s="2"/>
      <c r="N285" s="2" t="s">
        <v>27</v>
      </c>
      <c r="O285" s="2">
        <v>1400</v>
      </c>
      <c r="P285" s="2">
        <v>252</v>
      </c>
      <c r="Q285" s="2">
        <v>1652</v>
      </c>
      <c r="R285" s="2">
        <v>1652</v>
      </c>
      <c r="S285" s="2">
        <v>1652</v>
      </c>
      <c r="T285" s="2" t="s">
        <v>28</v>
      </c>
      <c r="U285" s="2" t="b">
        <v>0</v>
      </c>
      <c r="V285" s="2" t="s">
        <v>29</v>
      </c>
      <c r="W285" s="2" t="s">
        <v>104</v>
      </c>
      <c r="X285" s="2" t="s">
        <v>105</v>
      </c>
      <c r="Y285" s="2" t="s">
        <v>845</v>
      </c>
      <c r="Z285" s="2" t="s">
        <v>31</v>
      </c>
      <c r="AA285" s="2"/>
      <c r="AB285" s="2"/>
      <c r="AC285" s="2"/>
      <c r="AD285" s="2"/>
      <c r="AK285" s="8">
        <f t="shared" si="5"/>
        <v>45680</v>
      </c>
    </row>
    <row r="286" spans="1:37" ht="15" customHeight="1">
      <c r="A286" s="2" t="s">
        <v>846</v>
      </c>
      <c r="B286" s="2">
        <v>0</v>
      </c>
      <c r="C286" s="2"/>
      <c r="D286" s="2" t="s">
        <v>305</v>
      </c>
      <c r="E286" s="2" t="s">
        <v>422</v>
      </c>
      <c r="F286" s="3">
        <v>45680</v>
      </c>
      <c r="G286" s="3">
        <v>45680</v>
      </c>
      <c r="H286" s="3">
        <v>45680</v>
      </c>
      <c r="I286" s="2"/>
      <c r="J286" s="2"/>
      <c r="K286" s="2" t="s">
        <v>25</v>
      </c>
      <c r="L286" s="2" t="s">
        <v>26</v>
      </c>
      <c r="M286" s="2"/>
      <c r="N286" s="2" t="s">
        <v>27</v>
      </c>
      <c r="O286" s="2">
        <v>2382.31</v>
      </c>
      <c r="P286" s="2">
        <v>428.81</v>
      </c>
      <c r="Q286" s="2">
        <v>2811.12</v>
      </c>
      <c r="R286" s="2">
        <v>2811.12</v>
      </c>
      <c r="S286" s="2">
        <v>2811.12</v>
      </c>
      <c r="T286" s="2" t="s">
        <v>28</v>
      </c>
      <c r="U286" s="2" t="b">
        <v>0</v>
      </c>
      <c r="V286" s="2" t="s">
        <v>29</v>
      </c>
      <c r="W286" s="2" t="s">
        <v>104</v>
      </c>
      <c r="X286" s="2" t="s">
        <v>105</v>
      </c>
      <c r="Y286" s="2" t="s">
        <v>847</v>
      </c>
      <c r="Z286" s="2" t="s">
        <v>31</v>
      </c>
      <c r="AA286" s="2"/>
      <c r="AB286" s="2"/>
      <c r="AC286" s="2"/>
      <c r="AD286" s="2"/>
      <c r="AK286" s="8">
        <f t="shared" si="5"/>
        <v>45680</v>
      </c>
    </row>
    <row r="287" spans="1:37" ht="15" customHeight="1">
      <c r="A287" s="2" t="s">
        <v>848</v>
      </c>
      <c r="B287" s="2">
        <v>0</v>
      </c>
      <c r="C287" s="2"/>
      <c r="D287" s="2" t="s">
        <v>305</v>
      </c>
      <c r="E287" s="2" t="s">
        <v>422</v>
      </c>
      <c r="F287" s="3">
        <v>45680</v>
      </c>
      <c r="G287" s="3">
        <v>45680</v>
      </c>
      <c r="H287" s="3">
        <v>45680</v>
      </c>
      <c r="I287" s="2"/>
      <c r="J287" s="2"/>
      <c r="K287" s="2" t="s">
        <v>25</v>
      </c>
      <c r="L287" s="2" t="s">
        <v>26</v>
      </c>
      <c r="M287" s="2"/>
      <c r="N287" s="2" t="s">
        <v>27</v>
      </c>
      <c r="O287" s="2">
        <v>1468.68</v>
      </c>
      <c r="P287" s="2">
        <v>264.36</v>
      </c>
      <c r="Q287" s="2">
        <v>1733.04</v>
      </c>
      <c r="R287" s="2">
        <v>1733.04</v>
      </c>
      <c r="S287" s="2">
        <v>1733.04</v>
      </c>
      <c r="T287" s="2" t="s">
        <v>28</v>
      </c>
      <c r="U287" s="2" t="b">
        <v>0</v>
      </c>
      <c r="V287" s="2" t="s">
        <v>29</v>
      </c>
      <c r="W287" s="2" t="s">
        <v>104</v>
      </c>
      <c r="X287" s="2" t="s">
        <v>105</v>
      </c>
      <c r="Y287" s="2" t="s">
        <v>849</v>
      </c>
      <c r="Z287" s="2" t="s">
        <v>31</v>
      </c>
      <c r="AA287" s="2"/>
      <c r="AB287" s="2"/>
      <c r="AC287" s="2"/>
      <c r="AD287" s="2"/>
      <c r="AK287" s="8">
        <f t="shared" si="5"/>
        <v>45680</v>
      </c>
    </row>
    <row r="288" spans="1:37" ht="15" customHeight="1">
      <c r="A288" s="2" t="s">
        <v>850</v>
      </c>
      <c r="B288" s="2">
        <v>0</v>
      </c>
      <c r="C288" s="2"/>
      <c r="D288" s="2" t="s">
        <v>305</v>
      </c>
      <c r="E288" s="2" t="s">
        <v>492</v>
      </c>
      <c r="F288" s="3">
        <v>45680</v>
      </c>
      <c r="G288" s="3">
        <v>45680</v>
      </c>
      <c r="H288" s="3">
        <v>45680</v>
      </c>
      <c r="I288" s="2"/>
      <c r="J288" s="2"/>
      <c r="K288" s="2" t="s">
        <v>25</v>
      </c>
      <c r="L288" s="2" t="s">
        <v>26</v>
      </c>
      <c r="M288" s="2"/>
      <c r="N288" s="2" t="s">
        <v>27</v>
      </c>
      <c r="O288" s="2">
        <v>22</v>
      </c>
      <c r="P288" s="2">
        <v>3.96</v>
      </c>
      <c r="Q288" s="2">
        <v>25.96</v>
      </c>
      <c r="R288" s="2">
        <v>25.96</v>
      </c>
      <c r="S288" s="2">
        <v>25.96</v>
      </c>
      <c r="T288" s="2" t="s">
        <v>28</v>
      </c>
      <c r="U288" s="2" t="b">
        <v>0</v>
      </c>
      <c r="V288" s="2" t="s">
        <v>29</v>
      </c>
      <c r="W288" s="2" t="s">
        <v>104</v>
      </c>
      <c r="X288" s="2" t="s">
        <v>105</v>
      </c>
      <c r="Y288" s="2" t="s">
        <v>851</v>
      </c>
      <c r="Z288" s="2" t="s">
        <v>31</v>
      </c>
      <c r="AA288" s="2"/>
      <c r="AB288" s="2"/>
      <c r="AC288" s="2"/>
      <c r="AD288" s="2"/>
      <c r="AK288" s="8">
        <f t="shared" si="5"/>
        <v>45680</v>
      </c>
    </row>
    <row r="289" spans="1:37" ht="15" customHeight="1">
      <c r="A289" s="2" t="s">
        <v>852</v>
      </c>
      <c r="B289" s="2">
        <v>0</v>
      </c>
      <c r="C289" s="2"/>
      <c r="D289" s="2" t="s">
        <v>305</v>
      </c>
      <c r="E289" s="2" t="s">
        <v>492</v>
      </c>
      <c r="F289" s="3">
        <v>45680</v>
      </c>
      <c r="G289" s="3">
        <v>45680</v>
      </c>
      <c r="H289" s="3">
        <v>45680</v>
      </c>
      <c r="I289" s="2"/>
      <c r="J289" s="2"/>
      <c r="K289" s="2" t="s">
        <v>25</v>
      </c>
      <c r="L289" s="2" t="s">
        <v>26</v>
      </c>
      <c r="M289" s="2"/>
      <c r="N289" s="2" t="s">
        <v>27</v>
      </c>
      <c r="O289" s="2">
        <v>20.5</v>
      </c>
      <c r="P289" s="2">
        <v>3.69</v>
      </c>
      <c r="Q289" s="2">
        <v>24.19</v>
      </c>
      <c r="R289" s="2">
        <v>24.19</v>
      </c>
      <c r="S289" s="2">
        <v>24.19</v>
      </c>
      <c r="T289" s="2" t="s">
        <v>28</v>
      </c>
      <c r="U289" s="2" t="b">
        <v>0</v>
      </c>
      <c r="V289" s="2" t="s">
        <v>29</v>
      </c>
      <c r="W289" s="2" t="s">
        <v>104</v>
      </c>
      <c r="X289" s="2" t="s">
        <v>105</v>
      </c>
      <c r="Y289" s="2" t="s">
        <v>853</v>
      </c>
      <c r="Z289" s="2" t="s">
        <v>31</v>
      </c>
      <c r="AA289" s="2"/>
      <c r="AB289" s="2"/>
      <c r="AC289" s="2"/>
      <c r="AD289" s="2"/>
      <c r="AK289" s="8">
        <f t="shared" si="5"/>
        <v>45680</v>
      </c>
    </row>
    <row r="290" spans="1:37" ht="15" customHeight="1">
      <c r="A290" s="2" t="s">
        <v>854</v>
      </c>
      <c r="B290" s="2">
        <v>0</v>
      </c>
      <c r="C290" s="2"/>
      <c r="D290" s="2" t="s">
        <v>305</v>
      </c>
      <c r="E290" s="2" t="s">
        <v>855</v>
      </c>
      <c r="F290" s="3">
        <v>45680</v>
      </c>
      <c r="G290" s="3">
        <v>45680</v>
      </c>
      <c r="H290" s="3">
        <v>45680</v>
      </c>
      <c r="I290" s="2"/>
      <c r="J290" s="2"/>
      <c r="K290" s="2" t="s">
        <v>25</v>
      </c>
      <c r="L290" s="2" t="s">
        <v>26</v>
      </c>
      <c r="M290" s="2"/>
      <c r="N290" s="2" t="s">
        <v>27</v>
      </c>
      <c r="O290" s="2">
        <v>52.29</v>
      </c>
      <c r="P290" s="2">
        <v>9.41</v>
      </c>
      <c r="Q290" s="2">
        <v>61.7</v>
      </c>
      <c r="R290" s="2">
        <v>61.7</v>
      </c>
      <c r="S290" s="2">
        <v>61.7</v>
      </c>
      <c r="T290" s="2" t="s">
        <v>28</v>
      </c>
      <c r="U290" s="2" t="b">
        <v>0</v>
      </c>
      <c r="V290" s="2" t="s">
        <v>29</v>
      </c>
      <c r="W290" s="2" t="s">
        <v>104</v>
      </c>
      <c r="X290" s="2" t="s">
        <v>105</v>
      </c>
      <c r="Y290" s="2" t="s">
        <v>856</v>
      </c>
      <c r="Z290" s="2" t="s">
        <v>31</v>
      </c>
      <c r="AA290" s="2"/>
      <c r="AB290" s="2"/>
      <c r="AC290" s="2"/>
      <c r="AD290" s="2"/>
      <c r="AK290" s="8">
        <f t="shared" si="5"/>
        <v>45680</v>
      </c>
    </row>
    <row r="291" spans="1:37" ht="15" customHeight="1">
      <c r="A291" s="2" t="s">
        <v>857</v>
      </c>
      <c r="B291" s="2">
        <v>0</v>
      </c>
      <c r="C291" s="2"/>
      <c r="D291" s="2" t="s">
        <v>305</v>
      </c>
      <c r="E291" s="2" t="s">
        <v>855</v>
      </c>
      <c r="F291" s="3">
        <v>45680</v>
      </c>
      <c r="G291" s="3">
        <v>45680</v>
      </c>
      <c r="H291" s="3">
        <v>45680</v>
      </c>
      <c r="I291" s="2"/>
      <c r="J291" s="2"/>
      <c r="K291" s="2" t="s">
        <v>25</v>
      </c>
      <c r="L291" s="2" t="s">
        <v>26</v>
      </c>
      <c r="M291" s="2"/>
      <c r="N291" s="2" t="s">
        <v>27</v>
      </c>
      <c r="O291" s="2">
        <v>32.200000000000003</v>
      </c>
      <c r="P291" s="2">
        <v>5.8</v>
      </c>
      <c r="Q291" s="2">
        <v>38</v>
      </c>
      <c r="R291" s="2">
        <v>38</v>
      </c>
      <c r="S291" s="2">
        <v>38</v>
      </c>
      <c r="T291" s="2" t="s">
        <v>28</v>
      </c>
      <c r="U291" s="2" t="b">
        <v>0</v>
      </c>
      <c r="V291" s="2" t="s">
        <v>29</v>
      </c>
      <c r="W291" s="2" t="s">
        <v>104</v>
      </c>
      <c r="X291" s="2" t="s">
        <v>105</v>
      </c>
      <c r="Y291" s="2" t="s">
        <v>858</v>
      </c>
      <c r="Z291" s="2" t="s">
        <v>31</v>
      </c>
      <c r="AA291" s="2"/>
      <c r="AB291" s="2"/>
      <c r="AC291" s="2"/>
      <c r="AD291" s="2"/>
      <c r="AK291" s="8">
        <f t="shared" si="5"/>
        <v>45680</v>
      </c>
    </row>
    <row r="292" spans="1:37" ht="15" customHeight="1">
      <c r="A292" s="2" t="s">
        <v>859</v>
      </c>
      <c r="B292" s="2">
        <v>0</v>
      </c>
      <c r="C292" s="2"/>
      <c r="D292" s="2" t="s">
        <v>272</v>
      </c>
      <c r="E292" s="2" t="s">
        <v>526</v>
      </c>
      <c r="F292" s="3">
        <v>45680</v>
      </c>
      <c r="G292" s="3">
        <v>45680</v>
      </c>
      <c r="H292" s="3">
        <v>45680</v>
      </c>
      <c r="I292" s="2"/>
      <c r="J292" s="2"/>
      <c r="K292" s="2" t="s">
        <v>25</v>
      </c>
      <c r="L292" s="2" t="s">
        <v>26</v>
      </c>
      <c r="M292" s="2"/>
      <c r="N292" s="2" t="s">
        <v>27</v>
      </c>
      <c r="O292" s="2">
        <v>1181.29</v>
      </c>
      <c r="P292" s="2">
        <v>212.63</v>
      </c>
      <c r="Q292" s="2">
        <v>1393.92</v>
      </c>
      <c r="R292" s="2">
        <v>1393.92</v>
      </c>
      <c r="S292" s="2">
        <v>1393.92</v>
      </c>
      <c r="T292" s="2" t="s">
        <v>28</v>
      </c>
      <c r="U292" s="2" t="b">
        <v>0</v>
      </c>
      <c r="V292" s="2" t="s">
        <v>29</v>
      </c>
      <c r="W292" s="2" t="s">
        <v>104</v>
      </c>
      <c r="X292" s="2" t="s">
        <v>105</v>
      </c>
      <c r="Y292" s="2" t="s">
        <v>860</v>
      </c>
      <c r="Z292" s="2" t="s">
        <v>31</v>
      </c>
      <c r="AA292" s="2"/>
      <c r="AB292" s="2"/>
      <c r="AC292" s="2"/>
      <c r="AD292" s="2"/>
      <c r="AK292" s="8">
        <f t="shared" si="5"/>
        <v>45680</v>
      </c>
    </row>
    <row r="293" spans="1:37" ht="15" customHeight="1">
      <c r="A293" s="2" t="s">
        <v>861</v>
      </c>
      <c r="B293" s="2">
        <v>0</v>
      </c>
      <c r="C293" s="2"/>
      <c r="D293" s="2" t="s">
        <v>272</v>
      </c>
      <c r="E293" s="2" t="s">
        <v>526</v>
      </c>
      <c r="F293" s="3">
        <v>45680</v>
      </c>
      <c r="G293" s="3">
        <v>45680</v>
      </c>
      <c r="H293" s="3">
        <v>45680</v>
      </c>
      <c r="I293" s="2"/>
      <c r="J293" s="2"/>
      <c r="K293" s="2" t="s">
        <v>25</v>
      </c>
      <c r="L293" s="2" t="s">
        <v>26</v>
      </c>
      <c r="M293" s="2"/>
      <c r="N293" s="2" t="s">
        <v>27</v>
      </c>
      <c r="O293" s="2">
        <v>1028.46</v>
      </c>
      <c r="P293" s="2">
        <v>185.12</v>
      </c>
      <c r="Q293" s="2">
        <v>1213.58</v>
      </c>
      <c r="R293" s="2">
        <v>1213.58</v>
      </c>
      <c r="S293" s="2">
        <v>1213.58</v>
      </c>
      <c r="T293" s="2" t="s">
        <v>28</v>
      </c>
      <c r="U293" s="2" t="b">
        <v>0</v>
      </c>
      <c r="V293" s="2" t="s">
        <v>29</v>
      </c>
      <c r="W293" s="2" t="s">
        <v>104</v>
      </c>
      <c r="X293" s="2" t="s">
        <v>105</v>
      </c>
      <c r="Y293" s="2" t="s">
        <v>862</v>
      </c>
      <c r="Z293" s="2" t="s">
        <v>31</v>
      </c>
      <c r="AA293" s="2"/>
      <c r="AB293" s="2"/>
      <c r="AC293" s="2"/>
      <c r="AD293" s="2"/>
      <c r="AK293" s="8">
        <f t="shared" si="5"/>
        <v>45680</v>
      </c>
    </row>
    <row r="294" spans="1:37" ht="15" customHeight="1">
      <c r="A294" s="2" t="s">
        <v>863</v>
      </c>
      <c r="B294" s="2">
        <v>0</v>
      </c>
      <c r="C294" s="2"/>
      <c r="D294" s="2" t="s">
        <v>272</v>
      </c>
      <c r="E294" s="2" t="s">
        <v>533</v>
      </c>
      <c r="F294" s="3">
        <v>45680</v>
      </c>
      <c r="G294" s="3">
        <v>45680</v>
      </c>
      <c r="H294" s="3">
        <v>45680</v>
      </c>
      <c r="I294" s="2"/>
      <c r="J294" s="2"/>
      <c r="K294" s="2" t="s">
        <v>25</v>
      </c>
      <c r="L294" s="2" t="s">
        <v>26</v>
      </c>
      <c r="M294" s="2"/>
      <c r="N294" s="2" t="s">
        <v>27</v>
      </c>
      <c r="O294" s="2">
        <v>602.70000000000005</v>
      </c>
      <c r="P294" s="2">
        <v>108.49</v>
      </c>
      <c r="Q294" s="2">
        <v>711.19</v>
      </c>
      <c r="R294" s="2">
        <v>711.19</v>
      </c>
      <c r="S294" s="2">
        <v>711.19</v>
      </c>
      <c r="T294" s="2" t="s">
        <v>28</v>
      </c>
      <c r="U294" s="2" t="b">
        <v>0</v>
      </c>
      <c r="V294" s="2" t="s">
        <v>29</v>
      </c>
      <c r="W294" s="2" t="s">
        <v>104</v>
      </c>
      <c r="X294" s="2" t="s">
        <v>105</v>
      </c>
      <c r="Y294" s="2" t="s">
        <v>864</v>
      </c>
      <c r="Z294" s="2" t="s">
        <v>31</v>
      </c>
      <c r="AA294" s="2"/>
      <c r="AB294" s="2"/>
      <c r="AC294" s="2"/>
      <c r="AD294" s="2"/>
      <c r="AK294" s="8">
        <f t="shared" si="5"/>
        <v>45680</v>
      </c>
    </row>
    <row r="295" spans="1:37" ht="15" customHeight="1">
      <c r="A295" s="2" t="s">
        <v>865</v>
      </c>
      <c r="B295" s="2">
        <v>0</v>
      </c>
      <c r="C295" s="2"/>
      <c r="D295" s="2" t="s">
        <v>272</v>
      </c>
      <c r="E295" s="2" t="s">
        <v>533</v>
      </c>
      <c r="F295" s="3">
        <v>45680</v>
      </c>
      <c r="G295" s="3">
        <v>45680</v>
      </c>
      <c r="H295" s="3">
        <v>45680</v>
      </c>
      <c r="I295" s="2"/>
      <c r="J295" s="2"/>
      <c r="K295" s="2" t="s">
        <v>25</v>
      </c>
      <c r="L295" s="2" t="s">
        <v>26</v>
      </c>
      <c r="M295" s="2"/>
      <c r="N295" s="2" t="s">
        <v>27</v>
      </c>
      <c r="O295" s="2">
        <v>524.72</v>
      </c>
      <c r="P295" s="2">
        <v>94.45</v>
      </c>
      <c r="Q295" s="2">
        <v>619.16999999999996</v>
      </c>
      <c r="R295" s="2">
        <v>619.16999999999996</v>
      </c>
      <c r="S295" s="2">
        <v>619.16999999999996</v>
      </c>
      <c r="T295" s="2" t="s">
        <v>28</v>
      </c>
      <c r="U295" s="2" t="b">
        <v>0</v>
      </c>
      <c r="V295" s="2" t="s">
        <v>29</v>
      </c>
      <c r="W295" s="2" t="s">
        <v>104</v>
      </c>
      <c r="X295" s="2" t="s">
        <v>105</v>
      </c>
      <c r="Y295" s="2" t="s">
        <v>866</v>
      </c>
      <c r="Z295" s="2" t="s">
        <v>31</v>
      </c>
      <c r="AA295" s="2"/>
      <c r="AB295" s="2"/>
      <c r="AC295" s="2"/>
      <c r="AD295" s="2"/>
      <c r="AK295" s="8">
        <f t="shared" si="5"/>
        <v>45680</v>
      </c>
    </row>
    <row r="296" spans="1:37" ht="15" customHeight="1">
      <c r="A296" s="2" t="s">
        <v>867</v>
      </c>
      <c r="B296" s="2">
        <v>0</v>
      </c>
      <c r="C296" s="2"/>
      <c r="D296" s="2" t="s">
        <v>272</v>
      </c>
      <c r="E296" s="2" t="s">
        <v>540</v>
      </c>
      <c r="F296" s="3">
        <v>45680</v>
      </c>
      <c r="G296" s="3">
        <v>45680</v>
      </c>
      <c r="H296" s="3">
        <v>45680</v>
      </c>
      <c r="I296" s="2"/>
      <c r="J296" s="2"/>
      <c r="K296" s="2" t="s">
        <v>25</v>
      </c>
      <c r="L296" s="2" t="s">
        <v>26</v>
      </c>
      <c r="M296" s="2"/>
      <c r="N296" s="2" t="s">
        <v>27</v>
      </c>
      <c r="O296" s="2">
        <v>602.70000000000005</v>
      </c>
      <c r="P296" s="2">
        <v>108.49</v>
      </c>
      <c r="Q296" s="2">
        <v>711.19</v>
      </c>
      <c r="R296" s="2">
        <v>711.19</v>
      </c>
      <c r="S296" s="2">
        <v>711.19</v>
      </c>
      <c r="T296" s="2" t="s">
        <v>28</v>
      </c>
      <c r="U296" s="2" t="b">
        <v>0</v>
      </c>
      <c r="V296" s="2" t="s">
        <v>29</v>
      </c>
      <c r="W296" s="2" t="s">
        <v>104</v>
      </c>
      <c r="X296" s="2" t="s">
        <v>105</v>
      </c>
      <c r="Y296" s="2" t="s">
        <v>868</v>
      </c>
      <c r="Z296" s="2" t="s">
        <v>31</v>
      </c>
      <c r="AA296" s="2"/>
      <c r="AB296" s="2"/>
      <c r="AC296" s="2"/>
      <c r="AD296" s="2"/>
      <c r="AK296" s="8">
        <f t="shared" si="5"/>
        <v>45680</v>
      </c>
    </row>
    <row r="297" spans="1:37" ht="15" customHeight="1">
      <c r="A297" s="2" t="s">
        <v>869</v>
      </c>
      <c r="B297" s="2">
        <v>0</v>
      </c>
      <c r="C297" s="2"/>
      <c r="D297" s="2" t="s">
        <v>272</v>
      </c>
      <c r="E297" s="2" t="s">
        <v>540</v>
      </c>
      <c r="F297" s="3">
        <v>45680</v>
      </c>
      <c r="G297" s="3">
        <v>45680</v>
      </c>
      <c r="H297" s="3">
        <v>45680</v>
      </c>
      <c r="I297" s="2"/>
      <c r="J297" s="2"/>
      <c r="K297" s="2" t="s">
        <v>25</v>
      </c>
      <c r="L297" s="2" t="s">
        <v>26</v>
      </c>
      <c r="M297" s="2"/>
      <c r="N297" s="2" t="s">
        <v>27</v>
      </c>
      <c r="O297" s="2">
        <v>524.72</v>
      </c>
      <c r="P297" s="2">
        <v>94.45</v>
      </c>
      <c r="Q297" s="2">
        <v>619.16999999999996</v>
      </c>
      <c r="R297" s="2">
        <v>619.16999999999996</v>
      </c>
      <c r="S297" s="2">
        <v>619.16999999999996</v>
      </c>
      <c r="T297" s="2" t="s">
        <v>28</v>
      </c>
      <c r="U297" s="2" t="b">
        <v>0</v>
      </c>
      <c r="V297" s="2" t="s">
        <v>29</v>
      </c>
      <c r="W297" s="2" t="s">
        <v>104</v>
      </c>
      <c r="X297" s="2" t="s">
        <v>105</v>
      </c>
      <c r="Y297" s="2" t="s">
        <v>870</v>
      </c>
      <c r="Z297" s="2" t="s">
        <v>31</v>
      </c>
      <c r="AA297" s="2"/>
      <c r="AB297" s="2"/>
      <c r="AC297" s="2"/>
      <c r="AD297" s="2"/>
      <c r="AK297" s="8">
        <f t="shared" si="5"/>
        <v>45680</v>
      </c>
    </row>
    <row r="298" spans="1:37" ht="15" customHeight="1">
      <c r="A298" s="2" t="s">
        <v>871</v>
      </c>
      <c r="B298" s="2">
        <v>0</v>
      </c>
      <c r="C298" s="2"/>
      <c r="D298" s="2" t="s">
        <v>272</v>
      </c>
      <c r="E298" s="2" t="s">
        <v>561</v>
      </c>
      <c r="F298" s="3">
        <v>45680</v>
      </c>
      <c r="G298" s="3">
        <v>45680</v>
      </c>
      <c r="H298" s="3">
        <v>45680</v>
      </c>
      <c r="I298" s="2"/>
      <c r="J298" s="2"/>
      <c r="K298" s="2" t="s">
        <v>25</v>
      </c>
      <c r="L298" s="2" t="s">
        <v>26</v>
      </c>
      <c r="M298" s="2"/>
      <c r="N298" s="2" t="s">
        <v>27</v>
      </c>
      <c r="O298" s="2">
        <v>24.11</v>
      </c>
      <c r="P298" s="2">
        <v>4.34</v>
      </c>
      <c r="Q298" s="2">
        <v>28.45</v>
      </c>
      <c r="R298" s="2">
        <v>28.45</v>
      </c>
      <c r="S298" s="2">
        <v>28.45</v>
      </c>
      <c r="T298" s="2" t="s">
        <v>28</v>
      </c>
      <c r="U298" s="2" t="b">
        <v>0</v>
      </c>
      <c r="V298" s="2" t="s">
        <v>29</v>
      </c>
      <c r="W298" s="2" t="s">
        <v>104</v>
      </c>
      <c r="X298" s="2" t="s">
        <v>105</v>
      </c>
      <c r="Y298" s="2" t="s">
        <v>872</v>
      </c>
      <c r="Z298" s="2" t="s">
        <v>31</v>
      </c>
      <c r="AA298" s="2"/>
      <c r="AB298" s="2"/>
      <c r="AC298" s="2"/>
      <c r="AD298" s="2"/>
      <c r="AK298" s="8">
        <f t="shared" si="5"/>
        <v>45680</v>
      </c>
    </row>
    <row r="299" spans="1:37" ht="15" customHeight="1">
      <c r="A299" s="2" t="s">
        <v>873</v>
      </c>
      <c r="B299" s="2">
        <v>0</v>
      </c>
      <c r="C299" s="2"/>
      <c r="D299" s="2" t="s">
        <v>272</v>
      </c>
      <c r="E299" s="2" t="s">
        <v>561</v>
      </c>
      <c r="F299" s="3">
        <v>45680</v>
      </c>
      <c r="G299" s="3">
        <v>45680</v>
      </c>
      <c r="H299" s="3">
        <v>45680</v>
      </c>
      <c r="I299" s="2"/>
      <c r="J299" s="2"/>
      <c r="K299" s="2" t="s">
        <v>25</v>
      </c>
      <c r="L299" s="2" t="s">
        <v>26</v>
      </c>
      <c r="M299" s="2"/>
      <c r="N299" s="2" t="s">
        <v>27</v>
      </c>
      <c r="O299" s="2">
        <v>20.99</v>
      </c>
      <c r="P299" s="2">
        <v>3.78</v>
      </c>
      <c r="Q299" s="2">
        <v>24.77</v>
      </c>
      <c r="R299" s="2">
        <v>24.77</v>
      </c>
      <c r="S299" s="2">
        <v>24.77</v>
      </c>
      <c r="T299" s="2" t="s">
        <v>28</v>
      </c>
      <c r="U299" s="2" t="b">
        <v>0</v>
      </c>
      <c r="V299" s="2" t="s">
        <v>29</v>
      </c>
      <c r="W299" s="2" t="s">
        <v>104</v>
      </c>
      <c r="X299" s="2" t="s">
        <v>105</v>
      </c>
      <c r="Y299" s="2" t="s">
        <v>874</v>
      </c>
      <c r="Z299" s="2" t="s">
        <v>31</v>
      </c>
      <c r="AA299" s="2"/>
      <c r="AB299" s="2"/>
      <c r="AC299" s="2"/>
      <c r="AD299" s="2"/>
      <c r="AK299" s="8">
        <f t="shared" si="5"/>
        <v>45680</v>
      </c>
    </row>
    <row r="300" spans="1:37" ht="15" customHeight="1">
      <c r="A300" s="2" t="s">
        <v>875</v>
      </c>
      <c r="B300" s="2">
        <v>0</v>
      </c>
      <c r="C300" s="2"/>
      <c r="D300" s="2" t="s">
        <v>272</v>
      </c>
      <c r="E300" s="2" t="s">
        <v>526</v>
      </c>
      <c r="F300" s="3">
        <v>45680</v>
      </c>
      <c r="G300" s="3">
        <v>45680</v>
      </c>
      <c r="H300" s="3">
        <v>45680</v>
      </c>
      <c r="I300" s="2"/>
      <c r="J300" s="2"/>
      <c r="K300" s="2" t="s">
        <v>25</v>
      </c>
      <c r="L300" s="2" t="s">
        <v>26</v>
      </c>
      <c r="M300" s="2"/>
      <c r="N300" s="2" t="s">
        <v>27</v>
      </c>
      <c r="O300" s="2">
        <v>1029.3599999999999</v>
      </c>
      <c r="P300" s="2">
        <v>185.28</v>
      </c>
      <c r="Q300" s="2">
        <v>1214.6400000000001</v>
      </c>
      <c r="R300" s="2">
        <v>1214.6400000000001</v>
      </c>
      <c r="S300" s="2">
        <v>1214.6400000000001</v>
      </c>
      <c r="T300" s="2" t="s">
        <v>28</v>
      </c>
      <c r="U300" s="2" t="b">
        <v>0</v>
      </c>
      <c r="V300" s="2" t="s">
        <v>29</v>
      </c>
      <c r="W300" s="2" t="s">
        <v>104</v>
      </c>
      <c r="X300" s="2" t="s">
        <v>105</v>
      </c>
      <c r="Y300" s="2" t="s">
        <v>876</v>
      </c>
      <c r="Z300" s="2" t="s">
        <v>31</v>
      </c>
      <c r="AA300" s="2"/>
      <c r="AB300" s="2"/>
      <c r="AC300" s="2"/>
      <c r="AD300" s="2"/>
      <c r="AK300" s="8">
        <f t="shared" si="5"/>
        <v>45680</v>
      </c>
    </row>
    <row r="301" spans="1:37" ht="15" customHeight="1">
      <c r="A301" s="2" t="s">
        <v>877</v>
      </c>
      <c r="B301" s="2">
        <v>0</v>
      </c>
      <c r="C301" s="2"/>
      <c r="D301" s="2" t="s">
        <v>272</v>
      </c>
      <c r="E301" s="2" t="s">
        <v>526</v>
      </c>
      <c r="F301" s="3">
        <v>45680</v>
      </c>
      <c r="G301" s="3">
        <v>45680</v>
      </c>
      <c r="H301" s="3">
        <v>45680</v>
      </c>
      <c r="I301" s="2"/>
      <c r="J301" s="2"/>
      <c r="K301" s="2" t="s">
        <v>25</v>
      </c>
      <c r="L301" s="2" t="s">
        <v>26</v>
      </c>
      <c r="M301" s="2"/>
      <c r="N301" s="2" t="s">
        <v>27</v>
      </c>
      <c r="O301" s="2">
        <v>886.52</v>
      </c>
      <c r="P301" s="2">
        <v>159.57</v>
      </c>
      <c r="Q301" s="2">
        <v>1046.0899999999999</v>
      </c>
      <c r="R301" s="2">
        <v>1046.0899999999999</v>
      </c>
      <c r="S301" s="2">
        <v>1046.0899999999999</v>
      </c>
      <c r="T301" s="2" t="s">
        <v>28</v>
      </c>
      <c r="U301" s="2" t="b">
        <v>0</v>
      </c>
      <c r="V301" s="2" t="s">
        <v>29</v>
      </c>
      <c r="W301" s="2" t="s">
        <v>104</v>
      </c>
      <c r="X301" s="2" t="s">
        <v>105</v>
      </c>
      <c r="Y301" s="2" t="s">
        <v>878</v>
      </c>
      <c r="Z301" s="2" t="s">
        <v>31</v>
      </c>
      <c r="AA301" s="2"/>
      <c r="AB301" s="2"/>
      <c r="AC301" s="2"/>
      <c r="AD301" s="2"/>
      <c r="AK301" s="8">
        <f t="shared" si="5"/>
        <v>45680</v>
      </c>
    </row>
    <row r="302" spans="1:37" ht="15" customHeight="1">
      <c r="A302" s="2" t="s">
        <v>879</v>
      </c>
      <c r="B302" s="2">
        <v>0</v>
      </c>
      <c r="C302" s="2"/>
      <c r="D302" s="2" t="s">
        <v>272</v>
      </c>
      <c r="E302" s="2" t="s">
        <v>533</v>
      </c>
      <c r="F302" s="3">
        <v>45680</v>
      </c>
      <c r="G302" s="3">
        <v>45680</v>
      </c>
      <c r="H302" s="3">
        <v>45680</v>
      </c>
      <c r="I302" s="2"/>
      <c r="J302" s="2"/>
      <c r="K302" s="2" t="s">
        <v>25</v>
      </c>
      <c r="L302" s="2" t="s">
        <v>26</v>
      </c>
      <c r="M302" s="2"/>
      <c r="N302" s="2" t="s">
        <v>27</v>
      </c>
      <c r="O302" s="2">
        <v>525.17999999999995</v>
      </c>
      <c r="P302" s="2">
        <v>94.53</v>
      </c>
      <c r="Q302" s="2">
        <v>619.71</v>
      </c>
      <c r="R302" s="2">
        <v>619.71</v>
      </c>
      <c r="S302" s="2">
        <v>619.71</v>
      </c>
      <c r="T302" s="2" t="s">
        <v>28</v>
      </c>
      <c r="U302" s="2" t="b">
        <v>0</v>
      </c>
      <c r="V302" s="2" t="s">
        <v>29</v>
      </c>
      <c r="W302" s="2" t="s">
        <v>104</v>
      </c>
      <c r="X302" s="2" t="s">
        <v>105</v>
      </c>
      <c r="Y302" s="2" t="s">
        <v>880</v>
      </c>
      <c r="Z302" s="2" t="s">
        <v>31</v>
      </c>
      <c r="AA302" s="2"/>
      <c r="AB302" s="2"/>
      <c r="AC302" s="2"/>
      <c r="AD302" s="2"/>
      <c r="AK302" s="8">
        <f t="shared" si="5"/>
        <v>45680</v>
      </c>
    </row>
    <row r="303" spans="1:37" ht="15" customHeight="1">
      <c r="A303" s="2" t="s">
        <v>881</v>
      </c>
      <c r="B303" s="2">
        <v>0</v>
      </c>
      <c r="C303" s="2"/>
      <c r="D303" s="2" t="s">
        <v>272</v>
      </c>
      <c r="E303" s="2" t="s">
        <v>533</v>
      </c>
      <c r="F303" s="3">
        <v>45680</v>
      </c>
      <c r="G303" s="3">
        <v>45680</v>
      </c>
      <c r="H303" s="3">
        <v>45680</v>
      </c>
      <c r="I303" s="2"/>
      <c r="J303" s="2"/>
      <c r="K303" s="2" t="s">
        <v>25</v>
      </c>
      <c r="L303" s="2" t="s">
        <v>26</v>
      </c>
      <c r="M303" s="2"/>
      <c r="N303" s="2" t="s">
        <v>27</v>
      </c>
      <c r="O303" s="2">
        <v>452.31</v>
      </c>
      <c r="P303" s="2">
        <v>81.41</v>
      </c>
      <c r="Q303" s="2">
        <v>533.72</v>
      </c>
      <c r="R303" s="2">
        <v>533.72</v>
      </c>
      <c r="S303" s="2">
        <v>533.72</v>
      </c>
      <c r="T303" s="2" t="s">
        <v>28</v>
      </c>
      <c r="U303" s="2" t="b">
        <v>0</v>
      </c>
      <c r="V303" s="2" t="s">
        <v>29</v>
      </c>
      <c r="W303" s="2" t="s">
        <v>104</v>
      </c>
      <c r="X303" s="2" t="s">
        <v>105</v>
      </c>
      <c r="Y303" s="2" t="s">
        <v>882</v>
      </c>
      <c r="Z303" s="2" t="s">
        <v>31</v>
      </c>
      <c r="AA303" s="2"/>
      <c r="AB303" s="2"/>
      <c r="AC303" s="2"/>
      <c r="AD303" s="2"/>
      <c r="AK303" s="8">
        <f t="shared" si="5"/>
        <v>45680</v>
      </c>
    </row>
    <row r="304" spans="1:37" ht="15" customHeight="1">
      <c r="A304" s="2" t="s">
        <v>883</v>
      </c>
      <c r="B304" s="2">
        <v>0</v>
      </c>
      <c r="C304" s="2"/>
      <c r="D304" s="2" t="s">
        <v>272</v>
      </c>
      <c r="E304" s="2" t="s">
        <v>540</v>
      </c>
      <c r="F304" s="3">
        <v>45680</v>
      </c>
      <c r="G304" s="3">
        <v>45680</v>
      </c>
      <c r="H304" s="3">
        <v>45680</v>
      </c>
      <c r="I304" s="2"/>
      <c r="J304" s="2"/>
      <c r="K304" s="2" t="s">
        <v>25</v>
      </c>
      <c r="L304" s="2" t="s">
        <v>26</v>
      </c>
      <c r="M304" s="2"/>
      <c r="N304" s="2" t="s">
        <v>27</v>
      </c>
      <c r="O304" s="2">
        <v>525.17999999999995</v>
      </c>
      <c r="P304" s="2">
        <v>94.53</v>
      </c>
      <c r="Q304" s="2">
        <v>619.71</v>
      </c>
      <c r="R304" s="2">
        <v>619.71</v>
      </c>
      <c r="S304" s="2">
        <v>619.71</v>
      </c>
      <c r="T304" s="2" t="s">
        <v>28</v>
      </c>
      <c r="U304" s="2" t="b">
        <v>0</v>
      </c>
      <c r="V304" s="2" t="s">
        <v>29</v>
      </c>
      <c r="W304" s="2" t="s">
        <v>104</v>
      </c>
      <c r="X304" s="2" t="s">
        <v>105</v>
      </c>
      <c r="Y304" s="2" t="s">
        <v>884</v>
      </c>
      <c r="Z304" s="2" t="s">
        <v>31</v>
      </c>
      <c r="AA304" s="2"/>
      <c r="AB304" s="2"/>
      <c r="AC304" s="2"/>
      <c r="AD304" s="2"/>
      <c r="AK304" s="8">
        <f t="shared" si="5"/>
        <v>45680</v>
      </c>
    </row>
    <row r="305" spans="1:37" ht="15" customHeight="1">
      <c r="A305" s="2" t="s">
        <v>885</v>
      </c>
      <c r="B305" s="2">
        <v>0</v>
      </c>
      <c r="C305" s="2"/>
      <c r="D305" s="2" t="s">
        <v>272</v>
      </c>
      <c r="E305" s="2" t="s">
        <v>540</v>
      </c>
      <c r="F305" s="3">
        <v>45680</v>
      </c>
      <c r="G305" s="3">
        <v>45680</v>
      </c>
      <c r="H305" s="3">
        <v>45680</v>
      </c>
      <c r="I305" s="2"/>
      <c r="J305" s="2"/>
      <c r="K305" s="2" t="s">
        <v>25</v>
      </c>
      <c r="L305" s="2" t="s">
        <v>26</v>
      </c>
      <c r="M305" s="2"/>
      <c r="N305" s="2" t="s">
        <v>27</v>
      </c>
      <c r="O305" s="2">
        <v>452.31</v>
      </c>
      <c r="P305" s="2">
        <v>81.41</v>
      </c>
      <c r="Q305" s="2">
        <v>533.72</v>
      </c>
      <c r="R305" s="2">
        <v>533.72</v>
      </c>
      <c r="S305" s="2">
        <v>533.72</v>
      </c>
      <c r="T305" s="2" t="s">
        <v>28</v>
      </c>
      <c r="U305" s="2" t="b">
        <v>0</v>
      </c>
      <c r="V305" s="2" t="s">
        <v>29</v>
      </c>
      <c r="W305" s="2" t="s">
        <v>104</v>
      </c>
      <c r="X305" s="2" t="s">
        <v>105</v>
      </c>
      <c r="Y305" s="2" t="s">
        <v>886</v>
      </c>
      <c r="Z305" s="2" t="s">
        <v>31</v>
      </c>
      <c r="AA305" s="2"/>
      <c r="AB305" s="2"/>
      <c r="AC305" s="2"/>
      <c r="AD305" s="2"/>
      <c r="AK305" s="8">
        <f t="shared" si="5"/>
        <v>45680</v>
      </c>
    </row>
    <row r="306" spans="1:37" ht="15" customHeight="1">
      <c r="A306" s="2" t="s">
        <v>887</v>
      </c>
      <c r="B306" s="2">
        <v>0</v>
      </c>
      <c r="C306" s="2"/>
      <c r="D306" s="2" t="s">
        <v>272</v>
      </c>
      <c r="E306" s="2" t="s">
        <v>561</v>
      </c>
      <c r="F306" s="3">
        <v>45680</v>
      </c>
      <c r="G306" s="3">
        <v>45680</v>
      </c>
      <c r="H306" s="3">
        <v>45680</v>
      </c>
      <c r="I306" s="2"/>
      <c r="J306" s="2"/>
      <c r="K306" s="2" t="s">
        <v>25</v>
      </c>
      <c r="L306" s="2" t="s">
        <v>26</v>
      </c>
      <c r="M306" s="2"/>
      <c r="N306" s="2" t="s">
        <v>27</v>
      </c>
      <c r="O306" s="2">
        <v>21.01</v>
      </c>
      <c r="P306" s="2">
        <v>3.78</v>
      </c>
      <c r="Q306" s="2">
        <v>24.79</v>
      </c>
      <c r="R306" s="2">
        <v>24.79</v>
      </c>
      <c r="S306" s="2">
        <v>24.79</v>
      </c>
      <c r="T306" s="2" t="s">
        <v>28</v>
      </c>
      <c r="U306" s="2" t="b">
        <v>0</v>
      </c>
      <c r="V306" s="2" t="s">
        <v>29</v>
      </c>
      <c r="W306" s="2" t="s">
        <v>104</v>
      </c>
      <c r="X306" s="2" t="s">
        <v>105</v>
      </c>
      <c r="Y306" s="2" t="s">
        <v>888</v>
      </c>
      <c r="Z306" s="2" t="s">
        <v>31</v>
      </c>
      <c r="AA306" s="2"/>
      <c r="AB306" s="2"/>
      <c r="AC306" s="2"/>
      <c r="AD306" s="2"/>
      <c r="AK306" s="8">
        <f t="shared" si="5"/>
        <v>45680</v>
      </c>
    </row>
    <row r="307" spans="1:37" ht="15" customHeight="1">
      <c r="A307" s="2" t="s">
        <v>889</v>
      </c>
      <c r="B307" s="2">
        <v>0</v>
      </c>
      <c r="C307" s="2"/>
      <c r="D307" s="2" t="s">
        <v>272</v>
      </c>
      <c r="E307" s="2" t="s">
        <v>561</v>
      </c>
      <c r="F307" s="3">
        <v>45680</v>
      </c>
      <c r="G307" s="3">
        <v>45680</v>
      </c>
      <c r="H307" s="3">
        <v>45680</v>
      </c>
      <c r="I307" s="2"/>
      <c r="J307" s="2"/>
      <c r="K307" s="2" t="s">
        <v>25</v>
      </c>
      <c r="L307" s="2" t="s">
        <v>26</v>
      </c>
      <c r="M307" s="2"/>
      <c r="N307" s="2" t="s">
        <v>27</v>
      </c>
      <c r="O307" s="2">
        <v>18.09</v>
      </c>
      <c r="P307" s="2">
        <v>3.26</v>
      </c>
      <c r="Q307" s="2">
        <v>21.35</v>
      </c>
      <c r="R307" s="2">
        <v>21.35</v>
      </c>
      <c r="S307" s="2">
        <v>21.35</v>
      </c>
      <c r="T307" s="2" t="s">
        <v>28</v>
      </c>
      <c r="U307" s="2" t="b">
        <v>0</v>
      </c>
      <c r="V307" s="2" t="s">
        <v>29</v>
      </c>
      <c r="W307" s="2" t="s">
        <v>104</v>
      </c>
      <c r="X307" s="2" t="s">
        <v>105</v>
      </c>
      <c r="Y307" s="2" t="s">
        <v>890</v>
      </c>
      <c r="Z307" s="2" t="s">
        <v>31</v>
      </c>
      <c r="AA307" s="2"/>
      <c r="AB307" s="2"/>
      <c r="AC307" s="2"/>
      <c r="AD307" s="2"/>
      <c r="AK307" s="8">
        <f t="shared" si="5"/>
        <v>45680</v>
      </c>
    </row>
    <row r="308" spans="1:37" ht="15" customHeight="1">
      <c r="A308" s="2" t="s">
        <v>891</v>
      </c>
      <c r="B308" s="2">
        <v>0</v>
      </c>
      <c r="C308" s="2"/>
      <c r="D308" s="2" t="s">
        <v>272</v>
      </c>
      <c r="E308" s="2" t="s">
        <v>526</v>
      </c>
      <c r="F308" s="3">
        <v>45680</v>
      </c>
      <c r="G308" s="3">
        <v>45680</v>
      </c>
      <c r="H308" s="3">
        <v>45680</v>
      </c>
      <c r="I308" s="2"/>
      <c r="J308" s="2"/>
      <c r="K308" s="2" t="s">
        <v>25</v>
      </c>
      <c r="L308" s="2" t="s">
        <v>26</v>
      </c>
      <c r="M308" s="2"/>
      <c r="N308" s="2" t="s">
        <v>27</v>
      </c>
      <c r="O308" s="2">
        <v>293.38</v>
      </c>
      <c r="P308" s="2">
        <v>52.81</v>
      </c>
      <c r="Q308" s="2">
        <v>346.19</v>
      </c>
      <c r="R308" s="2">
        <v>346.19</v>
      </c>
      <c r="S308" s="2">
        <v>346.19</v>
      </c>
      <c r="T308" s="2" t="s">
        <v>28</v>
      </c>
      <c r="U308" s="2" t="b">
        <v>0</v>
      </c>
      <c r="V308" s="2" t="s">
        <v>29</v>
      </c>
      <c r="W308" s="2" t="s">
        <v>104</v>
      </c>
      <c r="X308" s="2" t="s">
        <v>105</v>
      </c>
      <c r="Y308" s="2" t="s">
        <v>892</v>
      </c>
      <c r="Z308" s="2" t="s">
        <v>31</v>
      </c>
      <c r="AA308" s="2"/>
      <c r="AB308" s="2"/>
      <c r="AC308" s="2"/>
      <c r="AD308" s="2"/>
      <c r="AK308" s="8">
        <f t="shared" si="5"/>
        <v>45680</v>
      </c>
    </row>
    <row r="309" spans="1:37" ht="15" customHeight="1">
      <c r="A309" s="2" t="s">
        <v>893</v>
      </c>
      <c r="B309" s="2">
        <v>0</v>
      </c>
      <c r="C309" s="2"/>
      <c r="D309" s="2" t="s">
        <v>272</v>
      </c>
      <c r="E309" s="2" t="s">
        <v>526</v>
      </c>
      <c r="F309" s="3">
        <v>45680</v>
      </c>
      <c r="G309" s="3">
        <v>45680</v>
      </c>
      <c r="H309" s="3">
        <v>45680</v>
      </c>
      <c r="I309" s="2"/>
      <c r="J309" s="2"/>
      <c r="K309" s="2" t="s">
        <v>25</v>
      </c>
      <c r="L309" s="2" t="s">
        <v>26</v>
      </c>
      <c r="M309" s="2"/>
      <c r="N309" s="2" t="s">
        <v>27</v>
      </c>
      <c r="O309" s="2">
        <v>248.53</v>
      </c>
      <c r="P309" s="2">
        <v>44.73</v>
      </c>
      <c r="Q309" s="2">
        <v>293.26</v>
      </c>
      <c r="R309" s="2">
        <v>293.26</v>
      </c>
      <c r="S309" s="2">
        <v>293.26</v>
      </c>
      <c r="T309" s="2" t="s">
        <v>28</v>
      </c>
      <c r="U309" s="2" t="b">
        <v>0</v>
      </c>
      <c r="V309" s="2" t="s">
        <v>29</v>
      </c>
      <c r="W309" s="2" t="s">
        <v>104</v>
      </c>
      <c r="X309" s="2" t="s">
        <v>105</v>
      </c>
      <c r="Y309" s="2" t="s">
        <v>894</v>
      </c>
      <c r="Z309" s="2" t="s">
        <v>31</v>
      </c>
      <c r="AA309" s="2"/>
      <c r="AB309" s="2"/>
      <c r="AC309" s="2"/>
      <c r="AD309" s="2"/>
      <c r="AK309" s="8">
        <f t="shared" si="5"/>
        <v>45680</v>
      </c>
    </row>
    <row r="310" spans="1:37" ht="15" customHeight="1">
      <c r="A310" s="2" t="s">
        <v>895</v>
      </c>
      <c r="B310" s="2">
        <v>0</v>
      </c>
      <c r="C310" s="2"/>
      <c r="D310" s="2" t="s">
        <v>272</v>
      </c>
      <c r="E310" s="2" t="s">
        <v>533</v>
      </c>
      <c r="F310" s="3">
        <v>45680</v>
      </c>
      <c r="G310" s="3">
        <v>45680</v>
      </c>
      <c r="H310" s="3">
        <v>45680</v>
      </c>
      <c r="I310" s="2"/>
      <c r="J310" s="2"/>
      <c r="K310" s="2" t="s">
        <v>25</v>
      </c>
      <c r="L310" s="2" t="s">
        <v>26</v>
      </c>
      <c r="M310" s="2"/>
      <c r="N310" s="2" t="s">
        <v>27</v>
      </c>
      <c r="O310" s="2">
        <v>149.69</v>
      </c>
      <c r="P310" s="2">
        <v>26.94</v>
      </c>
      <c r="Q310" s="2">
        <v>176.63</v>
      </c>
      <c r="R310" s="2">
        <v>176.63</v>
      </c>
      <c r="S310" s="2">
        <v>176.63</v>
      </c>
      <c r="T310" s="2" t="s">
        <v>28</v>
      </c>
      <c r="U310" s="2" t="b">
        <v>0</v>
      </c>
      <c r="V310" s="2" t="s">
        <v>29</v>
      </c>
      <c r="W310" s="2" t="s">
        <v>104</v>
      </c>
      <c r="X310" s="2" t="s">
        <v>105</v>
      </c>
      <c r="Y310" s="2" t="s">
        <v>896</v>
      </c>
      <c r="Z310" s="2" t="s">
        <v>31</v>
      </c>
      <c r="AA310" s="2"/>
      <c r="AB310" s="2"/>
      <c r="AC310" s="2"/>
      <c r="AD310" s="2"/>
      <c r="AK310" s="8">
        <f t="shared" si="5"/>
        <v>45680</v>
      </c>
    </row>
    <row r="311" spans="1:37" ht="15" customHeight="1">
      <c r="A311" s="2" t="s">
        <v>897</v>
      </c>
      <c r="B311" s="2">
        <v>0</v>
      </c>
      <c r="C311" s="2"/>
      <c r="D311" s="2" t="s">
        <v>272</v>
      </c>
      <c r="E311" s="2" t="s">
        <v>533</v>
      </c>
      <c r="F311" s="3">
        <v>45680</v>
      </c>
      <c r="G311" s="3">
        <v>45680</v>
      </c>
      <c r="H311" s="3">
        <v>45680</v>
      </c>
      <c r="I311" s="2"/>
      <c r="J311" s="2"/>
      <c r="K311" s="2" t="s">
        <v>25</v>
      </c>
      <c r="L311" s="2" t="s">
        <v>26</v>
      </c>
      <c r="M311" s="2"/>
      <c r="N311" s="2" t="s">
        <v>27</v>
      </c>
      <c r="O311" s="2">
        <v>126.8</v>
      </c>
      <c r="P311" s="2">
        <v>22.82</v>
      </c>
      <c r="Q311" s="2">
        <v>149.62</v>
      </c>
      <c r="R311" s="2">
        <v>149.62</v>
      </c>
      <c r="S311" s="2">
        <v>149.62</v>
      </c>
      <c r="T311" s="2" t="s">
        <v>28</v>
      </c>
      <c r="U311" s="2" t="b">
        <v>0</v>
      </c>
      <c r="V311" s="2" t="s">
        <v>29</v>
      </c>
      <c r="W311" s="2" t="s">
        <v>104</v>
      </c>
      <c r="X311" s="2" t="s">
        <v>105</v>
      </c>
      <c r="Y311" s="2" t="s">
        <v>898</v>
      </c>
      <c r="Z311" s="2" t="s">
        <v>31</v>
      </c>
      <c r="AA311" s="2"/>
      <c r="AB311" s="2"/>
      <c r="AC311" s="2"/>
      <c r="AD311" s="2"/>
      <c r="AK311" s="8">
        <f t="shared" si="5"/>
        <v>45680</v>
      </c>
    </row>
    <row r="312" spans="1:37" ht="15" customHeight="1">
      <c r="A312" s="2" t="s">
        <v>899</v>
      </c>
      <c r="B312" s="2">
        <v>0</v>
      </c>
      <c r="C312" s="2"/>
      <c r="D312" s="2" t="s">
        <v>272</v>
      </c>
      <c r="E312" s="2" t="s">
        <v>540</v>
      </c>
      <c r="F312" s="3">
        <v>45680</v>
      </c>
      <c r="G312" s="3">
        <v>45680</v>
      </c>
      <c r="H312" s="3">
        <v>45680</v>
      </c>
      <c r="I312" s="2"/>
      <c r="J312" s="2"/>
      <c r="K312" s="2" t="s">
        <v>25</v>
      </c>
      <c r="L312" s="2" t="s">
        <v>26</v>
      </c>
      <c r="M312" s="2"/>
      <c r="N312" s="2" t="s">
        <v>27</v>
      </c>
      <c r="O312" s="2">
        <v>149.69</v>
      </c>
      <c r="P312" s="2">
        <v>26.94</v>
      </c>
      <c r="Q312" s="2">
        <v>176.63</v>
      </c>
      <c r="R312" s="2">
        <v>176.63</v>
      </c>
      <c r="S312" s="2">
        <v>176.63</v>
      </c>
      <c r="T312" s="2" t="s">
        <v>28</v>
      </c>
      <c r="U312" s="2" t="b">
        <v>0</v>
      </c>
      <c r="V312" s="2" t="s">
        <v>29</v>
      </c>
      <c r="W312" s="2" t="s">
        <v>104</v>
      </c>
      <c r="X312" s="2" t="s">
        <v>105</v>
      </c>
      <c r="Y312" s="2" t="s">
        <v>900</v>
      </c>
      <c r="Z312" s="2" t="s">
        <v>31</v>
      </c>
      <c r="AA312" s="2"/>
      <c r="AB312" s="2"/>
      <c r="AC312" s="2"/>
      <c r="AD312" s="2"/>
      <c r="AK312" s="8">
        <f t="shared" si="5"/>
        <v>45680</v>
      </c>
    </row>
    <row r="313" spans="1:37" ht="15" customHeight="1">
      <c r="A313" s="2" t="s">
        <v>901</v>
      </c>
      <c r="B313" s="2">
        <v>0</v>
      </c>
      <c r="C313" s="2"/>
      <c r="D313" s="2" t="s">
        <v>272</v>
      </c>
      <c r="E313" s="2" t="s">
        <v>540</v>
      </c>
      <c r="F313" s="3">
        <v>45680</v>
      </c>
      <c r="G313" s="3">
        <v>45680</v>
      </c>
      <c r="H313" s="3">
        <v>45680</v>
      </c>
      <c r="I313" s="2"/>
      <c r="J313" s="2"/>
      <c r="K313" s="2" t="s">
        <v>25</v>
      </c>
      <c r="L313" s="2" t="s">
        <v>26</v>
      </c>
      <c r="M313" s="2"/>
      <c r="N313" s="2" t="s">
        <v>27</v>
      </c>
      <c r="O313" s="2">
        <v>126.8</v>
      </c>
      <c r="P313" s="2">
        <v>22.82</v>
      </c>
      <c r="Q313" s="2">
        <v>149.62</v>
      </c>
      <c r="R313" s="2">
        <v>149.62</v>
      </c>
      <c r="S313" s="2">
        <v>149.62</v>
      </c>
      <c r="T313" s="2" t="s">
        <v>28</v>
      </c>
      <c r="U313" s="2" t="b">
        <v>0</v>
      </c>
      <c r="V313" s="2" t="s">
        <v>29</v>
      </c>
      <c r="W313" s="2" t="s">
        <v>104</v>
      </c>
      <c r="X313" s="2" t="s">
        <v>105</v>
      </c>
      <c r="Y313" s="2" t="s">
        <v>902</v>
      </c>
      <c r="Z313" s="2" t="s">
        <v>31</v>
      </c>
      <c r="AA313" s="2"/>
      <c r="AB313" s="2"/>
      <c r="AC313" s="2"/>
      <c r="AD313" s="2"/>
      <c r="AK313" s="8">
        <f t="shared" si="5"/>
        <v>45680</v>
      </c>
    </row>
    <row r="314" spans="1:37" ht="15" customHeight="1">
      <c r="A314" s="2" t="s">
        <v>903</v>
      </c>
      <c r="B314" s="2">
        <v>0</v>
      </c>
      <c r="C314" s="2"/>
      <c r="D314" s="2" t="s">
        <v>272</v>
      </c>
      <c r="E314" s="2" t="s">
        <v>561</v>
      </c>
      <c r="F314" s="3">
        <v>45680</v>
      </c>
      <c r="G314" s="3">
        <v>45680</v>
      </c>
      <c r="H314" s="3">
        <v>45680</v>
      </c>
      <c r="I314" s="2"/>
      <c r="J314" s="2"/>
      <c r="K314" s="2" t="s">
        <v>25</v>
      </c>
      <c r="L314" s="2" t="s">
        <v>26</v>
      </c>
      <c r="M314" s="2"/>
      <c r="N314" s="2" t="s">
        <v>27</v>
      </c>
      <c r="O314" s="2">
        <v>5.99</v>
      </c>
      <c r="P314" s="2">
        <v>1.08</v>
      </c>
      <c r="Q314" s="2">
        <v>7.07</v>
      </c>
      <c r="R314" s="2">
        <v>7.07</v>
      </c>
      <c r="S314" s="2">
        <v>7.07</v>
      </c>
      <c r="T314" s="2" t="s">
        <v>28</v>
      </c>
      <c r="U314" s="2" t="b">
        <v>0</v>
      </c>
      <c r="V314" s="2" t="s">
        <v>29</v>
      </c>
      <c r="W314" s="2" t="s">
        <v>104</v>
      </c>
      <c r="X314" s="2" t="s">
        <v>105</v>
      </c>
      <c r="Y314" s="2" t="s">
        <v>904</v>
      </c>
      <c r="Z314" s="2" t="s">
        <v>31</v>
      </c>
      <c r="AA314" s="2"/>
      <c r="AB314" s="2"/>
      <c r="AC314" s="2"/>
      <c r="AD314" s="2"/>
      <c r="AK314" s="8">
        <f t="shared" si="5"/>
        <v>45680</v>
      </c>
    </row>
    <row r="315" spans="1:37" ht="15" customHeight="1">
      <c r="A315" s="2" t="s">
        <v>905</v>
      </c>
      <c r="B315" s="2">
        <v>0</v>
      </c>
      <c r="C315" s="2"/>
      <c r="D315" s="2" t="s">
        <v>272</v>
      </c>
      <c r="E315" s="2" t="s">
        <v>561</v>
      </c>
      <c r="F315" s="3">
        <v>45680</v>
      </c>
      <c r="G315" s="3">
        <v>45680</v>
      </c>
      <c r="H315" s="3">
        <v>45680</v>
      </c>
      <c r="I315" s="2"/>
      <c r="J315" s="2"/>
      <c r="K315" s="2" t="s">
        <v>25</v>
      </c>
      <c r="L315" s="2" t="s">
        <v>26</v>
      </c>
      <c r="M315" s="2"/>
      <c r="N315" s="2" t="s">
        <v>27</v>
      </c>
      <c r="O315" s="2">
        <v>5.07</v>
      </c>
      <c r="P315" s="2">
        <v>0.91</v>
      </c>
      <c r="Q315" s="2">
        <v>5.98</v>
      </c>
      <c r="R315" s="2">
        <v>5.98</v>
      </c>
      <c r="S315" s="2">
        <v>5.98</v>
      </c>
      <c r="T315" s="2" t="s">
        <v>28</v>
      </c>
      <c r="U315" s="2" t="b">
        <v>0</v>
      </c>
      <c r="V315" s="2" t="s">
        <v>29</v>
      </c>
      <c r="W315" s="2" t="s">
        <v>104</v>
      </c>
      <c r="X315" s="2" t="s">
        <v>105</v>
      </c>
      <c r="Y315" s="2" t="s">
        <v>906</v>
      </c>
      <c r="Z315" s="2" t="s">
        <v>31</v>
      </c>
      <c r="AA315" s="2"/>
      <c r="AB315" s="2"/>
      <c r="AC315" s="2"/>
      <c r="AD315" s="2"/>
      <c r="AK315" s="8">
        <f t="shared" si="5"/>
        <v>45680</v>
      </c>
    </row>
    <row r="316" spans="1:37" ht="15" customHeight="1">
      <c r="A316" s="2" t="s">
        <v>907</v>
      </c>
      <c r="B316" s="2">
        <v>0</v>
      </c>
      <c r="C316" s="2"/>
      <c r="D316" s="2" t="s">
        <v>272</v>
      </c>
      <c r="E316" s="2" t="s">
        <v>908</v>
      </c>
      <c r="F316" s="3">
        <v>45680</v>
      </c>
      <c r="G316" s="3">
        <v>45680</v>
      </c>
      <c r="H316" s="3">
        <v>45680</v>
      </c>
      <c r="I316" s="2"/>
      <c r="J316" s="2"/>
      <c r="K316" s="2" t="s">
        <v>25</v>
      </c>
      <c r="L316" s="2" t="s">
        <v>26</v>
      </c>
      <c r="M316" s="2"/>
      <c r="N316" s="2" t="s">
        <v>27</v>
      </c>
      <c r="O316" s="2">
        <v>46.78</v>
      </c>
      <c r="P316" s="2">
        <v>8.42</v>
      </c>
      <c r="Q316" s="2">
        <v>55.2</v>
      </c>
      <c r="R316" s="2">
        <v>55.2</v>
      </c>
      <c r="S316" s="2">
        <v>55.2</v>
      </c>
      <c r="T316" s="2" t="s">
        <v>28</v>
      </c>
      <c r="U316" s="2" t="b">
        <v>0</v>
      </c>
      <c r="V316" s="2" t="s">
        <v>29</v>
      </c>
      <c r="W316" s="2" t="s">
        <v>104</v>
      </c>
      <c r="X316" s="2" t="s">
        <v>105</v>
      </c>
      <c r="Y316" s="2" t="s">
        <v>909</v>
      </c>
      <c r="Z316" s="2" t="s">
        <v>31</v>
      </c>
      <c r="AA316" s="2"/>
      <c r="AB316" s="2"/>
      <c r="AC316" s="2"/>
      <c r="AD316" s="2"/>
      <c r="AK316" s="8">
        <f t="shared" si="5"/>
        <v>45680</v>
      </c>
    </row>
    <row r="317" spans="1:37" ht="15" customHeight="1">
      <c r="A317" s="2" t="s">
        <v>910</v>
      </c>
      <c r="B317" s="2">
        <v>0</v>
      </c>
      <c r="C317" s="2"/>
      <c r="D317" s="2" t="s">
        <v>272</v>
      </c>
      <c r="E317" s="2" t="s">
        <v>908</v>
      </c>
      <c r="F317" s="3">
        <v>45680</v>
      </c>
      <c r="G317" s="3">
        <v>45680</v>
      </c>
      <c r="H317" s="3">
        <v>45680</v>
      </c>
      <c r="I317" s="2"/>
      <c r="J317" s="2"/>
      <c r="K317" s="2" t="s">
        <v>25</v>
      </c>
      <c r="L317" s="2" t="s">
        <v>26</v>
      </c>
      <c r="M317" s="2"/>
      <c r="N317" s="2" t="s">
        <v>27</v>
      </c>
      <c r="O317" s="2">
        <v>32.880000000000003</v>
      </c>
      <c r="P317" s="2">
        <v>5.92</v>
      </c>
      <c r="Q317" s="2">
        <v>38.799999999999997</v>
      </c>
      <c r="R317" s="2">
        <v>38.799999999999997</v>
      </c>
      <c r="S317" s="2">
        <v>38.799999999999997</v>
      </c>
      <c r="T317" s="2" t="s">
        <v>28</v>
      </c>
      <c r="U317" s="2" t="b">
        <v>0</v>
      </c>
      <c r="V317" s="2" t="s">
        <v>29</v>
      </c>
      <c r="W317" s="2" t="s">
        <v>104</v>
      </c>
      <c r="X317" s="2" t="s">
        <v>105</v>
      </c>
      <c r="Y317" s="2" t="s">
        <v>911</v>
      </c>
      <c r="Z317" s="2" t="s">
        <v>31</v>
      </c>
      <c r="AA317" s="2"/>
      <c r="AB317" s="2"/>
      <c r="AC317" s="2"/>
      <c r="AD317" s="2"/>
      <c r="AK317" s="8">
        <f t="shared" si="5"/>
        <v>45680</v>
      </c>
    </row>
    <row r="318" spans="1:37" ht="15" customHeight="1">
      <c r="A318" s="2" t="s">
        <v>912</v>
      </c>
      <c r="B318" s="2">
        <v>0</v>
      </c>
      <c r="C318" s="2"/>
      <c r="D318" s="2" t="s">
        <v>272</v>
      </c>
      <c r="E318" s="2" t="s">
        <v>342</v>
      </c>
      <c r="F318" s="3">
        <v>45680</v>
      </c>
      <c r="G318" s="3">
        <v>45680</v>
      </c>
      <c r="H318" s="3">
        <v>45680</v>
      </c>
      <c r="I318" s="2"/>
      <c r="J318" s="2"/>
      <c r="K318" s="2" t="s">
        <v>25</v>
      </c>
      <c r="L318" s="2" t="s">
        <v>26</v>
      </c>
      <c r="M318" s="2"/>
      <c r="N318" s="2" t="s">
        <v>27</v>
      </c>
      <c r="O318" s="2">
        <v>65</v>
      </c>
      <c r="P318" s="2">
        <v>11.7</v>
      </c>
      <c r="Q318" s="2">
        <v>76.7</v>
      </c>
      <c r="R318" s="2">
        <v>76.7</v>
      </c>
      <c r="S318" s="2">
        <v>76.7</v>
      </c>
      <c r="T318" s="2" t="s">
        <v>28</v>
      </c>
      <c r="U318" s="2" t="b">
        <v>0</v>
      </c>
      <c r="V318" s="2" t="s">
        <v>29</v>
      </c>
      <c r="W318" s="2" t="s">
        <v>104</v>
      </c>
      <c r="X318" s="2" t="s">
        <v>105</v>
      </c>
      <c r="Y318" s="2" t="s">
        <v>913</v>
      </c>
      <c r="Z318" s="2" t="s">
        <v>31</v>
      </c>
      <c r="AA318" s="2"/>
      <c r="AB318" s="2"/>
      <c r="AC318" s="2"/>
      <c r="AD318" s="2"/>
      <c r="AK318" s="8">
        <f t="shared" si="5"/>
        <v>45680</v>
      </c>
    </row>
    <row r="319" spans="1:37" ht="15" customHeight="1">
      <c r="A319" s="2" t="s">
        <v>914</v>
      </c>
      <c r="B319" s="2">
        <v>0</v>
      </c>
      <c r="C319" s="2"/>
      <c r="D319" s="2" t="s">
        <v>272</v>
      </c>
      <c r="E319" s="2" t="s">
        <v>342</v>
      </c>
      <c r="F319" s="3">
        <v>45680</v>
      </c>
      <c r="G319" s="3">
        <v>45680</v>
      </c>
      <c r="H319" s="3">
        <v>45680</v>
      </c>
      <c r="I319" s="2"/>
      <c r="J319" s="2"/>
      <c r="K319" s="2" t="s">
        <v>25</v>
      </c>
      <c r="L319" s="2" t="s">
        <v>26</v>
      </c>
      <c r="M319" s="2"/>
      <c r="N319" s="2" t="s">
        <v>27</v>
      </c>
      <c r="O319" s="2">
        <v>600</v>
      </c>
      <c r="P319" s="2">
        <v>108</v>
      </c>
      <c r="Q319" s="2">
        <v>708</v>
      </c>
      <c r="R319" s="2">
        <v>708</v>
      </c>
      <c r="S319" s="2">
        <v>708</v>
      </c>
      <c r="T319" s="2" t="s">
        <v>28</v>
      </c>
      <c r="U319" s="2" t="b">
        <v>0</v>
      </c>
      <c r="V319" s="2" t="s">
        <v>29</v>
      </c>
      <c r="W319" s="2" t="s">
        <v>104</v>
      </c>
      <c r="X319" s="2" t="s">
        <v>105</v>
      </c>
      <c r="Y319" s="2" t="s">
        <v>915</v>
      </c>
      <c r="Z319" s="2" t="s">
        <v>31</v>
      </c>
      <c r="AA319" s="2"/>
      <c r="AB319" s="2"/>
      <c r="AC319" s="2"/>
      <c r="AD319" s="2"/>
      <c r="AK319" s="8">
        <f t="shared" si="5"/>
        <v>45680</v>
      </c>
    </row>
    <row r="320" spans="1:37" ht="15" customHeight="1">
      <c r="A320" s="2" t="s">
        <v>916</v>
      </c>
      <c r="B320" s="2">
        <v>0</v>
      </c>
      <c r="C320" s="2"/>
      <c r="D320" s="2" t="s">
        <v>272</v>
      </c>
      <c r="E320" s="2" t="s">
        <v>342</v>
      </c>
      <c r="F320" s="3">
        <v>45680</v>
      </c>
      <c r="G320" s="3">
        <v>45680</v>
      </c>
      <c r="H320" s="3">
        <v>45680</v>
      </c>
      <c r="I320" s="2"/>
      <c r="J320" s="2"/>
      <c r="K320" s="2" t="s">
        <v>25</v>
      </c>
      <c r="L320" s="2" t="s">
        <v>26</v>
      </c>
      <c r="M320" s="2"/>
      <c r="N320" s="2" t="s">
        <v>27</v>
      </c>
      <c r="O320" s="2">
        <v>660</v>
      </c>
      <c r="P320" s="2">
        <v>118.8</v>
      </c>
      <c r="Q320" s="2">
        <v>778.8</v>
      </c>
      <c r="R320" s="2">
        <v>778.8</v>
      </c>
      <c r="S320" s="2">
        <v>778.8</v>
      </c>
      <c r="T320" s="2" t="s">
        <v>28</v>
      </c>
      <c r="U320" s="2" t="b">
        <v>0</v>
      </c>
      <c r="V320" s="2" t="s">
        <v>29</v>
      </c>
      <c r="W320" s="2" t="s">
        <v>104</v>
      </c>
      <c r="X320" s="2" t="s">
        <v>105</v>
      </c>
      <c r="Y320" s="2" t="s">
        <v>917</v>
      </c>
      <c r="Z320" s="2" t="s">
        <v>31</v>
      </c>
      <c r="AA320" s="2"/>
      <c r="AB320" s="2"/>
      <c r="AC320" s="2"/>
      <c r="AD320" s="2"/>
      <c r="AK320" s="8">
        <f t="shared" si="5"/>
        <v>45680</v>
      </c>
    </row>
    <row r="321" spans="1:37" ht="15" customHeight="1">
      <c r="A321" s="2" t="s">
        <v>918</v>
      </c>
      <c r="B321" s="2">
        <v>0</v>
      </c>
      <c r="C321" s="2"/>
      <c r="D321" s="2" t="s">
        <v>272</v>
      </c>
      <c r="E321" s="2" t="s">
        <v>342</v>
      </c>
      <c r="F321" s="3">
        <v>45680</v>
      </c>
      <c r="G321" s="3">
        <v>45680</v>
      </c>
      <c r="H321" s="3">
        <v>45680</v>
      </c>
      <c r="I321" s="2"/>
      <c r="J321" s="2"/>
      <c r="K321" s="2" t="s">
        <v>25</v>
      </c>
      <c r="L321" s="2" t="s">
        <v>26</v>
      </c>
      <c r="M321" s="2"/>
      <c r="N321" s="2" t="s">
        <v>27</v>
      </c>
      <c r="O321" s="2">
        <v>281.61</v>
      </c>
      <c r="P321" s="2">
        <v>50.69</v>
      </c>
      <c r="Q321" s="2">
        <v>332.3</v>
      </c>
      <c r="R321" s="2">
        <v>332.3</v>
      </c>
      <c r="S321" s="2">
        <v>332.3</v>
      </c>
      <c r="T321" s="2" t="s">
        <v>28</v>
      </c>
      <c r="U321" s="2" t="b">
        <v>0</v>
      </c>
      <c r="V321" s="2" t="s">
        <v>29</v>
      </c>
      <c r="W321" s="2" t="s">
        <v>104</v>
      </c>
      <c r="X321" s="2" t="s">
        <v>105</v>
      </c>
      <c r="Y321" s="2" t="s">
        <v>919</v>
      </c>
      <c r="Z321" s="2" t="s">
        <v>31</v>
      </c>
      <c r="AA321" s="2"/>
      <c r="AB321" s="2"/>
      <c r="AC321" s="2"/>
      <c r="AD321" s="2"/>
      <c r="AK321" s="8">
        <f t="shared" si="5"/>
        <v>45680</v>
      </c>
    </row>
    <row r="322" spans="1:37" ht="15" customHeight="1">
      <c r="A322" s="2" t="s">
        <v>920</v>
      </c>
      <c r="B322" s="2">
        <v>0</v>
      </c>
      <c r="C322" s="2"/>
      <c r="D322" s="2" t="s">
        <v>272</v>
      </c>
      <c r="E322" s="2" t="s">
        <v>342</v>
      </c>
      <c r="F322" s="3">
        <v>45680</v>
      </c>
      <c r="G322" s="3">
        <v>45680</v>
      </c>
      <c r="H322" s="3">
        <v>45680</v>
      </c>
      <c r="I322" s="2"/>
      <c r="J322" s="2"/>
      <c r="K322" s="2" t="s">
        <v>25</v>
      </c>
      <c r="L322" s="2" t="s">
        <v>26</v>
      </c>
      <c r="M322" s="2"/>
      <c r="N322" s="2" t="s">
        <v>27</v>
      </c>
      <c r="O322" s="2">
        <v>238.98</v>
      </c>
      <c r="P322" s="2">
        <v>43.02</v>
      </c>
      <c r="Q322" s="2">
        <v>282</v>
      </c>
      <c r="R322" s="2">
        <v>282</v>
      </c>
      <c r="S322" s="2">
        <v>282</v>
      </c>
      <c r="T322" s="2" t="s">
        <v>28</v>
      </c>
      <c r="U322" s="2" t="b">
        <v>0</v>
      </c>
      <c r="V322" s="2" t="s">
        <v>29</v>
      </c>
      <c r="W322" s="2" t="s">
        <v>104</v>
      </c>
      <c r="X322" s="2" t="s">
        <v>105</v>
      </c>
      <c r="Y322" s="2" t="s">
        <v>921</v>
      </c>
      <c r="Z322" s="2" t="s">
        <v>31</v>
      </c>
      <c r="AA322" s="2"/>
      <c r="AB322" s="2"/>
      <c r="AC322" s="2"/>
      <c r="AD322" s="2"/>
      <c r="AK322" s="8">
        <f t="shared" si="5"/>
        <v>45680</v>
      </c>
    </row>
    <row r="323" spans="1:37" ht="15" customHeight="1">
      <c r="A323" s="2" t="s">
        <v>922</v>
      </c>
      <c r="B323" s="2">
        <v>0</v>
      </c>
      <c r="C323" s="2"/>
      <c r="D323" s="2" t="s">
        <v>272</v>
      </c>
      <c r="E323" s="2" t="s">
        <v>923</v>
      </c>
      <c r="F323" s="3">
        <v>45680</v>
      </c>
      <c r="G323" s="3">
        <v>45680</v>
      </c>
      <c r="H323" s="3">
        <v>45680</v>
      </c>
      <c r="I323" s="2"/>
      <c r="J323" s="2"/>
      <c r="K323" s="2" t="s">
        <v>25</v>
      </c>
      <c r="L323" s="2" t="s">
        <v>26</v>
      </c>
      <c r="M323" s="2"/>
      <c r="N323" s="2" t="s">
        <v>27</v>
      </c>
      <c r="O323" s="2">
        <v>19.41</v>
      </c>
      <c r="P323" s="2">
        <v>3.49</v>
      </c>
      <c r="Q323" s="2">
        <v>22.9</v>
      </c>
      <c r="R323" s="2">
        <v>22.9</v>
      </c>
      <c r="S323" s="2">
        <v>22.9</v>
      </c>
      <c r="T323" s="2" t="s">
        <v>28</v>
      </c>
      <c r="U323" s="2" t="b">
        <v>0</v>
      </c>
      <c r="V323" s="2" t="s">
        <v>29</v>
      </c>
      <c r="W323" s="2" t="s">
        <v>104</v>
      </c>
      <c r="X323" s="2" t="s">
        <v>105</v>
      </c>
      <c r="Y323" s="2" t="s">
        <v>924</v>
      </c>
      <c r="Z323" s="2" t="s">
        <v>31</v>
      </c>
      <c r="AA323" s="2"/>
      <c r="AB323" s="2"/>
      <c r="AC323" s="2"/>
      <c r="AD323" s="2"/>
      <c r="AK323" s="8">
        <f t="shared" si="5"/>
        <v>45680</v>
      </c>
    </row>
    <row r="324" spans="1:37" ht="15" customHeight="1">
      <c r="A324" s="2" t="s">
        <v>925</v>
      </c>
      <c r="B324" s="2">
        <v>0</v>
      </c>
      <c r="C324" s="2"/>
      <c r="D324" s="2" t="s">
        <v>272</v>
      </c>
      <c r="E324" s="2" t="s">
        <v>923</v>
      </c>
      <c r="F324" s="3">
        <v>45680</v>
      </c>
      <c r="G324" s="3">
        <v>45680</v>
      </c>
      <c r="H324" s="3">
        <v>45680</v>
      </c>
      <c r="I324" s="2"/>
      <c r="J324" s="2"/>
      <c r="K324" s="2" t="s">
        <v>25</v>
      </c>
      <c r="L324" s="2" t="s">
        <v>26</v>
      </c>
      <c r="M324" s="2"/>
      <c r="N324" s="2" t="s">
        <v>27</v>
      </c>
      <c r="O324" s="2">
        <v>12.2</v>
      </c>
      <c r="P324" s="2">
        <v>2.2000000000000002</v>
      </c>
      <c r="Q324" s="2">
        <v>14.4</v>
      </c>
      <c r="R324" s="2">
        <v>14.4</v>
      </c>
      <c r="S324" s="2">
        <v>14.4</v>
      </c>
      <c r="T324" s="2" t="s">
        <v>28</v>
      </c>
      <c r="U324" s="2" t="b">
        <v>0</v>
      </c>
      <c r="V324" s="2" t="s">
        <v>29</v>
      </c>
      <c r="W324" s="2" t="s">
        <v>104</v>
      </c>
      <c r="X324" s="2" t="s">
        <v>105</v>
      </c>
      <c r="Y324" s="2" t="s">
        <v>926</v>
      </c>
      <c r="Z324" s="2" t="s">
        <v>31</v>
      </c>
      <c r="AA324" s="2"/>
      <c r="AB324" s="2"/>
      <c r="AC324" s="2"/>
      <c r="AD324" s="2"/>
      <c r="AK324" s="8">
        <f t="shared" si="5"/>
        <v>45680</v>
      </c>
    </row>
    <row r="325" spans="1:37" ht="15" customHeight="1">
      <c r="A325" s="2" t="s">
        <v>927</v>
      </c>
      <c r="B325" s="2">
        <v>0</v>
      </c>
      <c r="C325" s="2"/>
      <c r="D325" s="2" t="s">
        <v>305</v>
      </c>
      <c r="E325" s="2" t="s">
        <v>928</v>
      </c>
      <c r="F325" s="3">
        <v>45673</v>
      </c>
      <c r="G325" s="3">
        <v>45673</v>
      </c>
      <c r="H325" s="3">
        <v>45673</v>
      </c>
      <c r="I325" s="2"/>
      <c r="J325" s="2"/>
      <c r="K325" s="2" t="s">
        <v>25</v>
      </c>
      <c r="L325" s="2" t="s">
        <v>26</v>
      </c>
      <c r="M325" s="2"/>
      <c r="N325" s="2" t="s">
        <v>27</v>
      </c>
      <c r="O325" s="2">
        <v>1230</v>
      </c>
      <c r="P325" s="2">
        <v>221.4</v>
      </c>
      <c r="Q325" s="2">
        <v>1451.4</v>
      </c>
      <c r="R325" s="2">
        <v>1451.4</v>
      </c>
      <c r="S325" s="2">
        <v>1451.4</v>
      </c>
      <c r="T325" s="2" t="s">
        <v>28</v>
      </c>
      <c r="U325" s="2" t="b">
        <v>0</v>
      </c>
      <c r="V325" s="2" t="s">
        <v>29</v>
      </c>
      <c r="W325" s="2" t="s">
        <v>104</v>
      </c>
      <c r="X325" s="2" t="s">
        <v>105</v>
      </c>
      <c r="Y325" s="2" t="s">
        <v>929</v>
      </c>
      <c r="Z325" s="2" t="s">
        <v>31</v>
      </c>
      <c r="AA325" s="2"/>
      <c r="AB325" s="2"/>
      <c r="AC325" s="2"/>
      <c r="AD325" s="2"/>
      <c r="AK325" s="8">
        <f t="shared" si="5"/>
        <v>45673</v>
      </c>
    </row>
    <row r="326" spans="1:37" ht="15" customHeight="1">
      <c r="A326" s="2" t="s">
        <v>930</v>
      </c>
      <c r="B326" s="2">
        <v>0</v>
      </c>
      <c r="C326" s="2"/>
      <c r="D326" s="2" t="s">
        <v>305</v>
      </c>
      <c r="E326" s="2" t="s">
        <v>34</v>
      </c>
      <c r="F326" s="3">
        <v>45673</v>
      </c>
      <c r="G326" s="3">
        <v>45673</v>
      </c>
      <c r="H326" s="3">
        <v>45673</v>
      </c>
      <c r="I326" s="2"/>
      <c r="J326" s="2"/>
      <c r="K326" s="2" t="s">
        <v>25</v>
      </c>
      <c r="L326" s="2" t="s">
        <v>26</v>
      </c>
      <c r="M326" s="2"/>
      <c r="N326" s="2" t="s">
        <v>27</v>
      </c>
      <c r="O326" s="2">
        <v>720</v>
      </c>
      <c r="P326" s="2">
        <v>129.6</v>
      </c>
      <c r="Q326" s="2">
        <v>849.6</v>
      </c>
      <c r="R326" s="2">
        <v>849.6</v>
      </c>
      <c r="S326" s="2">
        <v>849.6</v>
      </c>
      <c r="T326" s="2" t="s">
        <v>28</v>
      </c>
      <c r="U326" s="2" t="b">
        <v>0</v>
      </c>
      <c r="V326" s="2" t="s">
        <v>29</v>
      </c>
      <c r="W326" s="2" t="s">
        <v>104</v>
      </c>
      <c r="X326" s="2" t="s">
        <v>105</v>
      </c>
      <c r="Y326" s="2" t="s">
        <v>931</v>
      </c>
      <c r="Z326" s="2" t="s">
        <v>31</v>
      </c>
      <c r="AA326" s="2"/>
      <c r="AB326" s="2"/>
      <c r="AC326" s="2"/>
      <c r="AD326" s="2"/>
      <c r="AK326" s="8">
        <f t="shared" si="5"/>
        <v>45673</v>
      </c>
    </row>
    <row r="327" spans="1:37" ht="15" customHeight="1">
      <c r="A327" s="2" t="s">
        <v>932</v>
      </c>
      <c r="B327" s="2">
        <v>0</v>
      </c>
      <c r="C327" s="2"/>
      <c r="D327" s="2" t="s">
        <v>305</v>
      </c>
      <c r="E327" s="2" t="s">
        <v>34</v>
      </c>
      <c r="F327" s="3">
        <v>45673</v>
      </c>
      <c r="G327" s="3">
        <v>45673</v>
      </c>
      <c r="H327" s="3">
        <v>45673</v>
      </c>
      <c r="I327" s="2"/>
      <c r="J327" s="2"/>
      <c r="K327" s="2" t="s">
        <v>25</v>
      </c>
      <c r="L327" s="2" t="s">
        <v>26</v>
      </c>
      <c r="M327" s="2"/>
      <c r="N327" s="2" t="s">
        <v>27</v>
      </c>
      <c r="O327" s="2">
        <v>720</v>
      </c>
      <c r="P327" s="2">
        <v>129.6</v>
      </c>
      <c r="Q327" s="2">
        <v>849.6</v>
      </c>
      <c r="R327" s="2">
        <v>849.6</v>
      </c>
      <c r="S327" s="2">
        <v>849.6</v>
      </c>
      <c r="T327" s="2" t="s">
        <v>28</v>
      </c>
      <c r="U327" s="2" t="b">
        <v>0</v>
      </c>
      <c r="V327" s="2" t="s">
        <v>29</v>
      </c>
      <c r="W327" s="2" t="s">
        <v>104</v>
      </c>
      <c r="X327" s="2" t="s">
        <v>105</v>
      </c>
      <c r="Y327" s="2" t="s">
        <v>933</v>
      </c>
      <c r="Z327" s="2" t="s">
        <v>31</v>
      </c>
      <c r="AA327" s="2"/>
      <c r="AB327" s="2"/>
      <c r="AC327" s="2"/>
      <c r="AD327" s="2"/>
      <c r="AK327" s="8">
        <f t="shared" ref="AK327:AK390" si="6">+IF(AE327&lt;&gt;"",AE327,F327)</f>
        <v>45673</v>
      </c>
    </row>
    <row r="328" spans="1:37" ht="15" customHeight="1">
      <c r="A328" s="2" t="s">
        <v>934</v>
      </c>
      <c r="B328" s="2">
        <v>0</v>
      </c>
      <c r="C328" s="2"/>
      <c r="D328" s="2" t="s">
        <v>305</v>
      </c>
      <c r="E328" s="2" t="s">
        <v>34</v>
      </c>
      <c r="F328" s="3">
        <v>45673</v>
      </c>
      <c r="G328" s="3">
        <v>45673</v>
      </c>
      <c r="H328" s="3">
        <v>45673</v>
      </c>
      <c r="I328" s="2"/>
      <c r="J328" s="2"/>
      <c r="K328" s="2" t="s">
        <v>25</v>
      </c>
      <c r="L328" s="2" t="s">
        <v>26</v>
      </c>
      <c r="M328" s="2"/>
      <c r="N328" s="2" t="s">
        <v>27</v>
      </c>
      <c r="O328" s="2">
        <v>209.66</v>
      </c>
      <c r="P328" s="2">
        <v>37.74</v>
      </c>
      <c r="Q328" s="2">
        <v>247.4</v>
      </c>
      <c r="R328" s="2">
        <v>247.4</v>
      </c>
      <c r="S328" s="2">
        <v>247.4</v>
      </c>
      <c r="T328" s="2" t="s">
        <v>28</v>
      </c>
      <c r="U328" s="2" t="b">
        <v>0</v>
      </c>
      <c r="V328" s="2" t="s">
        <v>29</v>
      </c>
      <c r="W328" s="2" t="s">
        <v>104</v>
      </c>
      <c r="X328" s="2" t="s">
        <v>105</v>
      </c>
      <c r="Y328" s="2" t="s">
        <v>935</v>
      </c>
      <c r="Z328" s="2" t="s">
        <v>31</v>
      </c>
      <c r="AA328" s="2"/>
      <c r="AB328" s="2"/>
      <c r="AC328" s="2"/>
      <c r="AD328" s="2"/>
      <c r="AK328" s="8">
        <f t="shared" si="6"/>
        <v>45673</v>
      </c>
    </row>
    <row r="329" spans="1:37" ht="15" customHeight="1">
      <c r="A329" s="2" t="s">
        <v>936</v>
      </c>
      <c r="B329" s="2">
        <v>0</v>
      </c>
      <c r="C329" s="2"/>
      <c r="D329" s="2" t="s">
        <v>305</v>
      </c>
      <c r="E329" s="2" t="s">
        <v>431</v>
      </c>
      <c r="F329" s="3">
        <v>45672</v>
      </c>
      <c r="G329" s="3">
        <v>45672</v>
      </c>
      <c r="H329" s="3">
        <v>45672</v>
      </c>
      <c r="I329" s="2"/>
      <c r="J329" s="2"/>
      <c r="K329" s="2" t="s">
        <v>25</v>
      </c>
      <c r="L329" s="2" t="s">
        <v>26</v>
      </c>
      <c r="M329" s="2"/>
      <c r="N329" s="2" t="s">
        <v>27</v>
      </c>
      <c r="O329" s="2">
        <v>300</v>
      </c>
      <c r="P329" s="2">
        <v>54</v>
      </c>
      <c r="Q329" s="2">
        <v>354</v>
      </c>
      <c r="R329" s="2">
        <v>354</v>
      </c>
      <c r="S329" s="2">
        <v>354</v>
      </c>
      <c r="T329" s="2" t="s">
        <v>28</v>
      </c>
      <c r="U329" s="2" t="b">
        <v>0</v>
      </c>
      <c r="V329" s="2" t="s">
        <v>29</v>
      </c>
      <c r="W329" s="2" t="s">
        <v>104</v>
      </c>
      <c r="X329" s="2" t="s">
        <v>105</v>
      </c>
      <c r="Y329" s="2" t="s">
        <v>937</v>
      </c>
      <c r="Z329" s="2" t="s">
        <v>31</v>
      </c>
      <c r="AA329" s="2"/>
      <c r="AB329" s="2"/>
      <c r="AC329" s="2"/>
      <c r="AD329" s="2"/>
      <c r="AK329" s="8">
        <f t="shared" si="6"/>
        <v>45672</v>
      </c>
    </row>
    <row r="330" spans="1:37" ht="15" customHeight="1">
      <c r="A330" s="2" t="s">
        <v>938</v>
      </c>
      <c r="B330" s="2">
        <v>0</v>
      </c>
      <c r="C330" s="2"/>
      <c r="D330" s="2" t="s">
        <v>305</v>
      </c>
      <c r="E330" s="2" t="s">
        <v>431</v>
      </c>
      <c r="F330" s="3">
        <v>45672</v>
      </c>
      <c r="G330" s="3">
        <v>45672</v>
      </c>
      <c r="H330" s="3">
        <v>45672</v>
      </c>
      <c r="I330" s="2"/>
      <c r="J330" s="2"/>
      <c r="K330" s="2" t="s">
        <v>25</v>
      </c>
      <c r="L330" s="2" t="s">
        <v>26</v>
      </c>
      <c r="M330" s="2"/>
      <c r="N330" s="2" t="s">
        <v>27</v>
      </c>
      <c r="O330" s="2">
        <v>933.64</v>
      </c>
      <c r="P330" s="2">
        <v>168.06</v>
      </c>
      <c r="Q330" s="2">
        <v>1101.7</v>
      </c>
      <c r="R330" s="2">
        <v>1101.7</v>
      </c>
      <c r="S330" s="2">
        <v>1101.7</v>
      </c>
      <c r="T330" s="2" t="s">
        <v>28</v>
      </c>
      <c r="U330" s="2" t="b">
        <v>0</v>
      </c>
      <c r="V330" s="2" t="s">
        <v>29</v>
      </c>
      <c r="W330" s="2" t="s">
        <v>104</v>
      </c>
      <c r="X330" s="2" t="s">
        <v>105</v>
      </c>
      <c r="Y330" s="2" t="s">
        <v>939</v>
      </c>
      <c r="Z330" s="2" t="s">
        <v>31</v>
      </c>
      <c r="AA330" s="2"/>
      <c r="AB330" s="2"/>
      <c r="AC330" s="2"/>
      <c r="AD330" s="2"/>
      <c r="AK330" s="8">
        <f t="shared" si="6"/>
        <v>45672</v>
      </c>
    </row>
    <row r="331" spans="1:37" ht="15" customHeight="1">
      <c r="A331" s="2" t="s">
        <v>940</v>
      </c>
      <c r="B331" s="2">
        <v>0</v>
      </c>
      <c r="C331" s="2"/>
      <c r="D331" s="2" t="s">
        <v>305</v>
      </c>
      <c r="E331" s="2" t="s">
        <v>431</v>
      </c>
      <c r="F331" s="3">
        <v>45672</v>
      </c>
      <c r="G331" s="3">
        <v>45672</v>
      </c>
      <c r="H331" s="3">
        <v>45672</v>
      </c>
      <c r="I331" s="2"/>
      <c r="J331" s="2"/>
      <c r="K331" s="2" t="s">
        <v>25</v>
      </c>
      <c r="L331" s="2" t="s">
        <v>26</v>
      </c>
      <c r="M331" s="2"/>
      <c r="N331" s="2" t="s">
        <v>27</v>
      </c>
      <c r="O331" s="2">
        <v>364.66</v>
      </c>
      <c r="P331" s="2">
        <v>65.64</v>
      </c>
      <c r="Q331" s="2">
        <v>430.3</v>
      </c>
      <c r="R331" s="2">
        <v>430.3</v>
      </c>
      <c r="S331" s="2">
        <v>430.3</v>
      </c>
      <c r="T331" s="2" t="s">
        <v>28</v>
      </c>
      <c r="U331" s="2" t="b">
        <v>0</v>
      </c>
      <c r="V331" s="2" t="s">
        <v>29</v>
      </c>
      <c r="W331" s="2" t="s">
        <v>104</v>
      </c>
      <c r="X331" s="2" t="s">
        <v>105</v>
      </c>
      <c r="Y331" s="2" t="s">
        <v>941</v>
      </c>
      <c r="Z331" s="2" t="s">
        <v>31</v>
      </c>
      <c r="AA331" s="2"/>
      <c r="AB331" s="2"/>
      <c r="AC331" s="2"/>
      <c r="AD331" s="2"/>
      <c r="AK331" s="8">
        <f t="shared" si="6"/>
        <v>45672</v>
      </c>
    </row>
    <row r="332" spans="1:37" ht="15" customHeight="1">
      <c r="A332" s="2" t="s">
        <v>942</v>
      </c>
      <c r="B332" s="2">
        <v>0</v>
      </c>
      <c r="C332" s="2"/>
      <c r="D332" s="2" t="s">
        <v>305</v>
      </c>
      <c r="E332" s="2" t="s">
        <v>459</v>
      </c>
      <c r="F332" s="3">
        <v>45672</v>
      </c>
      <c r="G332" s="3">
        <v>45672</v>
      </c>
      <c r="H332" s="3">
        <v>45672</v>
      </c>
      <c r="I332" s="2"/>
      <c r="J332" s="2"/>
      <c r="K332" s="2" t="s">
        <v>25</v>
      </c>
      <c r="L332" s="2" t="s">
        <v>26</v>
      </c>
      <c r="M332" s="2"/>
      <c r="N332" s="2" t="s">
        <v>27</v>
      </c>
      <c r="O332" s="2">
        <v>7.5</v>
      </c>
      <c r="P332" s="2">
        <v>1.35</v>
      </c>
      <c r="Q332" s="2">
        <v>8.85</v>
      </c>
      <c r="R332" s="2">
        <v>8.85</v>
      </c>
      <c r="S332" s="2">
        <v>8.85</v>
      </c>
      <c r="T332" s="2" t="s">
        <v>28</v>
      </c>
      <c r="U332" s="2" t="b">
        <v>0</v>
      </c>
      <c r="V332" s="2" t="s">
        <v>29</v>
      </c>
      <c r="W332" s="2" t="s">
        <v>104</v>
      </c>
      <c r="X332" s="2" t="s">
        <v>105</v>
      </c>
      <c r="Y332" s="2" t="s">
        <v>943</v>
      </c>
      <c r="Z332" s="2" t="s">
        <v>31</v>
      </c>
      <c r="AA332" s="2"/>
      <c r="AB332" s="2"/>
      <c r="AC332" s="2"/>
      <c r="AD332" s="2"/>
      <c r="AK332" s="8">
        <f t="shared" si="6"/>
        <v>45672</v>
      </c>
    </row>
    <row r="333" spans="1:37" ht="15" customHeight="1">
      <c r="A333" s="2" t="s">
        <v>944</v>
      </c>
      <c r="B333" s="2">
        <v>0</v>
      </c>
      <c r="C333" s="2"/>
      <c r="D333" s="2" t="s">
        <v>305</v>
      </c>
      <c r="E333" s="2" t="s">
        <v>459</v>
      </c>
      <c r="F333" s="3">
        <v>45672</v>
      </c>
      <c r="G333" s="3">
        <v>45672</v>
      </c>
      <c r="H333" s="3">
        <v>45672</v>
      </c>
      <c r="I333" s="2"/>
      <c r="J333" s="2"/>
      <c r="K333" s="2" t="s">
        <v>25</v>
      </c>
      <c r="L333" s="2" t="s">
        <v>26</v>
      </c>
      <c r="M333" s="2"/>
      <c r="N333" s="2" t="s">
        <v>27</v>
      </c>
      <c r="O333" s="2">
        <v>95</v>
      </c>
      <c r="P333" s="2">
        <v>17.100000000000001</v>
      </c>
      <c r="Q333" s="2">
        <v>112.1</v>
      </c>
      <c r="R333" s="2">
        <v>112.1</v>
      </c>
      <c r="S333" s="2">
        <v>112.1</v>
      </c>
      <c r="T333" s="2" t="s">
        <v>28</v>
      </c>
      <c r="U333" s="2" t="b">
        <v>0</v>
      </c>
      <c r="V333" s="2" t="s">
        <v>29</v>
      </c>
      <c r="W333" s="2" t="s">
        <v>104</v>
      </c>
      <c r="X333" s="2" t="s">
        <v>105</v>
      </c>
      <c r="Y333" s="2" t="s">
        <v>945</v>
      </c>
      <c r="Z333" s="2" t="s">
        <v>31</v>
      </c>
      <c r="AA333" s="2"/>
      <c r="AB333" s="2"/>
      <c r="AC333" s="2"/>
      <c r="AD333" s="2"/>
      <c r="AK333" s="8">
        <f t="shared" si="6"/>
        <v>45672</v>
      </c>
    </row>
    <row r="334" spans="1:37" ht="15" customHeight="1">
      <c r="A334" s="2" t="s">
        <v>946</v>
      </c>
      <c r="B334" s="2">
        <v>0</v>
      </c>
      <c r="C334" s="2"/>
      <c r="D334" s="2" t="s">
        <v>305</v>
      </c>
      <c r="E334" s="2" t="s">
        <v>459</v>
      </c>
      <c r="F334" s="3">
        <v>45672</v>
      </c>
      <c r="G334" s="3">
        <v>45672</v>
      </c>
      <c r="H334" s="3">
        <v>45672</v>
      </c>
      <c r="I334" s="2"/>
      <c r="J334" s="2"/>
      <c r="K334" s="2" t="s">
        <v>25</v>
      </c>
      <c r="L334" s="2" t="s">
        <v>26</v>
      </c>
      <c r="M334" s="2"/>
      <c r="N334" s="2" t="s">
        <v>27</v>
      </c>
      <c r="O334" s="2">
        <v>56.69</v>
      </c>
      <c r="P334" s="2">
        <v>10.210000000000001</v>
      </c>
      <c r="Q334" s="2">
        <v>66.900000000000006</v>
      </c>
      <c r="R334" s="2">
        <v>66.900000000000006</v>
      </c>
      <c r="S334" s="2">
        <v>66.900000000000006</v>
      </c>
      <c r="T334" s="2" t="s">
        <v>28</v>
      </c>
      <c r="U334" s="2" t="b">
        <v>0</v>
      </c>
      <c r="V334" s="2" t="s">
        <v>29</v>
      </c>
      <c r="W334" s="2" t="s">
        <v>104</v>
      </c>
      <c r="X334" s="2" t="s">
        <v>105</v>
      </c>
      <c r="Y334" s="2" t="s">
        <v>947</v>
      </c>
      <c r="Z334" s="2" t="s">
        <v>31</v>
      </c>
      <c r="AA334" s="2"/>
      <c r="AB334" s="2"/>
      <c r="AC334" s="2"/>
      <c r="AD334" s="2"/>
      <c r="AK334" s="8">
        <f t="shared" si="6"/>
        <v>45672</v>
      </c>
    </row>
    <row r="335" spans="1:37" ht="15" customHeight="1">
      <c r="A335" s="2" t="s">
        <v>948</v>
      </c>
      <c r="B335" s="2">
        <v>0</v>
      </c>
      <c r="C335" s="2"/>
      <c r="D335" s="2" t="s">
        <v>272</v>
      </c>
      <c r="E335" s="2" t="s">
        <v>949</v>
      </c>
      <c r="F335" s="3">
        <v>45672</v>
      </c>
      <c r="G335" s="3">
        <v>45672</v>
      </c>
      <c r="H335" s="3">
        <v>45672</v>
      </c>
      <c r="I335" s="2"/>
      <c r="J335" s="2"/>
      <c r="K335" s="2" t="s">
        <v>25</v>
      </c>
      <c r="L335" s="2" t="s">
        <v>26</v>
      </c>
      <c r="M335" s="2"/>
      <c r="N335" s="2" t="s">
        <v>27</v>
      </c>
      <c r="O335" s="2">
        <v>109.83</v>
      </c>
      <c r="P335" s="2">
        <v>19.77</v>
      </c>
      <c r="Q335" s="2">
        <v>129.6</v>
      </c>
      <c r="R335" s="2">
        <v>129.6</v>
      </c>
      <c r="S335" s="2">
        <v>129.6</v>
      </c>
      <c r="T335" s="2" t="s">
        <v>28</v>
      </c>
      <c r="U335" s="2" t="b">
        <v>0</v>
      </c>
      <c r="V335" s="2" t="s">
        <v>29</v>
      </c>
      <c r="W335" s="2" t="s">
        <v>104</v>
      </c>
      <c r="X335" s="2" t="s">
        <v>105</v>
      </c>
      <c r="Y335" s="2" t="s">
        <v>950</v>
      </c>
      <c r="Z335" s="2" t="s">
        <v>31</v>
      </c>
      <c r="AA335" s="2"/>
      <c r="AB335" s="2"/>
      <c r="AC335" s="2"/>
      <c r="AD335" s="2"/>
      <c r="AK335" s="8">
        <f t="shared" si="6"/>
        <v>45672</v>
      </c>
    </row>
    <row r="336" spans="1:37" ht="15" customHeight="1">
      <c r="A336" s="2" t="s">
        <v>951</v>
      </c>
      <c r="B336" s="2">
        <v>0</v>
      </c>
      <c r="C336" s="2"/>
      <c r="D336" s="2" t="s">
        <v>272</v>
      </c>
      <c r="E336" s="2" t="s">
        <v>949</v>
      </c>
      <c r="F336" s="3">
        <v>45672</v>
      </c>
      <c r="G336" s="3">
        <v>45672</v>
      </c>
      <c r="H336" s="3">
        <v>45672</v>
      </c>
      <c r="I336" s="2"/>
      <c r="J336" s="2"/>
      <c r="K336" s="2" t="s">
        <v>25</v>
      </c>
      <c r="L336" s="2" t="s">
        <v>26</v>
      </c>
      <c r="M336" s="2"/>
      <c r="N336" s="2" t="s">
        <v>27</v>
      </c>
      <c r="O336" s="2">
        <v>61.02</v>
      </c>
      <c r="P336" s="2">
        <v>10.98</v>
      </c>
      <c r="Q336" s="2">
        <v>72</v>
      </c>
      <c r="R336" s="2">
        <v>72</v>
      </c>
      <c r="S336" s="2">
        <v>72</v>
      </c>
      <c r="T336" s="2" t="s">
        <v>28</v>
      </c>
      <c r="U336" s="2" t="b">
        <v>0</v>
      </c>
      <c r="V336" s="2" t="s">
        <v>29</v>
      </c>
      <c r="W336" s="2" t="s">
        <v>104</v>
      </c>
      <c r="X336" s="2" t="s">
        <v>105</v>
      </c>
      <c r="Y336" s="2" t="s">
        <v>952</v>
      </c>
      <c r="Z336" s="2" t="s">
        <v>31</v>
      </c>
      <c r="AA336" s="2"/>
      <c r="AB336" s="2"/>
      <c r="AC336" s="2"/>
      <c r="AD336" s="2"/>
      <c r="AK336" s="8">
        <f t="shared" si="6"/>
        <v>45672</v>
      </c>
    </row>
    <row r="337" spans="1:37" ht="15" customHeight="1">
      <c r="A337" s="2" t="s">
        <v>953</v>
      </c>
      <c r="B337" s="2">
        <v>0</v>
      </c>
      <c r="C337" s="2"/>
      <c r="D337" s="2" t="s">
        <v>272</v>
      </c>
      <c r="E337" s="2" t="s">
        <v>573</v>
      </c>
      <c r="F337" s="3">
        <v>45672</v>
      </c>
      <c r="G337" s="3">
        <v>45672</v>
      </c>
      <c r="H337" s="3">
        <v>45672</v>
      </c>
      <c r="I337" s="2"/>
      <c r="J337" s="2"/>
      <c r="K337" s="2" t="s">
        <v>25</v>
      </c>
      <c r="L337" s="2" t="s">
        <v>26</v>
      </c>
      <c r="M337" s="2"/>
      <c r="N337" s="2" t="s">
        <v>27</v>
      </c>
      <c r="O337" s="2">
        <v>518.80999999999995</v>
      </c>
      <c r="P337" s="2">
        <v>93.39</v>
      </c>
      <c r="Q337" s="2">
        <v>612.20000000000005</v>
      </c>
      <c r="R337" s="2">
        <v>612.20000000000005</v>
      </c>
      <c r="S337" s="2">
        <v>612.20000000000005</v>
      </c>
      <c r="T337" s="2" t="s">
        <v>28</v>
      </c>
      <c r="U337" s="2" t="b">
        <v>0</v>
      </c>
      <c r="V337" s="2" t="s">
        <v>29</v>
      </c>
      <c r="W337" s="2" t="s">
        <v>104</v>
      </c>
      <c r="X337" s="2" t="s">
        <v>105</v>
      </c>
      <c r="Y337" s="2" t="s">
        <v>954</v>
      </c>
      <c r="Z337" s="2" t="s">
        <v>31</v>
      </c>
      <c r="AA337" s="2"/>
      <c r="AB337" s="2"/>
      <c r="AC337" s="2"/>
      <c r="AD337" s="2"/>
      <c r="AK337" s="8">
        <f t="shared" si="6"/>
        <v>45672</v>
      </c>
    </row>
    <row r="338" spans="1:37" ht="15" customHeight="1">
      <c r="A338" s="2" t="s">
        <v>955</v>
      </c>
      <c r="B338" s="2">
        <v>0</v>
      </c>
      <c r="C338" s="2"/>
      <c r="D338" s="2" t="s">
        <v>272</v>
      </c>
      <c r="E338" s="2" t="s">
        <v>573</v>
      </c>
      <c r="F338" s="3">
        <v>45672</v>
      </c>
      <c r="G338" s="3">
        <v>45672</v>
      </c>
      <c r="H338" s="3">
        <v>45672</v>
      </c>
      <c r="I338" s="2"/>
      <c r="J338" s="2"/>
      <c r="K338" s="2" t="s">
        <v>25</v>
      </c>
      <c r="L338" s="2" t="s">
        <v>26</v>
      </c>
      <c r="M338" s="2"/>
      <c r="N338" s="2" t="s">
        <v>27</v>
      </c>
      <c r="O338" s="2">
        <v>511.53</v>
      </c>
      <c r="P338" s="2">
        <v>92.07</v>
      </c>
      <c r="Q338" s="2">
        <v>603.6</v>
      </c>
      <c r="R338" s="2">
        <v>603.6</v>
      </c>
      <c r="S338" s="2">
        <v>603.6</v>
      </c>
      <c r="T338" s="2" t="s">
        <v>28</v>
      </c>
      <c r="U338" s="2" t="b">
        <v>0</v>
      </c>
      <c r="V338" s="2" t="s">
        <v>29</v>
      </c>
      <c r="W338" s="2" t="s">
        <v>104</v>
      </c>
      <c r="X338" s="2" t="s">
        <v>105</v>
      </c>
      <c r="Y338" s="2" t="s">
        <v>956</v>
      </c>
      <c r="Z338" s="2" t="s">
        <v>31</v>
      </c>
      <c r="AA338" s="2"/>
      <c r="AB338" s="2"/>
      <c r="AC338" s="2"/>
      <c r="AD338" s="2"/>
      <c r="AK338" s="8">
        <f t="shared" si="6"/>
        <v>45672</v>
      </c>
    </row>
    <row r="339" spans="1:37" ht="15" customHeight="1">
      <c r="A339" s="2" t="s">
        <v>957</v>
      </c>
      <c r="B339" s="2">
        <v>0</v>
      </c>
      <c r="C339" s="2"/>
      <c r="D339" s="2" t="s">
        <v>305</v>
      </c>
      <c r="E339" s="2" t="s">
        <v>34</v>
      </c>
      <c r="F339" s="3">
        <v>45666</v>
      </c>
      <c r="G339" s="3">
        <v>45666</v>
      </c>
      <c r="H339" s="3">
        <v>45666</v>
      </c>
      <c r="I339" s="2"/>
      <c r="J339" s="2"/>
      <c r="K339" s="2" t="s">
        <v>25</v>
      </c>
      <c r="L339" s="2" t="s">
        <v>26</v>
      </c>
      <c r="M339" s="2"/>
      <c r="N339" s="2" t="s">
        <v>27</v>
      </c>
      <c r="O339" s="2">
        <v>976.5</v>
      </c>
      <c r="P339" s="2">
        <v>175.77</v>
      </c>
      <c r="Q339" s="2">
        <v>1152.27</v>
      </c>
      <c r="R339" s="2">
        <v>1152.27</v>
      </c>
      <c r="S339" s="2">
        <v>1152.27</v>
      </c>
      <c r="T339" s="2" t="s">
        <v>28</v>
      </c>
      <c r="U339" s="2" t="b">
        <v>0</v>
      </c>
      <c r="V339" s="2" t="s">
        <v>29</v>
      </c>
      <c r="W339" s="2" t="s">
        <v>104</v>
      </c>
      <c r="X339" s="2" t="s">
        <v>105</v>
      </c>
      <c r="Y339" s="2" t="s">
        <v>958</v>
      </c>
      <c r="Z339" s="2" t="s">
        <v>31</v>
      </c>
      <c r="AA339" s="2"/>
      <c r="AB339" s="2"/>
      <c r="AC339" s="2"/>
      <c r="AD339" s="2"/>
      <c r="AK339" s="8">
        <f t="shared" si="6"/>
        <v>45666</v>
      </c>
    </row>
    <row r="340" spans="1:37" ht="15" customHeight="1">
      <c r="A340" s="2" t="s">
        <v>959</v>
      </c>
      <c r="B340" s="2">
        <v>0</v>
      </c>
      <c r="C340" s="2"/>
      <c r="D340" s="2" t="s">
        <v>305</v>
      </c>
      <c r="E340" s="2" t="s">
        <v>34</v>
      </c>
      <c r="F340" s="3">
        <v>45666</v>
      </c>
      <c r="G340" s="3">
        <v>45666</v>
      </c>
      <c r="H340" s="3">
        <v>45666</v>
      </c>
      <c r="I340" s="2"/>
      <c r="J340" s="2"/>
      <c r="K340" s="2" t="s">
        <v>25</v>
      </c>
      <c r="L340" s="2" t="s">
        <v>26</v>
      </c>
      <c r="M340" s="2"/>
      <c r="N340" s="2" t="s">
        <v>27</v>
      </c>
      <c r="O340" s="2">
        <v>970</v>
      </c>
      <c r="P340" s="2">
        <v>174.6</v>
      </c>
      <c r="Q340" s="2">
        <v>1144.5999999999999</v>
      </c>
      <c r="R340" s="2">
        <v>1144.5999999999999</v>
      </c>
      <c r="S340" s="2">
        <v>1144.5999999999999</v>
      </c>
      <c r="T340" s="2" t="s">
        <v>28</v>
      </c>
      <c r="U340" s="2" t="b">
        <v>0</v>
      </c>
      <c r="V340" s="2" t="s">
        <v>29</v>
      </c>
      <c r="W340" s="2" t="s">
        <v>104</v>
      </c>
      <c r="X340" s="2" t="s">
        <v>105</v>
      </c>
      <c r="Y340" s="2" t="s">
        <v>960</v>
      </c>
      <c r="Z340" s="2" t="s">
        <v>31</v>
      </c>
      <c r="AA340" s="2"/>
      <c r="AB340" s="2"/>
      <c r="AC340" s="2"/>
      <c r="AD340" s="2"/>
      <c r="AK340" s="8">
        <f t="shared" si="6"/>
        <v>45666</v>
      </c>
    </row>
    <row r="341" spans="1:37" ht="15" customHeight="1">
      <c r="A341" s="2" t="s">
        <v>961</v>
      </c>
      <c r="B341" s="2">
        <v>0</v>
      </c>
      <c r="C341" s="2"/>
      <c r="D341" s="2" t="s">
        <v>305</v>
      </c>
      <c r="E341" s="2" t="s">
        <v>32</v>
      </c>
      <c r="F341" s="3">
        <v>45665</v>
      </c>
      <c r="G341" s="3">
        <v>45665</v>
      </c>
      <c r="H341" s="3">
        <v>45665</v>
      </c>
      <c r="I341" s="2"/>
      <c r="J341" s="2"/>
      <c r="K341" s="2" t="s">
        <v>25</v>
      </c>
      <c r="L341" s="2" t="s">
        <v>26</v>
      </c>
      <c r="M341" s="2"/>
      <c r="N341" s="2" t="s">
        <v>27</v>
      </c>
      <c r="O341" s="2">
        <v>44.97</v>
      </c>
      <c r="P341" s="2">
        <v>8.1</v>
      </c>
      <c r="Q341" s="2">
        <v>53.07</v>
      </c>
      <c r="R341" s="2">
        <v>53.07</v>
      </c>
      <c r="S341" s="2">
        <v>53.07</v>
      </c>
      <c r="T341" s="2" t="s">
        <v>28</v>
      </c>
      <c r="U341" s="2" t="b">
        <v>0</v>
      </c>
      <c r="V341" s="2" t="s">
        <v>29</v>
      </c>
      <c r="W341" s="2" t="s">
        <v>104</v>
      </c>
      <c r="X341" s="2" t="s">
        <v>105</v>
      </c>
      <c r="Y341" s="2" t="s">
        <v>962</v>
      </c>
      <c r="Z341" s="2" t="s">
        <v>31</v>
      </c>
      <c r="AA341" s="2"/>
      <c r="AB341" s="2"/>
      <c r="AC341" s="2"/>
      <c r="AD341" s="2"/>
      <c r="AK341" s="8">
        <f t="shared" si="6"/>
        <v>45665</v>
      </c>
    </row>
    <row r="342" spans="1:37" ht="15" customHeight="1">
      <c r="A342" s="2" t="s">
        <v>963</v>
      </c>
      <c r="B342" s="2">
        <v>0</v>
      </c>
      <c r="C342" s="2"/>
      <c r="D342" s="2" t="s">
        <v>305</v>
      </c>
      <c r="E342" s="2" t="s">
        <v>32</v>
      </c>
      <c r="F342" s="3">
        <v>45665</v>
      </c>
      <c r="G342" s="3">
        <v>45665</v>
      </c>
      <c r="H342" s="3">
        <v>45665</v>
      </c>
      <c r="I342" s="2"/>
      <c r="J342" s="2"/>
      <c r="K342" s="2" t="s">
        <v>25</v>
      </c>
      <c r="L342" s="2" t="s">
        <v>26</v>
      </c>
      <c r="M342" s="2"/>
      <c r="N342" s="2" t="s">
        <v>27</v>
      </c>
      <c r="O342" s="2">
        <v>210</v>
      </c>
      <c r="P342" s="2">
        <v>37.799999999999997</v>
      </c>
      <c r="Q342" s="2">
        <v>247.8</v>
      </c>
      <c r="R342" s="2">
        <v>247.8</v>
      </c>
      <c r="S342" s="2">
        <v>247.8</v>
      </c>
      <c r="T342" s="2" t="s">
        <v>28</v>
      </c>
      <c r="U342" s="2" t="b">
        <v>0</v>
      </c>
      <c r="V342" s="2" t="s">
        <v>29</v>
      </c>
      <c r="W342" s="2" t="s">
        <v>104</v>
      </c>
      <c r="X342" s="2" t="s">
        <v>105</v>
      </c>
      <c r="Y342" s="2" t="s">
        <v>964</v>
      </c>
      <c r="Z342" s="2" t="s">
        <v>31</v>
      </c>
      <c r="AA342" s="2"/>
      <c r="AB342" s="2"/>
      <c r="AC342" s="2"/>
      <c r="AD342" s="2"/>
      <c r="AK342" s="8">
        <f t="shared" si="6"/>
        <v>45665</v>
      </c>
    </row>
    <row r="343" spans="1:37" ht="15" customHeight="1">
      <c r="A343" s="2" t="s">
        <v>965</v>
      </c>
      <c r="B343" s="2">
        <v>0</v>
      </c>
      <c r="C343" s="2"/>
      <c r="D343" s="2" t="s">
        <v>305</v>
      </c>
      <c r="E343" s="2" t="s">
        <v>32</v>
      </c>
      <c r="F343" s="3">
        <v>45665</v>
      </c>
      <c r="G343" s="3">
        <v>45665</v>
      </c>
      <c r="H343" s="3">
        <v>45665</v>
      </c>
      <c r="I343" s="2"/>
      <c r="J343" s="2"/>
      <c r="K343" s="2" t="s">
        <v>25</v>
      </c>
      <c r="L343" s="2" t="s">
        <v>26</v>
      </c>
      <c r="M343" s="2"/>
      <c r="N343" s="2" t="s">
        <v>27</v>
      </c>
      <c r="O343" s="2">
        <v>2551.0300000000002</v>
      </c>
      <c r="P343" s="2">
        <v>459.18</v>
      </c>
      <c r="Q343" s="2">
        <v>3010.21</v>
      </c>
      <c r="R343" s="2">
        <v>3010.21</v>
      </c>
      <c r="S343" s="2">
        <v>3010.21</v>
      </c>
      <c r="T343" s="2" t="s">
        <v>28</v>
      </c>
      <c r="U343" s="2" t="b">
        <v>0</v>
      </c>
      <c r="V343" s="2" t="s">
        <v>29</v>
      </c>
      <c r="W343" s="2" t="s">
        <v>104</v>
      </c>
      <c r="X343" s="2" t="s">
        <v>105</v>
      </c>
      <c r="Y343" s="2" t="s">
        <v>966</v>
      </c>
      <c r="Z343" s="2" t="s">
        <v>31</v>
      </c>
      <c r="AA343" s="2"/>
      <c r="AB343" s="2"/>
      <c r="AC343" s="2"/>
      <c r="AD343" s="2"/>
      <c r="AK343" s="8">
        <f t="shared" si="6"/>
        <v>45665</v>
      </c>
    </row>
    <row r="344" spans="1:37" ht="15" customHeight="1">
      <c r="A344" s="2" t="s">
        <v>967</v>
      </c>
      <c r="B344" s="2">
        <v>0</v>
      </c>
      <c r="C344" s="2"/>
      <c r="D344" s="2" t="s">
        <v>305</v>
      </c>
      <c r="E344" s="2" t="s">
        <v>32</v>
      </c>
      <c r="F344" s="3">
        <v>45665</v>
      </c>
      <c r="G344" s="3">
        <v>45665</v>
      </c>
      <c r="H344" s="3">
        <v>45665</v>
      </c>
      <c r="I344" s="2"/>
      <c r="J344" s="2"/>
      <c r="K344" s="2" t="s">
        <v>25</v>
      </c>
      <c r="L344" s="2" t="s">
        <v>26</v>
      </c>
      <c r="M344" s="2"/>
      <c r="N344" s="2" t="s">
        <v>27</v>
      </c>
      <c r="O344" s="2">
        <v>1594.55</v>
      </c>
      <c r="P344" s="2">
        <v>287.02</v>
      </c>
      <c r="Q344" s="2">
        <v>1881.57</v>
      </c>
      <c r="R344" s="2">
        <v>1881.57</v>
      </c>
      <c r="S344" s="2">
        <v>1881.57</v>
      </c>
      <c r="T344" s="2" t="s">
        <v>28</v>
      </c>
      <c r="U344" s="2" t="b">
        <v>0</v>
      </c>
      <c r="V344" s="2" t="s">
        <v>29</v>
      </c>
      <c r="W344" s="2" t="s">
        <v>104</v>
      </c>
      <c r="X344" s="2" t="s">
        <v>105</v>
      </c>
      <c r="Y344" s="2" t="s">
        <v>968</v>
      </c>
      <c r="Z344" s="2" t="s">
        <v>31</v>
      </c>
      <c r="AA344" s="2"/>
      <c r="AB344" s="2"/>
      <c r="AC344" s="2"/>
      <c r="AD344" s="2"/>
      <c r="AK344" s="8">
        <f t="shared" si="6"/>
        <v>45665</v>
      </c>
    </row>
    <row r="345" spans="1:37" ht="15" customHeight="1">
      <c r="A345" s="2" t="s">
        <v>969</v>
      </c>
      <c r="B345" s="2">
        <v>0</v>
      </c>
      <c r="C345" s="2"/>
      <c r="D345" s="2" t="s">
        <v>305</v>
      </c>
      <c r="E345" s="2" t="s">
        <v>34</v>
      </c>
      <c r="F345" s="3">
        <v>45665</v>
      </c>
      <c r="G345" s="3">
        <v>45665</v>
      </c>
      <c r="H345" s="3">
        <v>45665</v>
      </c>
      <c r="I345" s="2"/>
      <c r="J345" s="2"/>
      <c r="K345" s="2" t="s">
        <v>25</v>
      </c>
      <c r="L345" s="2" t="s">
        <v>26</v>
      </c>
      <c r="M345" s="2"/>
      <c r="N345" s="2" t="s">
        <v>27</v>
      </c>
      <c r="O345" s="2">
        <v>83.53</v>
      </c>
      <c r="P345" s="2">
        <v>15.03</v>
      </c>
      <c r="Q345" s="2">
        <v>98.56</v>
      </c>
      <c r="R345" s="2">
        <v>98.56</v>
      </c>
      <c r="S345" s="2">
        <v>98.56</v>
      </c>
      <c r="T345" s="2" t="s">
        <v>28</v>
      </c>
      <c r="U345" s="2" t="b">
        <v>0</v>
      </c>
      <c r="V345" s="2" t="s">
        <v>29</v>
      </c>
      <c r="W345" s="2" t="s">
        <v>104</v>
      </c>
      <c r="X345" s="2" t="s">
        <v>105</v>
      </c>
      <c r="Y345" s="2" t="s">
        <v>970</v>
      </c>
      <c r="Z345" s="2" t="s">
        <v>31</v>
      </c>
      <c r="AA345" s="2"/>
      <c r="AB345" s="2"/>
      <c r="AC345" s="2"/>
      <c r="AD345" s="2"/>
      <c r="AK345" s="8">
        <f t="shared" si="6"/>
        <v>45665</v>
      </c>
    </row>
    <row r="346" spans="1:37" ht="15" customHeight="1">
      <c r="A346" s="2" t="s">
        <v>971</v>
      </c>
      <c r="B346" s="2">
        <v>0</v>
      </c>
      <c r="C346" s="2"/>
      <c r="D346" s="2" t="s">
        <v>305</v>
      </c>
      <c r="E346" s="2" t="s">
        <v>34</v>
      </c>
      <c r="F346" s="3">
        <v>45665</v>
      </c>
      <c r="G346" s="3">
        <v>45665</v>
      </c>
      <c r="H346" s="3">
        <v>45665</v>
      </c>
      <c r="I346" s="2"/>
      <c r="J346" s="2"/>
      <c r="K346" s="2" t="s">
        <v>25</v>
      </c>
      <c r="L346" s="2" t="s">
        <v>26</v>
      </c>
      <c r="M346" s="2"/>
      <c r="N346" s="2" t="s">
        <v>27</v>
      </c>
      <c r="O346" s="2">
        <v>4737.62</v>
      </c>
      <c r="P346" s="2">
        <v>852.77</v>
      </c>
      <c r="Q346" s="2">
        <v>5590.39</v>
      </c>
      <c r="R346" s="2">
        <v>5590.39</v>
      </c>
      <c r="S346" s="2">
        <v>5590.39</v>
      </c>
      <c r="T346" s="2" t="s">
        <v>28</v>
      </c>
      <c r="U346" s="2" t="b">
        <v>0</v>
      </c>
      <c r="V346" s="2" t="s">
        <v>29</v>
      </c>
      <c r="W346" s="2" t="s">
        <v>104</v>
      </c>
      <c r="X346" s="2" t="s">
        <v>105</v>
      </c>
      <c r="Y346" s="2" t="s">
        <v>972</v>
      </c>
      <c r="Z346" s="2" t="s">
        <v>31</v>
      </c>
      <c r="AA346" s="2"/>
      <c r="AB346" s="2"/>
      <c r="AC346" s="2"/>
      <c r="AD346" s="2"/>
      <c r="AK346" s="8">
        <f t="shared" si="6"/>
        <v>45665</v>
      </c>
    </row>
    <row r="347" spans="1:37" ht="15" customHeight="1">
      <c r="A347" s="2" t="s">
        <v>973</v>
      </c>
      <c r="B347" s="2">
        <v>0</v>
      </c>
      <c r="C347" s="2"/>
      <c r="D347" s="2" t="s">
        <v>305</v>
      </c>
      <c r="E347" s="2" t="s">
        <v>34</v>
      </c>
      <c r="F347" s="3">
        <v>45665</v>
      </c>
      <c r="G347" s="3">
        <v>45665</v>
      </c>
      <c r="H347" s="3">
        <v>45665</v>
      </c>
      <c r="I347" s="2"/>
      <c r="J347" s="2"/>
      <c r="K347" s="2" t="s">
        <v>25</v>
      </c>
      <c r="L347" s="2" t="s">
        <v>26</v>
      </c>
      <c r="M347" s="2"/>
      <c r="N347" s="2" t="s">
        <v>27</v>
      </c>
      <c r="O347" s="2">
        <v>2961.31</v>
      </c>
      <c r="P347" s="2">
        <v>533.03</v>
      </c>
      <c r="Q347" s="2">
        <v>3494.34</v>
      </c>
      <c r="R347" s="2">
        <v>3494.34</v>
      </c>
      <c r="S347" s="2">
        <v>3494.34</v>
      </c>
      <c r="T347" s="2" t="s">
        <v>28</v>
      </c>
      <c r="U347" s="2" t="b">
        <v>0</v>
      </c>
      <c r="V347" s="2" t="s">
        <v>29</v>
      </c>
      <c r="W347" s="2" t="s">
        <v>104</v>
      </c>
      <c r="X347" s="2" t="s">
        <v>105</v>
      </c>
      <c r="Y347" s="2" t="s">
        <v>974</v>
      </c>
      <c r="Z347" s="2" t="s">
        <v>31</v>
      </c>
      <c r="AA347" s="2"/>
      <c r="AB347" s="2"/>
      <c r="AC347" s="2"/>
      <c r="AD347" s="2"/>
      <c r="AK347" s="8">
        <f t="shared" si="6"/>
        <v>45665</v>
      </c>
    </row>
    <row r="348" spans="1:37" ht="15" customHeight="1">
      <c r="A348" s="2" t="s">
        <v>975</v>
      </c>
      <c r="B348" s="2">
        <v>0</v>
      </c>
      <c r="C348" s="2"/>
      <c r="D348" s="2" t="s">
        <v>305</v>
      </c>
      <c r="E348" s="2" t="s">
        <v>34</v>
      </c>
      <c r="F348" s="3">
        <v>45665</v>
      </c>
      <c r="G348" s="3">
        <v>45665</v>
      </c>
      <c r="H348" s="3">
        <v>45665</v>
      </c>
      <c r="I348" s="2"/>
      <c r="J348" s="2"/>
      <c r="K348" s="2" t="s">
        <v>25</v>
      </c>
      <c r="L348" s="2" t="s">
        <v>26</v>
      </c>
      <c r="M348" s="2"/>
      <c r="N348" s="2" t="s">
        <v>27</v>
      </c>
      <c r="O348" s="2">
        <v>390</v>
      </c>
      <c r="P348" s="2">
        <v>70.2</v>
      </c>
      <c r="Q348" s="2">
        <v>460.2</v>
      </c>
      <c r="R348" s="2">
        <v>460.2</v>
      </c>
      <c r="S348" s="2">
        <v>460.2</v>
      </c>
      <c r="T348" s="2" t="s">
        <v>28</v>
      </c>
      <c r="U348" s="2" t="b">
        <v>0</v>
      </c>
      <c r="V348" s="2" t="s">
        <v>29</v>
      </c>
      <c r="W348" s="2" t="s">
        <v>104</v>
      </c>
      <c r="X348" s="2" t="s">
        <v>105</v>
      </c>
      <c r="Y348" s="2" t="s">
        <v>976</v>
      </c>
      <c r="Z348" s="2" t="s">
        <v>31</v>
      </c>
      <c r="AA348" s="2"/>
      <c r="AB348" s="2"/>
      <c r="AC348" s="2"/>
      <c r="AD348" s="2"/>
      <c r="AK348" s="8">
        <f t="shared" si="6"/>
        <v>45665</v>
      </c>
    </row>
    <row r="349" spans="1:37" ht="15" customHeight="1">
      <c r="A349" s="2" t="s">
        <v>977</v>
      </c>
      <c r="B349" s="2">
        <v>0</v>
      </c>
      <c r="C349" s="2"/>
      <c r="D349" s="2" t="s">
        <v>305</v>
      </c>
      <c r="E349" s="2" t="s">
        <v>978</v>
      </c>
      <c r="F349" s="3">
        <v>45665</v>
      </c>
      <c r="G349" s="3">
        <v>45665</v>
      </c>
      <c r="H349" s="3">
        <v>45665</v>
      </c>
      <c r="I349" s="2"/>
      <c r="J349" s="2"/>
      <c r="K349" s="2" t="s">
        <v>25</v>
      </c>
      <c r="L349" s="2" t="s">
        <v>26</v>
      </c>
      <c r="M349" s="2"/>
      <c r="N349" s="2" t="s">
        <v>27</v>
      </c>
      <c r="O349" s="2">
        <v>788.9</v>
      </c>
      <c r="P349" s="2">
        <v>142</v>
      </c>
      <c r="Q349" s="2">
        <v>930.9</v>
      </c>
      <c r="R349" s="2">
        <v>930.9</v>
      </c>
      <c r="S349" s="2">
        <v>930.9</v>
      </c>
      <c r="T349" s="2" t="s">
        <v>28</v>
      </c>
      <c r="U349" s="2" t="b">
        <v>0</v>
      </c>
      <c r="V349" s="2" t="s">
        <v>29</v>
      </c>
      <c r="W349" s="2" t="s">
        <v>104</v>
      </c>
      <c r="X349" s="2" t="s">
        <v>105</v>
      </c>
      <c r="Y349" s="2" t="s">
        <v>979</v>
      </c>
      <c r="Z349" s="2" t="s">
        <v>31</v>
      </c>
      <c r="AA349" s="2"/>
      <c r="AB349" s="2"/>
      <c r="AC349" s="2"/>
      <c r="AD349" s="2"/>
      <c r="AK349" s="8">
        <f t="shared" si="6"/>
        <v>45665</v>
      </c>
    </row>
    <row r="350" spans="1:37" ht="15" customHeight="1">
      <c r="A350" s="2" t="s">
        <v>980</v>
      </c>
      <c r="B350" s="2">
        <v>0</v>
      </c>
      <c r="C350" s="2"/>
      <c r="D350" s="2" t="s">
        <v>305</v>
      </c>
      <c r="E350" s="2" t="s">
        <v>978</v>
      </c>
      <c r="F350" s="3">
        <v>45665</v>
      </c>
      <c r="G350" s="3">
        <v>45665</v>
      </c>
      <c r="H350" s="3">
        <v>45665</v>
      </c>
      <c r="I350" s="2"/>
      <c r="J350" s="2"/>
      <c r="K350" s="2" t="s">
        <v>25</v>
      </c>
      <c r="L350" s="2" t="s">
        <v>26</v>
      </c>
      <c r="M350" s="2"/>
      <c r="N350" s="2" t="s">
        <v>27</v>
      </c>
      <c r="O350" s="2">
        <v>461.61</v>
      </c>
      <c r="P350" s="2">
        <v>83.09</v>
      </c>
      <c r="Q350" s="2">
        <v>544.70000000000005</v>
      </c>
      <c r="R350" s="2">
        <v>544.70000000000005</v>
      </c>
      <c r="S350" s="2">
        <v>544.70000000000005</v>
      </c>
      <c r="T350" s="2" t="s">
        <v>28</v>
      </c>
      <c r="U350" s="2" t="b">
        <v>0</v>
      </c>
      <c r="V350" s="2" t="s">
        <v>29</v>
      </c>
      <c r="W350" s="2" t="s">
        <v>104</v>
      </c>
      <c r="X350" s="2" t="s">
        <v>105</v>
      </c>
      <c r="Y350" s="2" t="s">
        <v>981</v>
      </c>
      <c r="Z350" s="2" t="s">
        <v>31</v>
      </c>
      <c r="AA350" s="2"/>
      <c r="AB350" s="2"/>
      <c r="AC350" s="2"/>
      <c r="AD350" s="2"/>
      <c r="AK350" s="8">
        <f t="shared" si="6"/>
        <v>45665</v>
      </c>
    </row>
    <row r="351" spans="1:37" ht="15" customHeight="1">
      <c r="A351" s="2" t="s">
        <v>982</v>
      </c>
      <c r="B351" s="2">
        <v>0</v>
      </c>
      <c r="C351" s="2"/>
      <c r="D351" s="2" t="s">
        <v>305</v>
      </c>
      <c r="E351" s="2" t="s">
        <v>459</v>
      </c>
      <c r="F351" s="3">
        <v>45665</v>
      </c>
      <c r="G351" s="3">
        <v>45665</v>
      </c>
      <c r="H351" s="3">
        <v>45665</v>
      </c>
      <c r="I351" s="2"/>
      <c r="J351" s="2"/>
      <c r="K351" s="2" t="s">
        <v>25</v>
      </c>
      <c r="L351" s="2" t="s">
        <v>26</v>
      </c>
      <c r="M351" s="2"/>
      <c r="N351" s="2" t="s">
        <v>27</v>
      </c>
      <c r="O351" s="2">
        <v>92.54</v>
      </c>
      <c r="P351" s="2">
        <v>16.66</v>
      </c>
      <c r="Q351" s="2">
        <v>109.2</v>
      </c>
      <c r="R351" s="2">
        <v>109.2</v>
      </c>
      <c r="S351" s="2">
        <v>109.2</v>
      </c>
      <c r="T351" s="2" t="s">
        <v>28</v>
      </c>
      <c r="U351" s="2" t="b">
        <v>0</v>
      </c>
      <c r="V351" s="2" t="s">
        <v>29</v>
      </c>
      <c r="W351" s="2" t="s">
        <v>104</v>
      </c>
      <c r="X351" s="2" t="s">
        <v>105</v>
      </c>
      <c r="Y351" s="2" t="s">
        <v>983</v>
      </c>
      <c r="Z351" s="2" t="s">
        <v>31</v>
      </c>
      <c r="AA351" s="2"/>
      <c r="AB351" s="2"/>
      <c r="AC351" s="2"/>
      <c r="AD351" s="2"/>
      <c r="AK351" s="8">
        <f t="shared" si="6"/>
        <v>45665</v>
      </c>
    </row>
    <row r="352" spans="1:37" ht="15" customHeight="1">
      <c r="A352" s="2" t="s">
        <v>984</v>
      </c>
      <c r="B352" s="2">
        <v>0</v>
      </c>
      <c r="C352" s="2"/>
      <c r="D352" s="2" t="s">
        <v>305</v>
      </c>
      <c r="E352" s="2" t="s">
        <v>459</v>
      </c>
      <c r="F352" s="3">
        <v>45665</v>
      </c>
      <c r="G352" s="3">
        <v>45665</v>
      </c>
      <c r="H352" s="3">
        <v>45665</v>
      </c>
      <c r="I352" s="2"/>
      <c r="J352" s="2"/>
      <c r="K352" s="2" t="s">
        <v>25</v>
      </c>
      <c r="L352" s="2" t="s">
        <v>26</v>
      </c>
      <c r="M352" s="2"/>
      <c r="N352" s="2" t="s">
        <v>27</v>
      </c>
      <c r="O352" s="2">
        <v>54.75</v>
      </c>
      <c r="P352" s="2">
        <v>9.85</v>
      </c>
      <c r="Q352" s="2">
        <v>64.599999999999994</v>
      </c>
      <c r="R352" s="2">
        <v>64.599999999999994</v>
      </c>
      <c r="S352" s="2">
        <v>64.599999999999994</v>
      </c>
      <c r="T352" s="2" t="s">
        <v>28</v>
      </c>
      <c r="U352" s="2" t="b">
        <v>0</v>
      </c>
      <c r="V352" s="2" t="s">
        <v>29</v>
      </c>
      <c r="W352" s="2" t="s">
        <v>104</v>
      </c>
      <c r="X352" s="2" t="s">
        <v>105</v>
      </c>
      <c r="Y352" s="2" t="s">
        <v>985</v>
      </c>
      <c r="Z352" s="2" t="s">
        <v>31</v>
      </c>
      <c r="AA352" s="2"/>
      <c r="AB352" s="2"/>
      <c r="AC352" s="2"/>
      <c r="AD352" s="2"/>
      <c r="AK352" s="8">
        <f t="shared" si="6"/>
        <v>45665</v>
      </c>
    </row>
    <row r="353" spans="1:37" ht="15" customHeight="1">
      <c r="A353" s="2" t="s">
        <v>986</v>
      </c>
      <c r="B353" s="2">
        <v>0</v>
      </c>
      <c r="C353" s="2"/>
      <c r="D353" s="2" t="s">
        <v>305</v>
      </c>
      <c r="E353" s="2" t="s">
        <v>431</v>
      </c>
      <c r="F353" s="3">
        <v>45665</v>
      </c>
      <c r="G353" s="3">
        <v>45665</v>
      </c>
      <c r="H353" s="3">
        <v>45665</v>
      </c>
      <c r="I353" s="2"/>
      <c r="J353" s="2"/>
      <c r="K353" s="2" t="s">
        <v>25</v>
      </c>
      <c r="L353" s="2" t="s">
        <v>26</v>
      </c>
      <c r="M353" s="2"/>
      <c r="N353" s="2" t="s">
        <v>27</v>
      </c>
      <c r="O353" s="2">
        <v>450</v>
      </c>
      <c r="P353" s="2">
        <v>81</v>
      </c>
      <c r="Q353" s="2">
        <v>531</v>
      </c>
      <c r="R353" s="2">
        <v>531</v>
      </c>
      <c r="S353" s="2">
        <v>531</v>
      </c>
      <c r="T353" s="2" t="s">
        <v>28</v>
      </c>
      <c r="U353" s="2" t="b">
        <v>0</v>
      </c>
      <c r="V353" s="2" t="s">
        <v>29</v>
      </c>
      <c r="W353" s="2" t="s">
        <v>104</v>
      </c>
      <c r="X353" s="2" t="s">
        <v>105</v>
      </c>
      <c r="Y353" s="2" t="s">
        <v>987</v>
      </c>
      <c r="Z353" s="2" t="s">
        <v>31</v>
      </c>
      <c r="AA353" s="2"/>
      <c r="AB353" s="2"/>
      <c r="AC353" s="2"/>
      <c r="AD353" s="2"/>
      <c r="AK353" s="8">
        <f t="shared" si="6"/>
        <v>45665</v>
      </c>
    </row>
    <row r="354" spans="1:37" ht="15" customHeight="1">
      <c r="A354" s="2" t="s">
        <v>988</v>
      </c>
      <c r="B354" s="2">
        <v>0</v>
      </c>
      <c r="C354" s="2"/>
      <c r="D354" s="2" t="s">
        <v>305</v>
      </c>
      <c r="E354" s="2" t="s">
        <v>431</v>
      </c>
      <c r="F354" s="3">
        <v>45665</v>
      </c>
      <c r="G354" s="3">
        <v>45665</v>
      </c>
      <c r="H354" s="3">
        <v>45665</v>
      </c>
      <c r="I354" s="2"/>
      <c r="J354" s="2"/>
      <c r="K354" s="2" t="s">
        <v>25</v>
      </c>
      <c r="L354" s="2" t="s">
        <v>26</v>
      </c>
      <c r="M354" s="2"/>
      <c r="N354" s="2" t="s">
        <v>27</v>
      </c>
      <c r="O354" s="2">
        <v>920</v>
      </c>
      <c r="P354" s="2">
        <v>165.6</v>
      </c>
      <c r="Q354" s="2">
        <v>1085.5999999999999</v>
      </c>
      <c r="R354" s="2">
        <v>1085.5999999999999</v>
      </c>
      <c r="S354" s="2">
        <v>1085.5999999999999</v>
      </c>
      <c r="T354" s="2" t="s">
        <v>28</v>
      </c>
      <c r="U354" s="2" t="b">
        <v>0</v>
      </c>
      <c r="V354" s="2" t="s">
        <v>29</v>
      </c>
      <c r="W354" s="2" t="s">
        <v>104</v>
      </c>
      <c r="X354" s="2" t="s">
        <v>105</v>
      </c>
      <c r="Y354" s="2" t="s">
        <v>989</v>
      </c>
      <c r="Z354" s="2" t="s">
        <v>31</v>
      </c>
      <c r="AA354" s="2"/>
      <c r="AB354" s="2"/>
      <c r="AC354" s="2"/>
      <c r="AD354" s="2"/>
      <c r="AK354" s="8">
        <f t="shared" si="6"/>
        <v>45665</v>
      </c>
    </row>
    <row r="355" spans="1:37" ht="15" customHeight="1">
      <c r="A355" s="2" t="s">
        <v>990</v>
      </c>
      <c r="B355" s="2">
        <v>0</v>
      </c>
      <c r="C355" s="2"/>
      <c r="D355" s="2" t="s">
        <v>305</v>
      </c>
      <c r="E355" s="2" t="s">
        <v>431</v>
      </c>
      <c r="F355" s="3">
        <v>45665</v>
      </c>
      <c r="G355" s="3">
        <v>45665</v>
      </c>
      <c r="H355" s="3">
        <v>45665</v>
      </c>
      <c r="I355" s="2"/>
      <c r="J355" s="2"/>
      <c r="K355" s="2" t="s">
        <v>25</v>
      </c>
      <c r="L355" s="2" t="s">
        <v>26</v>
      </c>
      <c r="M355" s="2"/>
      <c r="N355" s="2" t="s">
        <v>27</v>
      </c>
      <c r="O355" s="2">
        <v>1200.42</v>
      </c>
      <c r="P355" s="2">
        <v>216.08</v>
      </c>
      <c r="Q355" s="2">
        <v>1416.5</v>
      </c>
      <c r="R355" s="2">
        <v>1416.5</v>
      </c>
      <c r="S355" s="2">
        <v>1416.5</v>
      </c>
      <c r="T355" s="2" t="s">
        <v>28</v>
      </c>
      <c r="U355" s="2" t="b">
        <v>0</v>
      </c>
      <c r="V355" s="2" t="s">
        <v>29</v>
      </c>
      <c r="W355" s="2" t="s">
        <v>104</v>
      </c>
      <c r="X355" s="2" t="s">
        <v>105</v>
      </c>
      <c r="Y355" s="2" t="s">
        <v>991</v>
      </c>
      <c r="Z355" s="2" t="s">
        <v>31</v>
      </c>
      <c r="AA355" s="2"/>
      <c r="AB355" s="2"/>
      <c r="AC355" s="2"/>
      <c r="AD355" s="2"/>
      <c r="AK355" s="8">
        <f t="shared" si="6"/>
        <v>45665</v>
      </c>
    </row>
    <row r="356" spans="1:37" ht="15" customHeight="1">
      <c r="A356" s="2" t="s">
        <v>992</v>
      </c>
      <c r="B356" s="2">
        <v>0</v>
      </c>
      <c r="C356" s="2"/>
      <c r="D356" s="2" t="s">
        <v>305</v>
      </c>
      <c r="E356" s="2" t="s">
        <v>431</v>
      </c>
      <c r="F356" s="3">
        <v>45665</v>
      </c>
      <c r="G356" s="3">
        <v>45665</v>
      </c>
      <c r="H356" s="3">
        <v>45665</v>
      </c>
      <c r="I356" s="2"/>
      <c r="J356" s="2"/>
      <c r="K356" s="2" t="s">
        <v>25</v>
      </c>
      <c r="L356" s="2" t="s">
        <v>26</v>
      </c>
      <c r="M356" s="2"/>
      <c r="N356" s="2" t="s">
        <v>27</v>
      </c>
      <c r="O356" s="2">
        <v>586.36</v>
      </c>
      <c r="P356" s="2">
        <v>105.54</v>
      </c>
      <c r="Q356" s="2">
        <v>691.9</v>
      </c>
      <c r="R356" s="2">
        <v>691.9</v>
      </c>
      <c r="S356" s="2">
        <v>691.9</v>
      </c>
      <c r="T356" s="2" t="s">
        <v>28</v>
      </c>
      <c r="U356" s="2" t="b">
        <v>0</v>
      </c>
      <c r="V356" s="2" t="s">
        <v>29</v>
      </c>
      <c r="W356" s="2" t="s">
        <v>104</v>
      </c>
      <c r="X356" s="2" t="s">
        <v>105</v>
      </c>
      <c r="Y356" s="2" t="s">
        <v>993</v>
      </c>
      <c r="Z356" s="2" t="s">
        <v>31</v>
      </c>
      <c r="AA356" s="2"/>
      <c r="AB356" s="2"/>
      <c r="AC356" s="2"/>
      <c r="AD356" s="2"/>
      <c r="AK356" s="8">
        <f t="shared" si="6"/>
        <v>45665</v>
      </c>
    </row>
    <row r="357" spans="1:37" ht="15" customHeight="1">
      <c r="A357" s="2" t="s">
        <v>994</v>
      </c>
      <c r="B357" s="2">
        <v>0</v>
      </c>
      <c r="C357" s="2"/>
      <c r="D357" s="2" t="s">
        <v>305</v>
      </c>
      <c r="E357" s="2" t="s">
        <v>497</v>
      </c>
      <c r="F357" s="3">
        <v>45665</v>
      </c>
      <c r="G357" s="3">
        <v>45665</v>
      </c>
      <c r="H357" s="3">
        <v>45665</v>
      </c>
      <c r="I357" s="2"/>
      <c r="J357" s="2"/>
      <c r="K357" s="2" t="s">
        <v>25</v>
      </c>
      <c r="L357" s="2" t="s">
        <v>26</v>
      </c>
      <c r="M357" s="2"/>
      <c r="N357" s="2" t="s">
        <v>27</v>
      </c>
      <c r="O357" s="2">
        <v>52.54</v>
      </c>
      <c r="P357" s="2">
        <v>9.4600000000000009</v>
      </c>
      <c r="Q357" s="2">
        <v>62</v>
      </c>
      <c r="R357" s="2">
        <v>62</v>
      </c>
      <c r="S357" s="2">
        <v>62</v>
      </c>
      <c r="T357" s="2" t="s">
        <v>28</v>
      </c>
      <c r="U357" s="2" t="b">
        <v>0</v>
      </c>
      <c r="V357" s="2" t="s">
        <v>29</v>
      </c>
      <c r="W357" s="2" t="s">
        <v>104</v>
      </c>
      <c r="X357" s="2" t="s">
        <v>105</v>
      </c>
      <c r="Y357" s="2" t="s">
        <v>995</v>
      </c>
      <c r="Z357" s="2" t="s">
        <v>31</v>
      </c>
      <c r="AA357" s="2"/>
      <c r="AB357" s="2"/>
      <c r="AC357" s="2"/>
      <c r="AD357" s="2"/>
      <c r="AK357" s="8">
        <f t="shared" si="6"/>
        <v>45665</v>
      </c>
    </row>
    <row r="358" spans="1:37" ht="15" customHeight="1">
      <c r="A358" s="2" t="s">
        <v>996</v>
      </c>
      <c r="B358" s="2">
        <v>0</v>
      </c>
      <c r="C358" s="2"/>
      <c r="D358" s="2" t="s">
        <v>305</v>
      </c>
      <c r="E358" s="2" t="s">
        <v>497</v>
      </c>
      <c r="F358" s="3">
        <v>45665</v>
      </c>
      <c r="G358" s="3">
        <v>45665</v>
      </c>
      <c r="H358" s="3">
        <v>45665</v>
      </c>
      <c r="I358" s="2"/>
      <c r="J358" s="2"/>
      <c r="K358" s="2" t="s">
        <v>25</v>
      </c>
      <c r="L358" s="2" t="s">
        <v>26</v>
      </c>
      <c r="M358" s="2"/>
      <c r="N358" s="2" t="s">
        <v>27</v>
      </c>
      <c r="O358" s="2">
        <v>36.61</v>
      </c>
      <c r="P358" s="2">
        <v>6.59</v>
      </c>
      <c r="Q358" s="2">
        <v>43.2</v>
      </c>
      <c r="R358" s="2">
        <v>43.2</v>
      </c>
      <c r="S358" s="2">
        <v>43.2</v>
      </c>
      <c r="T358" s="2" t="s">
        <v>28</v>
      </c>
      <c r="U358" s="2" t="b">
        <v>0</v>
      </c>
      <c r="V358" s="2" t="s">
        <v>29</v>
      </c>
      <c r="W358" s="2" t="s">
        <v>104</v>
      </c>
      <c r="X358" s="2" t="s">
        <v>105</v>
      </c>
      <c r="Y358" s="2" t="s">
        <v>997</v>
      </c>
      <c r="Z358" s="2" t="s">
        <v>31</v>
      </c>
      <c r="AA358" s="2"/>
      <c r="AB358" s="2"/>
      <c r="AC358" s="2"/>
      <c r="AD358" s="2"/>
      <c r="AK358" s="8">
        <f t="shared" si="6"/>
        <v>45665</v>
      </c>
    </row>
    <row r="359" spans="1:37" ht="15" customHeight="1">
      <c r="A359" s="2" t="s">
        <v>998</v>
      </c>
      <c r="B359" s="2">
        <v>0</v>
      </c>
      <c r="C359" s="2"/>
      <c r="D359" s="2" t="s">
        <v>305</v>
      </c>
      <c r="E359" s="2" t="s">
        <v>422</v>
      </c>
      <c r="F359" s="3">
        <v>45665</v>
      </c>
      <c r="G359" s="3">
        <v>45665</v>
      </c>
      <c r="H359" s="3">
        <v>45665</v>
      </c>
      <c r="I359" s="2"/>
      <c r="J359" s="2"/>
      <c r="K359" s="2" t="s">
        <v>25</v>
      </c>
      <c r="L359" s="2" t="s">
        <v>26</v>
      </c>
      <c r="M359" s="2"/>
      <c r="N359" s="2" t="s">
        <v>27</v>
      </c>
      <c r="O359" s="2">
        <v>100</v>
      </c>
      <c r="P359" s="2">
        <v>18</v>
      </c>
      <c r="Q359" s="2">
        <v>118</v>
      </c>
      <c r="R359" s="2">
        <v>118</v>
      </c>
      <c r="S359" s="2">
        <v>118</v>
      </c>
      <c r="T359" s="2" t="s">
        <v>28</v>
      </c>
      <c r="U359" s="2" t="b">
        <v>0</v>
      </c>
      <c r="V359" s="2" t="s">
        <v>29</v>
      </c>
      <c r="W359" s="2" t="s">
        <v>104</v>
      </c>
      <c r="X359" s="2" t="s">
        <v>105</v>
      </c>
      <c r="Y359" s="2" t="s">
        <v>999</v>
      </c>
      <c r="Z359" s="2" t="s">
        <v>31</v>
      </c>
      <c r="AA359" s="2"/>
      <c r="AB359" s="2"/>
      <c r="AC359" s="2"/>
      <c r="AD359" s="2"/>
      <c r="AK359" s="8">
        <f t="shared" si="6"/>
        <v>45665</v>
      </c>
    </row>
    <row r="360" spans="1:37" ht="15" customHeight="1">
      <c r="A360" s="2" t="s">
        <v>1000</v>
      </c>
      <c r="B360" s="2">
        <v>0</v>
      </c>
      <c r="C360" s="2"/>
      <c r="D360" s="2" t="s">
        <v>305</v>
      </c>
      <c r="E360" s="2" t="s">
        <v>422</v>
      </c>
      <c r="F360" s="3">
        <v>45665</v>
      </c>
      <c r="G360" s="3">
        <v>45665</v>
      </c>
      <c r="H360" s="3">
        <v>45665</v>
      </c>
      <c r="I360" s="2"/>
      <c r="J360" s="2"/>
      <c r="K360" s="2" t="s">
        <v>25</v>
      </c>
      <c r="L360" s="2" t="s">
        <v>26</v>
      </c>
      <c r="M360" s="2"/>
      <c r="N360" s="2" t="s">
        <v>27</v>
      </c>
      <c r="O360" s="2">
        <v>1800</v>
      </c>
      <c r="P360" s="2">
        <v>324</v>
      </c>
      <c r="Q360" s="2">
        <v>2124</v>
      </c>
      <c r="R360" s="2">
        <v>2124</v>
      </c>
      <c r="S360" s="2">
        <v>2124</v>
      </c>
      <c r="T360" s="2" t="s">
        <v>28</v>
      </c>
      <c r="U360" s="2" t="b">
        <v>0</v>
      </c>
      <c r="V360" s="2" t="s">
        <v>29</v>
      </c>
      <c r="W360" s="2" t="s">
        <v>104</v>
      </c>
      <c r="X360" s="2" t="s">
        <v>105</v>
      </c>
      <c r="Y360" s="2" t="s">
        <v>1001</v>
      </c>
      <c r="Z360" s="2" t="s">
        <v>31</v>
      </c>
      <c r="AA360" s="2"/>
      <c r="AB360" s="2"/>
      <c r="AC360" s="2"/>
      <c r="AD360" s="2"/>
      <c r="AK360" s="8">
        <f t="shared" si="6"/>
        <v>45665</v>
      </c>
    </row>
    <row r="361" spans="1:37" ht="15" customHeight="1">
      <c r="A361" s="2" t="s">
        <v>1002</v>
      </c>
      <c r="B361" s="2">
        <v>0</v>
      </c>
      <c r="C361" s="2"/>
      <c r="D361" s="2" t="s">
        <v>305</v>
      </c>
      <c r="E361" s="2" t="s">
        <v>422</v>
      </c>
      <c r="F361" s="3">
        <v>45665</v>
      </c>
      <c r="G361" s="3">
        <v>45665</v>
      </c>
      <c r="H361" s="3">
        <v>45665</v>
      </c>
      <c r="I361" s="2"/>
      <c r="J361" s="2"/>
      <c r="K361" s="2" t="s">
        <v>25</v>
      </c>
      <c r="L361" s="2" t="s">
        <v>26</v>
      </c>
      <c r="M361" s="2"/>
      <c r="N361" s="2" t="s">
        <v>27</v>
      </c>
      <c r="O361" s="2">
        <v>800</v>
      </c>
      <c r="P361" s="2">
        <v>144</v>
      </c>
      <c r="Q361" s="2">
        <v>944</v>
      </c>
      <c r="R361" s="2">
        <v>944</v>
      </c>
      <c r="S361" s="2">
        <v>944</v>
      </c>
      <c r="T361" s="2" t="s">
        <v>28</v>
      </c>
      <c r="U361" s="2" t="b">
        <v>0</v>
      </c>
      <c r="V361" s="2" t="s">
        <v>29</v>
      </c>
      <c r="W361" s="2" t="s">
        <v>104</v>
      </c>
      <c r="X361" s="2" t="s">
        <v>105</v>
      </c>
      <c r="Y361" s="2" t="s">
        <v>1003</v>
      </c>
      <c r="Z361" s="2" t="s">
        <v>31</v>
      </c>
      <c r="AA361" s="2"/>
      <c r="AB361" s="2"/>
      <c r="AC361" s="2"/>
      <c r="AD361" s="2"/>
      <c r="AK361" s="8">
        <f t="shared" si="6"/>
        <v>45665</v>
      </c>
    </row>
    <row r="362" spans="1:37" ht="15" customHeight="1">
      <c r="A362" s="2" t="s">
        <v>1004</v>
      </c>
      <c r="B362" s="2">
        <v>0</v>
      </c>
      <c r="C362" s="2"/>
      <c r="D362" s="2" t="s">
        <v>305</v>
      </c>
      <c r="E362" s="2" t="s">
        <v>422</v>
      </c>
      <c r="F362" s="3">
        <v>45665</v>
      </c>
      <c r="G362" s="3">
        <v>45665</v>
      </c>
      <c r="H362" s="3">
        <v>45665</v>
      </c>
      <c r="I362" s="2"/>
      <c r="J362" s="2"/>
      <c r="K362" s="2" t="s">
        <v>25</v>
      </c>
      <c r="L362" s="2" t="s">
        <v>26</v>
      </c>
      <c r="M362" s="2"/>
      <c r="N362" s="2" t="s">
        <v>27</v>
      </c>
      <c r="O362" s="2">
        <v>800</v>
      </c>
      <c r="P362" s="2">
        <v>144</v>
      </c>
      <c r="Q362" s="2">
        <v>944</v>
      </c>
      <c r="R362" s="2">
        <v>944</v>
      </c>
      <c r="S362" s="2">
        <v>944</v>
      </c>
      <c r="T362" s="2" t="s">
        <v>28</v>
      </c>
      <c r="U362" s="2" t="b">
        <v>0</v>
      </c>
      <c r="V362" s="2" t="s">
        <v>29</v>
      </c>
      <c r="W362" s="2" t="s">
        <v>104</v>
      </c>
      <c r="X362" s="2" t="s">
        <v>105</v>
      </c>
      <c r="Y362" s="2" t="s">
        <v>1005</v>
      </c>
      <c r="Z362" s="2" t="s">
        <v>31</v>
      </c>
      <c r="AA362" s="2"/>
      <c r="AB362" s="2"/>
      <c r="AC362" s="2"/>
      <c r="AD362" s="2"/>
      <c r="AK362" s="8">
        <f t="shared" si="6"/>
        <v>45665</v>
      </c>
    </row>
    <row r="363" spans="1:37" ht="15" customHeight="1">
      <c r="A363" s="2" t="s">
        <v>1006</v>
      </c>
      <c r="B363" s="2">
        <v>0</v>
      </c>
      <c r="C363" s="2"/>
      <c r="D363" s="2" t="s">
        <v>305</v>
      </c>
      <c r="E363" s="2" t="s">
        <v>422</v>
      </c>
      <c r="F363" s="3">
        <v>45665</v>
      </c>
      <c r="G363" s="3">
        <v>45665</v>
      </c>
      <c r="H363" s="3">
        <v>45665</v>
      </c>
      <c r="I363" s="2"/>
      <c r="J363" s="2"/>
      <c r="K363" s="2" t="s">
        <v>25</v>
      </c>
      <c r="L363" s="2" t="s">
        <v>26</v>
      </c>
      <c r="M363" s="2"/>
      <c r="N363" s="2" t="s">
        <v>27</v>
      </c>
      <c r="O363" s="2">
        <v>800</v>
      </c>
      <c r="P363" s="2">
        <v>144</v>
      </c>
      <c r="Q363" s="2">
        <v>944</v>
      </c>
      <c r="R363" s="2">
        <v>944</v>
      </c>
      <c r="S363" s="2">
        <v>944</v>
      </c>
      <c r="T363" s="2" t="s">
        <v>28</v>
      </c>
      <c r="U363" s="2" t="b">
        <v>0</v>
      </c>
      <c r="V363" s="2" t="s">
        <v>29</v>
      </c>
      <c r="W363" s="2" t="s">
        <v>104</v>
      </c>
      <c r="X363" s="2" t="s">
        <v>105</v>
      </c>
      <c r="Y363" s="2" t="s">
        <v>1007</v>
      </c>
      <c r="Z363" s="2" t="s">
        <v>31</v>
      </c>
      <c r="AA363" s="2"/>
      <c r="AB363" s="2"/>
      <c r="AC363" s="2"/>
      <c r="AD363" s="2"/>
      <c r="AK363" s="8">
        <f t="shared" si="6"/>
        <v>45665</v>
      </c>
    </row>
    <row r="364" spans="1:37" ht="15" customHeight="1">
      <c r="A364" s="2" t="s">
        <v>1008</v>
      </c>
      <c r="B364" s="2">
        <v>0</v>
      </c>
      <c r="C364" s="2"/>
      <c r="D364" s="2" t="s">
        <v>305</v>
      </c>
      <c r="E364" s="2" t="s">
        <v>422</v>
      </c>
      <c r="F364" s="3">
        <v>45665</v>
      </c>
      <c r="G364" s="3">
        <v>45665</v>
      </c>
      <c r="H364" s="3">
        <v>45665</v>
      </c>
      <c r="I364" s="2"/>
      <c r="J364" s="2"/>
      <c r="K364" s="2" t="s">
        <v>25</v>
      </c>
      <c r="L364" s="2" t="s">
        <v>26</v>
      </c>
      <c r="M364" s="2"/>
      <c r="N364" s="2" t="s">
        <v>27</v>
      </c>
      <c r="O364" s="2">
        <v>2000</v>
      </c>
      <c r="P364" s="2">
        <v>360</v>
      </c>
      <c r="Q364" s="2">
        <v>2360</v>
      </c>
      <c r="R364" s="2">
        <v>2360</v>
      </c>
      <c r="S364" s="2">
        <v>2360</v>
      </c>
      <c r="T364" s="2" t="s">
        <v>28</v>
      </c>
      <c r="U364" s="2" t="b">
        <v>0</v>
      </c>
      <c r="V364" s="2" t="s">
        <v>29</v>
      </c>
      <c r="W364" s="2" t="s">
        <v>104</v>
      </c>
      <c r="X364" s="2" t="s">
        <v>105</v>
      </c>
      <c r="Y364" s="2" t="s">
        <v>1009</v>
      </c>
      <c r="Z364" s="2" t="s">
        <v>31</v>
      </c>
      <c r="AA364" s="2"/>
      <c r="AB364" s="2"/>
      <c r="AC364" s="2"/>
      <c r="AD364" s="2"/>
      <c r="AK364" s="8">
        <f t="shared" si="6"/>
        <v>45665</v>
      </c>
    </row>
    <row r="365" spans="1:37" ht="15" customHeight="1">
      <c r="A365" s="2" t="s">
        <v>1010</v>
      </c>
      <c r="B365" s="2">
        <v>0</v>
      </c>
      <c r="C365" s="2"/>
      <c r="D365" s="2" t="s">
        <v>305</v>
      </c>
      <c r="E365" s="2" t="s">
        <v>422</v>
      </c>
      <c r="F365" s="3">
        <v>45665</v>
      </c>
      <c r="G365" s="3">
        <v>45665</v>
      </c>
      <c r="H365" s="3">
        <v>45665</v>
      </c>
      <c r="I365" s="2"/>
      <c r="J365" s="2"/>
      <c r="K365" s="2" t="s">
        <v>25</v>
      </c>
      <c r="L365" s="2" t="s">
        <v>26</v>
      </c>
      <c r="M365" s="2"/>
      <c r="N365" s="2" t="s">
        <v>27</v>
      </c>
      <c r="O365" s="2">
        <v>1200</v>
      </c>
      <c r="P365" s="2">
        <v>216</v>
      </c>
      <c r="Q365" s="2">
        <v>1416</v>
      </c>
      <c r="R365" s="2">
        <v>1416</v>
      </c>
      <c r="S365" s="2">
        <v>1416</v>
      </c>
      <c r="T365" s="2" t="s">
        <v>28</v>
      </c>
      <c r="U365" s="2" t="b">
        <v>0</v>
      </c>
      <c r="V365" s="2" t="s">
        <v>29</v>
      </c>
      <c r="W365" s="2" t="s">
        <v>104</v>
      </c>
      <c r="X365" s="2" t="s">
        <v>105</v>
      </c>
      <c r="Y365" s="2" t="s">
        <v>1011</v>
      </c>
      <c r="Z365" s="2" t="s">
        <v>31</v>
      </c>
      <c r="AA365" s="2"/>
      <c r="AB365" s="2"/>
      <c r="AC365" s="2"/>
      <c r="AD365" s="2"/>
      <c r="AK365" s="8">
        <f t="shared" si="6"/>
        <v>45665</v>
      </c>
    </row>
    <row r="366" spans="1:37" ht="15" customHeight="1">
      <c r="A366" s="2" t="s">
        <v>1012</v>
      </c>
      <c r="B366" s="2">
        <v>0</v>
      </c>
      <c r="C366" s="2"/>
      <c r="D366" s="2" t="s">
        <v>305</v>
      </c>
      <c r="E366" s="2" t="s">
        <v>422</v>
      </c>
      <c r="F366" s="3">
        <v>45665</v>
      </c>
      <c r="G366" s="3">
        <v>45665</v>
      </c>
      <c r="H366" s="3">
        <v>45665</v>
      </c>
      <c r="I366" s="2"/>
      <c r="J366" s="2"/>
      <c r="K366" s="2" t="s">
        <v>25</v>
      </c>
      <c r="L366" s="2" t="s">
        <v>26</v>
      </c>
      <c r="M366" s="2"/>
      <c r="N366" s="2" t="s">
        <v>27</v>
      </c>
      <c r="O366" s="2">
        <v>5200</v>
      </c>
      <c r="P366" s="2">
        <v>936</v>
      </c>
      <c r="Q366" s="2">
        <v>6136</v>
      </c>
      <c r="R366" s="2">
        <v>6136</v>
      </c>
      <c r="S366" s="2">
        <v>6136</v>
      </c>
      <c r="T366" s="2" t="s">
        <v>28</v>
      </c>
      <c r="U366" s="2" t="b">
        <v>0</v>
      </c>
      <c r="V366" s="2" t="s">
        <v>29</v>
      </c>
      <c r="W366" s="2" t="s">
        <v>104</v>
      </c>
      <c r="X366" s="2" t="s">
        <v>105</v>
      </c>
      <c r="Y366" s="2" t="s">
        <v>1013</v>
      </c>
      <c r="Z366" s="2" t="s">
        <v>31</v>
      </c>
      <c r="AA366" s="2"/>
      <c r="AB366" s="2"/>
      <c r="AC366" s="2"/>
      <c r="AD366" s="2"/>
      <c r="AK366" s="8">
        <f t="shared" si="6"/>
        <v>45665</v>
      </c>
    </row>
    <row r="367" spans="1:37" ht="15" customHeight="1">
      <c r="A367" s="2" t="s">
        <v>1014</v>
      </c>
      <c r="B367" s="2">
        <v>0</v>
      </c>
      <c r="C367" s="2"/>
      <c r="D367" s="2" t="s">
        <v>305</v>
      </c>
      <c r="E367" s="2" t="s">
        <v>422</v>
      </c>
      <c r="F367" s="3">
        <v>45665</v>
      </c>
      <c r="G367" s="3">
        <v>45665</v>
      </c>
      <c r="H367" s="3">
        <v>45665</v>
      </c>
      <c r="I367" s="2"/>
      <c r="J367" s="2"/>
      <c r="K367" s="2" t="s">
        <v>25</v>
      </c>
      <c r="L367" s="2" t="s">
        <v>26</v>
      </c>
      <c r="M367" s="2"/>
      <c r="N367" s="2" t="s">
        <v>27</v>
      </c>
      <c r="O367" s="2">
        <v>3942.12</v>
      </c>
      <c r="P367" s="2">
        <v>709.58</v>
      </c>
      <c r="Q367" s="2">
        <v>4651.7</v>
      </c>
      <c r="R367" s="2">
        <v>4651.7</v>
      </c>
      <c r="S367" s="2">
        <v>4651.7</v>
      </c>
      <c r="T367" s="2" t="s">
        <v>28</v>
      </c>
      <c r="U367" s="2" t="b">
        <v>0</v>
      </c>
      <c r="V367" s="2" t="s">
        <v>29</v>
      </c>
      <c r="W367" s="2" t="s">
        <v>104</v>
      </c>
      <c r="X367" s="2" t="s">
        <v>105</v>
      </c>
      <c r="Y367" s="2" t="s">
        <v>1015</v>
      </c>
      <c r="Z367" s="2" t="s">
        <v>31</v>
      </c>
      <c r="AA367" s="2"/>
      <c r="AB367" s="2"/>
      <c r="AC367" s="2"/>
      <c r="AD367" s="2"/>
      <c r="AK367" s="8">
        <f t="shared" si="6"/>
        <v>45665</v>
      </c>
    </row>
    <row r="368" spans="1:37" ht="15" customHeight="1">
      <c r="A368" s="2" t="s">
        <v>1016</v>
      </c>
      <c r="B368" s="2">
        <v>0</v>
      </c>
      <c r="C368" s="2"/>
      <c r="D368" s="2" t="s">
        <v>305</v>
      </c>
      <c r="E368" s="2" t="s">
        <v>422</v>
      </c>
      <c r="F368" s="3">
        <v>45665</v>
      </c>
      <c r="G368" s="3">
        <v>45665</v>
      </c>
      <c r="H368" s="3">
        <v>45665</v>
      </c>
      <c r="I368" s="2"/>
      <c r="J368" s="2"/>
      <c r="K368" s="2" t="s">
        <v>25</v>
      </c>
      <c r="L368" s="2" t="s">
        <v>26</v>
      </c>
      <c r="M368" s="2"/>
      <c r="N368" s="2" t="s">
        <v>27</v>
      </c>
      <c r="O368" s="2">
        <v>2244.0700000000002</v>
      </c>
      <c r="P368" s="2">
        <v>403.93</v>
      </c>
      <c r="Q368" s="2">
        <v>2648</v>
      </c>
      <c r="R368" s="2">
        <v>2648</v>
      </c>
      <c r="S368" s="2">
        <v>2648</v>
      </c>
      <c r="T368" s="2" t="s">
        <v>28</v>
      </c>
      <c r="U368" s="2" t="b">
        <v>0</v>
      </c>
      <c r="V368" s="2" t="s">
        <v>29</v>
      </c>
      <c r="W368" s="2" t="s">
        <v>104</v>
      </c>
      <c r="X368" s="2" t="s">
        <v>105</v>
      </c>
      <c r="Y368" s="2" t="s">
        <v>1017</v>
      </c>
      <c r="Z368" s="2" t="s">
        <v>31</v>
      </c>
      <c r="AA368" s="2"/>
      <c r="AB368" s="2"/>
      <c r="AC368" s="2"/>
      <c r="AD368" s="2"/>
      <c r="AK368" s="8">
        <f t="shared" si="6"/>
        <v>45665</v>
      </c>
    </row>
    <row r="369" spans="1:37" ht="15" customHeight="1">
      <c r="A369" s="2" t="s">
        <v>1018</v>
      </c>
      <c r="B369" s="2">
        <v>0</v>
      </c>
      <c r="C369" s="2"/>
      <c r="D369" s="2" t="s">
        <v>305</v>
      </c>
      <c r="E369" s="2" t="s">
        <v>401</v>
      </c>
      <c r="F369" s="3">
        <v>45665</v>
      </c>
      <c r="G369" s="3">
        <v>45665</v>
      </c>
      <c r="H369" s="3">
        <v>45665</v>
      </c>
      <c r="I369" s="2"/>
      <c r="J369" s="2"/>
      <c r="K369" s="2" t="s">
        <v>25</v>
      </c>
      <c r="L369" s="2" t="s">
        <v>26</v>
      </c>
      <c r="M369" s="2"/>
      <c r="N369" s="2" t="s">
        <v>27</v>
      </c>
      <c r="O369" s="2">
        <v>202.5</v>
      </c>
      <c r="P369" s="2">
        <v>36.450000000000003</v>
      </c>
      <c r="Q369" s="2">
        <v>238.95</v>
      </c>
      <c r="R369" s="2">
        <v>238.95</v>
      </c>
      <c r="S369" s="2">
        <v>238.95</v>
      </c>
      <c r="T369" s="2" t="s">
        <v>28</v>
      </c>
      <c r="U369" s="2" t="b">
        <v>0</v>
      </c>
      <c r="V369" s="2" t="s">
        <v>29</v>
      </c>
      <c r="W369" s="2" t="s">
        <v>104</v>
      </c>
      <c r="X369" s="2" t="s">
        <v>105</v>
      </c>
      <c r="Y369" s="2" t="s">
        <v>1019</v>
      </c>
      <c r="Z369" s="2" t="s">
        <v>31</v>
      </c>
      <c r="AA369" s="2"/>
      <c r="AB369" s="2"/>
      <c r="AC369" s="2"/>
      <c r="AD369" s="2"/>
      <c r="AK369" s="8">
        <f t="shared" si="6"/>
        <v>45665</v>
      </c>
    </row>
    <row r="370" spans="1:37" ht="15" customHeight="1">
      <c r="A370" s="2" t="s">
        <v>1020</v>
      </c>
      <c r="B370" s="2">
        <v>0</v>
      </c>
      <c r="C370" s="2"/>
      <c r="D370" s="2" t="s">
        <v>305</v>
      </c>
      <c r="E370" s="2" t="s">
        <v>401</v>
      </c>
      <c r="F370" s="3">
        <v>45665</v>
      </c>
      <c r="G370" s="3">
        <v>45665</v>
      </c>
      <c r="H370" s="3">
        <v>45665</v>
      </c>
      <c r="I370" s="2"/>
      <c r="J370" s="2"/>
      <c r="K370" s="2" t="s">
        <v>25</v>
      </c>
      <c r="L370" s="2" t="s">
        <v>26</v>
      </c>
      <c r="M370" s="2"/>
      <c r="N370" s="2" t="s">
        <v>27</v>
      </c>
      <c r="O370" s="2">
        <v>450</v>
      </c>
      <c r="P370" s="2">
        <v>81</v>
      </c>
      <c r="Q370" s="2">
        <v>531</v>
      </c>
      <c r="R370" s="2">
        <v>531</v>
      </c>
      <c r="S370" s="2">
        <v>531</v>
      </c>
      <c r="T370" s="2" t="s">
        <v>28</v>
      </c>
      <c r="U370" s="2" t="b">
        <v>0</v>
      </c>
      <c r="V370" s="2" t="s">
        <v>29</v>
      </c>
      <c r="W370" s="2" t="s">
        <v>104</v>
      </c>
      <c r="X370" s="2" t="s">
        <v>105</v>
      </c>
      <c r="Y370" s="2" t="s">
        <v>1021</v>
      </c>
      <c r="Z370" s="2" t="s">
        <v>31</v>
      </c>
      <c r="AA370" s="2"/>
      <c r="AB370" s="2"/>
      <c r="AC370" s="2"/>
      <c r="AD370" s="2"/>
      <c r="AK370" s="8">
        <f t="shared" si="6"/>
        <v>45665</v>
      </c>
    </row>
    <row r="371" spans="1:37" ht="15" customHeight="1">
      <c r="A371" s="2" t="s">
        <v>1022</v>
      </c>
      <c r="B371" s="2">
        <v>0</v>
      </c>
      <c r="C371" s="2"/>
      <c r="D371" s="2" t="s">
        <v>305</v>
      </c>
      <c r="E371" s="2" t="s">
        <v>401</v>
      </c>
      <c r="F371" s="3">
        <v>45665</v>
      </c>
      <c r="G371" s="3">
        <v>45665</v>
      </c>
      <c r="H371" s="3">
        <v>45665</v>
      </c>
      <c r="I371" s="2"/>
      <c r="J371" s="2"/>
      <c r="K371" s="2" t="s">
        <v>25</v>
      </c>
      <c r="L371" s="2" t="s">
        <v>26</v>
      </c>
      <c r="M371" s="2"/>
      <c r="N371" s="2" t="s">
        <v>27</v>
      </c>
      <c r="O371" s="2">
        <v>3400</v>
      </c>
      <c r="P371" s="2">
        <v>612</v>
      </c>
      <c r="Q371" s="2">
        <v>4012</v>
      </c>
      <c r="R371" s="2">
        <v>4012</v>
      </c>
      <c r="S371" s="2">
        <v>4012</v>
      </c>
      <c r="T371" s="2" t="s">
        <v>28</v>
      </c>
      <c r="U371" s="2" t="b">
        <v>0</v>
      </c>
      <c r="V371" s="2" t="s">
        <v>29</v>
      </c>
      <c r="W371" s="2" t="s">
        <v>104</v>
      </c>
      <c r="X371" s="2" t="s">
        <v>105</v>
      </c>
      <c r="Y371" s="2" t="s">
        <v>1023</v>
      </c>
      <c r="Z371" s="2" t="s">
        <v>31</v>
      </c>
      <c r="AA371" s="2"/>
      <c r="AB371" s="2"/>
      <c r="AC371" s="2"/>
      <c r="AD371" s="2"/>
      <c r="AK371" s="8">
        <f t="shared" si="6"/>
        <v>45665</v>
      </c>
    </row>
    <row r="372" spans="1:37" ht="15" customHeight="1">
      <c r="A372" s="2" t="s">
        <v>1024</v>
      </c>
      <c r="B372" s="2">
        <v>0</v>
      </c>
      <c r="C372" s="2"/>
      <c r="D372" s="2" t="s">
        <v>305</v>
      </c>
      <c r="E372" s="2" t="s">
        <v>401</v>
      </c>
      <c r="F372" s="3">
        <v>45665</v>
      </c>
      <c r="G372" s="3">
        <v>45665</v>
      </c>
      <c r="H372" s="3">
        <v>45665</v>
      </c>
      <c r="I372" s="2"/>
      <c r="J372" s="2"/>
      <c r="K372" s="2" t="s">
        <v>25</v>
      </c>
      <c r="L372" s="2" t="s">
        <v>26</v>
      </c>
      <c r="M372" s="2"/>
      <c r="N372" s="2" t="s">
        <v>27</v>
      </c>
      <c r="O372" s="2">
        <v>2862.29</v>
      </c>
      <c r="P372" s="2">
        <v>515.21</v>
      </c>
      <c r="Q372" s="2">
        <v>3377.5</v>
      </c>
      <c r="R372" s="2">
        <v>3377.5</v>
      </c>
      <c r="S372" s="2">
        <v>3377.5</v>
      </c>
      <c r="T372" s="2" t="s">
        <v>28</v>
      </c>
      <c r="U372" s="2" t="b">
        <v>0</v>
      </c>
      <c r="V372" s="2" t="s">
        <v>29</v>
      </c>
      <c r="W372" s="2" t="s">
        <v>104</v>
      </c>
      <c r="X372" s="2" t="s">
        <v>105</v>
      </c>
      <c r="Y372" s="2" t="s">
        <v>1025</v>
      </c>
      <c r="Z372" s="2" t="s">
        <v>31</v>
      </c>
      <c r="AA372" s="2"/>
      <c r="AB372" s="2"/>
      <c r="AC372" s="2"/>
      <c r="AD372" s="2"/>
      <c r="AK372" s="8">
        <f t="shared" si="6"/>
        <v>45665</v>
      </c>
    </row>
    <row r="373" spans="1:37" ht="15" customHeight="1">
      <c r="A373" s="2" t="s">
        <v>1026</v>
      </c>
      <c r="B373" s="2">
        <v>0</v>
      </c>
      <c r="C373" s="2"/>
      <c r="D373" s="2" t="s">
        <v>305</v>
      </c>
      <c r="E373" s="2" t="s">
        <v>401</v>
      </c>
      <c r="F373" s="3">
        <v>45665</v>
      </c>
      <c r="G373" s="3">
        <v>45665</v>
      </c>
      <c r="H373" s="3">
        <v>45665</v>
      </c>
      <c r="I373" s="2"/>
      <c r="J373" s="2"/>
      <c r="K373" s="2" t="s">
        <v>25</v>
      </c>
      <c r="L373" s="2" t="s">
        <v>26</v>
      </c>
      <c r="M373" s="2"/>
      <c r="N373" s="2" t="s">
        <v>27</v>
      </c>
      <c r="O373" s="2">
        <v>4262.2</v>
      </c>
      <c r="P373" s="2">
        <v>767.2</v>
      </c>
      <c r="Q373" s="2">
        <v>5029.3999999999996</v>
      </c>
      <c r="R373" s="2">
        <v>5029.3999999999996</v>
      </c>
      <c r="S373" s="2">
        <v>5029.3999999999996</v>
      </c>
      <c r="T373" s="2" t="s">
        <v>28</v>
      </c>
      <c r="U373" s="2" t="b">
        <v>0</v>
      </c>
      <c r="V373" s="2" t="s">
        <v>29</v>
      </c>
      <c r="W373" s="2" t="s">
        <v>104</v>
      </c>
      <c r="X373" s="2" t="s">
        <v>105</v>
      </c>
      <c r="Y373" s="2" t="s">
        <v>1027</v>
      </c>
      <c r="Z373" s="2" t="s">
        <v>31</v>
      </c>
      <c r="AA373" s="2"/>
      <c r="AB373" s="2"/>
      <c r="AC373" s="2"/>
      <c r="AD373" s="2"/>
      <c r="AK373" s="8">
        <f t="shared" si="6"/>
        <v>45665</v>
      </c>
    </row>
    <row r="374" spans="1:37" ht="15" customHeight="1">
      <c r="A374" s="2" t="s">
        <v>1028</v>
      </c>
      <c r="B374" s="2">
        <v>0</v>
      </c>
      <c r="C374" s="2"/>
      <c r="D374" s="2" t="s">
        <v>305</v>
      </c>
      <c r="E374" s="2" t="s">
        <v>1029</v>
      </c>
      <c r="F374" s="3">
        <v>45665</v>
      </c>
      <c r="G374" s="3">
        <v>45665</v>
      </c>
      <c r="H374" s="3">
        <v>45665</v>
      </c>
      <c r="I374" s="2"/>
      <c r="J374" s="2"/>
      <c r="K374" s="2" t="s">
        <v>25</v>
      </c>
      <c r="L374" s="2" t="s">
        <v>26</v>
      </c>
      <c r="M374" s="2"/>
      <c r="N374" s="2" t="s">
        <v>27</v>
      </c>
      <c r="O374" s="2">
        <v>17.100000000000001</v>
      </c>
      <c r="P374" s="2">
        <v>3.08</v>
      </c>
      <c r="Q374" s="2">
        <v>20.18</v>
      </c>
      <c r="R374" s="2">
        <v>20.18</v>
      </c>
      <c r="S374" s="2">
        <v>20.18</v>
      </c>
      <c r="T374" s="2" t="s">
        <v>28</v>
      </c>
      <c r="U374" s="2" t="b">
        <v>0</v>
      </c>
      <c r="V374" s="2" t="s">
        <v>29</v>
      </c>
      <c r="W374" s="2" t="s">
        <v>104</v>
      </c>
      <c r="X374" s="2" t="s">
        <v>105</v>
      </c>
      <c r="Y374" s="2" t="s">
        <v>1030</v>
      </c>
      <c r="Z374" s="2" t="s">
        <v>31</v>
      </c>
      <c r="AA374" s="2"/>
      <c r="AB374" s="2"/>
      <c r="AC374" s="2"/>
      <c r="AD374" s="2"/>
      <c r="AK374" s="8">
        <f t="shared" si="6"/>
        <v>45665</v>
      </c>
    </row>
    <row r="375" spans="1:37" ht="15" customHeight="1">
      <c r="A375" s="2" t="s">
        <v>1031</v>
      </c>
      <c r="B375" s="2">
        <v>0</v>
      </c>
      <c r="C375" s="2"/>
      <c r="D375" s="2" t="s">
        <v>305</v>
      </c>
      <c r="E375" s="2" t="s">
        <v>1029</v>
      </c>
      <c r="F375" s="3">
        <v>45665</v>
      </c>
      <c r="G375" s="3">
        <v>45665</v>
      </c>
      <c r="H375" s="3">
        <v>45665</v>
      </c>
      <c r="I375" s="2"/>
      <c r="J375" s="2"/>
      <c r="K375" s="2" t="s">
        <v>25</v>
      </c>
      <c r="L375" s="2" t="s">
        <v>26</v>
      </c>
      <c r="M375" s="2"/>
      <c r="N375" s="2" t="s">
        <v>27</v>
      </c>
      <c r="O375" s="2">
        <v>3400</v>
      </c>
      <c r="P375" s="2">
        <v>612</v>
      </c>
      <c r="Q375" s="2">
        <v>4012</v>
      </c>
      <c r="R375" s="2">
        <v>4012</v>
      </c>
      <c r="S375" s="2">
        <v>4012</v>
      </c>
      <c r="T375" s="2" t="s">
        <v>28</v>
      </c>
      <c r="U375" s="2" t="b">
        <v>0</v>
      </c>
      <c r="V375" s="2" t="s">
        <v>29</v>
      </c>
      <c r="W375" s="2" t="s">
        <v>104</v>
      </c>
      <c r="X375" s="2" t="s">
        <v>105</v>
      </c>
      <c r="Y375" s="2" t="s">
        <v>1032</v>
      </c>
      <c r="Z375" s="2" t="s">
        <v>31</v>
      </c>
      <c r="AA375" s="2"/>
      <c r="AB375" s="2"/>
      <c r="AC375" s="2"/>
      <c r="AD375" s="2"/>
      <c r="AK375" s="8">
        <f t="shared" si="6"/>
        <v>45665</v>
      </c>
    </row>
    <row r="376" spans="1:37" ht="15" customHeight="1">
      <c r="A376" s="2" t="s">
        <v>1033</v>
      </c>
      <c r="B376" s="2">
        <v>0</v>
      </c>
      <c r="C376" s="2"/>
      <c r="D376" s="2" t="s">
        <v>305</v>
      </c>
      <c r="E376" s="2" t="s">
        <v>1029</v>
      </c>
      <c r="F376" s="3">
        <v>45665</v>
      </c>
      <c r="G376" s="3">
        <v>45665</v>
      </c>
      <c r="H376" s="3">
        <v>45665</v>
      </c>
      <c r="I376" s="2"/>
      <c r="J376" s="2"/>
      <c r="K376" s="2" t="s">
        <v>25</v>
      </c>
      <c r="L376" s="2" t="s">
        <v>26</v>
      </c>
      <c r="M376" s="2"/>
      <c r="N376" s="2" t="s">
        <v>27</v>
      </c>
      <c r="O376" s="2">
        <v>9.9</v>
      </c>
      <c r="P376" s="2">
        <v>1.78</v>
      </c>
      <c r="Q376" s="2">
        <v>11.68</v>
      </c>
      <c r="R376" s="2">
        <v>11.68</v>
      </c>
      <c r="S376" s="2">
        <v>11.68</v>
      </c>
      <c r="T376" s="2" t="s">
        <v>28</v>
      </c>
      <c r="U376" s="2" t="b">
        <v>0</v>
      </c>
      <c r="V376" s="2" t="s">
        <v>29</v>
      </c>
      <c r="W376" s="2" t="s">
        <v>104</v>
      </c>
      <c r="X376" s="2" t="s">
        <v>105</v>
      </c>
      <c r="Y376" s="2" t="s">
        <v>1034</v>
      </c>
      <c r="Z376" s="2" t="s">
        <v>31</v>
      </c>
      <c r="AA376" s="2"/>
      <c r="AB376" s="2"/>
      <c r="AC376" s="2"/>
      <c r="AD376" s="2"/>
      <c r="AK376" s="8">
        <f t="shared" si="6"/>
        <v>45665</v>
      </c>
    </row>
    <row r="377" spans="1:37" ht="15" customHeight="1">
      <c r="A377" s="2" t="s">
        <v>1035</v>
      </c>
      <c r="B377" s="2">
        <v>0</v>
      </c>
      <c r="C377" s="2"/>
      <c r="D377" s="2" t="s">
        <v>305</v>
      </c>
      <c r="E377" s="2" t="s">
        <v>1029</v>
      </c>
      <c r="F377" s="3">
        <v>45665</v>
      </c>
      <c r="G377" s="3">
        <v>45665</v>
      </c>
      <c r="H377" s="3">
        <v>45665</v>
      </c>
      <c r="I377" s="2"/>
      <c r="J377" s="2"/>
      <c r="K377" s="2" t="s">
        <v>25</v>
      </c>
      <c r="L377" s="2" t="s">
        <v>26</v>
      </c>
      <c r="M377" s="2"/>
      <c r="N377" s="2" t="s">
        <v>27</v>
      </c>
      <c r="O377" s="2">
        <v>6</v>
      </c>
      <c r="P377" s="2">
        <v>1.08</v>
      </c>
      <c r="Q377" s="2">
        <v>7.08</v>
      </c>
      <c r="R377" s="2">
        <v>7.08</v>
      </c>
      <c r="S377" s="2">
        <v>7.08</v>
      </c>
      <c r="T377" s="2" t="s">
        <v>28</v>
      </c>
      <c r="U377" s="2" t="b">
        <v>0</v>
      </c>
      <c r="V377" s="2" t="s">
        <v>29</v>
      </c>
      <c r="W377" s="2" t="s">
        <v>104</v>
      </c>
      <c r="X377" s="2" t="s">
        <v>105</v>
      </c>
      <c r="Y377" s="2" t="s">
        <v>1036</v>
      </c>
      <c r="Z377" s="2" t="s">
        <v>31</v>
      </c>
      <c r="AA377" s="2"/>
      <c r="AB377" s="2"/>
      <c r="AC377" s="2"/>
      <c r="AD377" s="2"/>
      <c r="AK377" s="8">
        <f t="shared" si="6"/>
        <v>45665</v>
      </c>
    </row>
    <row r="378" spans="1:37" ht="15" customHeight="1">
      <c r="A378" s="2" t="s">
        <v>1037</v>
      </c>
      <c r="B378" s="2">
        <v>0</v>
      </c>
      <c r="C378" s="2"/>
      <c r="D378" s="2" t="s">
        <v>272</v>
      </c>
      <c r="E378" s="2" t="s">
        <v>1038</v>
      </c>
      <c r="F378" s="3">
        <v>45665</v>
      </c>
      <c r="G378" s="3">
        <v>45665</v>
      </c>
      <c r="H378" s="3">
        <v>45665</v>
      </c>
      <c r="I378" s="2"/>
      <c r="J378" s="2"/>
      <c r="K378" s="2" t="s">
        <v>25</v>
      </c>
      <c r="L378" s="2" t="s">
        <v>26</v>
      </c>
      <c r="M378" s="2"/>
      <c r="N378" s="2" t="s">
        <v>27</v>
      </c>
      <c r="O378" s="2">
        <v>1599.66</v>
      </c>
      <c r="P378" s="2">
        <v>287.94</v>
      </c>
      <c r="Q378" s="2">
        <v>1887.6</v>
      </c>
      <c r="R378" s="2">
        <v>1887.6</v>
      </c>
      <c r="S378" s="2">
        <v>1887.6</v>
      </c>
      <c r="T378" s="2" t="s">
        <v>28</v>
      </c>
      <c r="U378" s="2" t="b">
        <v>0</v>
      </c>
      <c r="V378" s="2" t="s">
        <v>29</v>
      </c>
      <c r="W378" s="2" t="s">
        <v>104</v>
      </c>
      <c r="X378" s="2" t="s">
        <v>105</v>
      </c>
      <c r="Y378" s="2" t="s">
        <v>1039</v>
      </c>
      <c r="Z378" s="2" t="s">
        <v>31</v>
      </c>
      <c r="AA378" s="2"/>
      <c r="AB378" s="2"/>
      <c r="AC378" s="2"/>
      <c r="AD378" s="2"/>
      <c r="AK378" s="8">
        <f t="shared" si="6"/>
        <v>45665</v>
      </c>
    </row>
    <row r="379" spans="1:37" ht="15" customHeight="1">
      <c r="A379" s="2" t="s">
        <v>1040</v>
      </c>
      <c r="B379" s="2">
        <v>0</v>
      </c>
      <c r="C379" s="2"/>
      <c r="D379" s="2" t="s">
        <v>272</v>
      </c>
      <c r="E379" s="2" t="s">
        <v>1038</v>
      </c>
      <c r="F379" s="3">
        <v>45665</v>
      </c>
      <c r="G379" s="3">
        <v>45665</v>
      </c>
      <c r="H379" s="3">
        <v>45665</v>
      </c>
      <c r="I379" s="2"/>
      <c r="J379" s="2"/>
      <c r="K379" s="2" t="s">
        <v>25</v>
      </c>
      <c r="L379" s="2" t="s">
        <v>26</v>
      </c>
      <c r="M379" s="2"/>
      <c r="N379" s="2" t="s">
        <v>27</v>
      </c>
      <c r="O379" s="2">
        <v>947.12</v>
      </c>
      <c r="P379" s="2">
        <v>170.48</v>
      </c>
      <c r="Q379" s="2">
        <v>1117.5999999999999</v>
      </c>
      <c r="R379" s="2">
        <v>1117.5999999999999</v>
      </c>
      <c r="S379" s="2">
        <v>1117.5999999999999</v>
      </c>
      <c r="T379" s="2" t="s">
        <v>28</v>
      </c>
      <c r="U379" s="2" t="b">
        <v>0</v>
      </c>
      <c r="V379" s="2" t="s">
        <v>29</v>
      </c>
      <c r="W379" s="2" t="s">
        <v>104</v>
      </c>
      <c r="X379" s="2" t="s">
        <v>105</v>
      </c>
      <c r="Y379" s="2" t="s">
        <v>1041</v>
      </c>
      <c r="Z379" s="2" t="s">
        <v>31</v>
      </c>
      <c r="AA379" s="2"/>
      <c r="AB379" s="2"/>
      <c r="AC379" s="2"/>
      <c r="AD379" s="2"/>
      <c r="AK379" s="8">
        <f t="shared" si="6"/>
        <v>45665</v>
      </c>
    </row>
    <row r="380" spans="1:37" ht="15" customHeight="1">
      <c r="A380" s="2" t="s">
        <v>1042</v>
      </c>
      <c r="B380" s="2">
        <v>0</v>
      </c>
      <c r="C380" s="2"/>
      <c r="D380" s="2" t="s">
        <v>272</v>
      </c>
      <c r="E380" s="2" t="s">
        <v>1043</v>
      </c>
      <c r="F380" s="3">
        <v>45665</v>
      </c>
      <c r="G380" s="3">
        <v>45665</v>
      </c>
      <c r="H380" s="3">
        <v>45665</v>
      </c>
      <c r="I380" s="2"/>
      <c r="J380" s="2"/>
      <c r="K380" s="2" t="s">
        <v>25</v>
      </c>
      <c r="L380" s="2" t="s">
        <v>26</v>
      </c>
      <c r="M380" s="2"/>
      <c r="N380" s="2" t="s">
        <v>27</v>
      </c>
      <c r="O380" s="2">
        <v>15</v>
      </c>
      <c r="P380" s="2">
        <v>2.7</v>
      </c>
      <c r="Q380" s="2">
        <v>17.7</v>
      </c>
      <c r="R380" s="2">
        <v>17.7</v>
      </c>
      <c r="S380" s="2">
        <v>17.7</v>
      </c>
      <c r="T380" s="2" t="s">
        <v>28</v>
      </c>
      <c r="U380" s="2" t="b">
        <v>0</v>
      </c>
      <c r="V380" s="2" t="s">
        <v>29</v>
      </c>
      <c r="W380" s="2" t="s">
        <v>104</v>
      </c>
      <c r="X380" s="2" t="s">
        <v>105</v>
      </c>
      <c r="Y380" s="2" t="s">
        <v>1044</v>
      </c>
      <c r="Z380" s="2" t="s">
        <v>31</v>
      </c>
      <c r="AA380" s="2"/>
      <c r="AB380" s="2"/>
      <c r="AC380" s="2"/>
      <c r="AD380" s="2"/>
      <c r="AK380" s="8">
        <f t="shared" si="6"/>
        <v>45665</v>
      </c>
    </row>
    <row r="381" spans="1:37" ht="15" customHeight="1">
      <c r="A381" s="2" t="s">
        <v>1045</v>
      </c>
      <c r="B381" s="2">
        <v>0</v>
      </c>
      <c r="C381" s="2"/>
      <c r="D381" s="2" t="s">
        <v>272</v>
      </c>
      <c r="E381" s="2" t="s">
        <v>1043</v>
      </c>
      <c r="F381" s="3">
        <v>45665</v>
      </c>
      <c r="G381" s="3">
        <v>45665</v>
      </c>
      <c r="H381" s="3">
        <v>45665</v>
      </c>
      <c r="I381" s="2"/>
      <c r="J381" s="2"/>
      <c r="K381" s="2" t="s">
        <v>25</v>
      </c>
      <c r="L381" s="2" t="s">
        <v>26</v>
      </c>
      <c r="M381" s="2"/>
      <c r="N381" s="2" t="s">
        <v>27</v>
      </c>
      <c r="O381" s="2">
        <v>530.16999999999996</v>
      </c>
      <c r="P381" s="2">
        <v>95.43</v>
      </c>
      <c r="Q381" s="2">
        <v>625.6</v>
      </c>
      <c r="R381" s="2">
        <v>625.6</v>
      </c>
      <c r="S381" s="2">
        <v>625.6</v>
      </c>
      <c r="T381" s="2" t="s">
        <v>28</v>
      </c>
      <c r="U381" s="2" t="b">
        <v>0</v>
      </c>
      <c r="V381" s="2" t="s">
        <v>29</v>
      </c>
      <c r="W381" s="2" t="s">
        <v>104</v>
      </c>
      <c r="X381" s="2" t="s">
        <v>105</v>
      </c>
      <c r="Y381" s="2" t="s">
        <v>1046</v>
      </c>
      <c r="Z381" s="2" t="s">
        <v>31</v>
      </c>
      <c r="AA381" s="2"/>
      <c r="AB381" s="2"/>
      <c r="AC381" s="2"/>
      <c r="AD381" s="2"/>
      <c r="AK381" s="8">
        <f t="shared" si="6"/>
        <v>45665</v>
      </c>
    </row>
    <row r="382" spans="1:37" ht="15" customHeight="1">
      <c r="A382" s="2" t="s">
        <v>1047</v>
      </c>
      <c r="B382" s="2">
        <v>0</v>
      </c>
      <c r="C382" s="2"/>
      <c r="D382" s="2" t="s">
        <v>272</v>
      </c>
      <c r="E382" s="2" t="s">
        <v>1043</v>
      </c>
      <c r="F382" s="3">
        <v>45665</v>
      </c>
      <c r="G382" s="3">
        <v>45665</v>
      </c>
      <c r="H382" s="3">
        <v>45665</v>
      </c>
      <c r="I382" s="2"/>
      <c r="J382" s="2"/>
      <c r="K382" s="2" t="s">
        <v>25</v>
      </c>
      <c r="L382" s="2" t="s">
        <v>26</v>
      </c>
      <c r="M382" s="2"/>
      <c r="N382" s="2" t="s">
        <v>27</v>
      </c>
      <c r="O382" s="2">
        <v>338.9</v>
      </c>
      <c r="P382" s="2">
        <v>61</v>
      </c>
      <c r="Q382" s="2">
        <v>399.9</v>
      </c>
      <c r="R382" s="2">
        <v>399.9</v>
      </c>
      <c r="S382" s="2">
        <v>399.9</v>
      </c>
      <c r="T382" s="2" t="s">
        <v>28</v>
      </c>
      <c r="U382" s="2" t="b">
        <v>0</v>
      </c>
      <c r="V382" s="2" t="s">
        <v>29</v>
      </c>
      <c r="W382" s="2" t="s">
        <v>104</v>
      </c>
      <c r="X382" s="2" t="s">
        <v>105</v>
      </c>
      <c r="Y382" s="2" t="s">
        <v>1048</v>
      </c>
      <c r="Z382" s="2" t="s">
        <v>31</v>
      </c>
      <c r="AA382" s="2"/>
      <c r="AB382" s="2"/>
      <c r="AC382" s="2"/>
      <c r="AD382" s="2"/>
      <c r="AK382" s="8">
        <f t="shared" si="6"/>
        <v>45665</v>
      </c>
    </row>
    <row r="383" spans="1:37" ht="15" customHeight="1">
      <c r="A383" s="2" t="s">
        <v>1049</v>
      </c>
      <c r="B383" s="2">
        <v>0</v>
      </c>
      <c r="C383" s="2"/>
      <c r="D383" s="2" t="s">
        <v>272</v>
      </c>
      <c r="E383" s="2" t="s">
        <v>1050</v>
      </c>
      <c r="F383" s="3">
        <v>45665</v>
      </c>
      <c r="G383" s="3">
        <v>45665</v>
      </c>
      <c r="H383" s="3">
        <v>45665</v>
      </c>
      <c r="I383" s="2"/>
      <c r="J383" s="2"/>
      <c r="K383" s="2" t="s">
        <v>25</v>
      </c>
      <c r="L383" s="2" t="s">
        <v>26</v>
      </c>
      <c r="M383" s="2"/>
      <c r="N383" s="2" t="s">
        <v>27</v>
      </c>
      <c r="O383" s="2">
        <v>1.44</v>
      </c>
      <c r="P383" s="2">
        <v>0.26</v>
      </c>
      <c r="Q383" s="2">
        <v>1.7</v>
      </c>
      <c r="R383" s="2">
        <v>1.7</v>
      </c>
      <c r="S383" s="2">
        <v>1.7</v>
      </c>
      <c r="T383" s="2" t="s">
        <v>28</v>
      </c>
      <c r="U383" s="2" t="b">
        <v>0</v>
      </c>
      <c r="V383" s="2" t="s">
        <v>29</v>
      </c>
      <c r="W383" s="2" t="s">
        <v>104</v>
      </c>
      <c r="X383" s="2" t="s">
        <v>105</v>
      </c>
      <c r="Y383" s="2" t="s">
        <v>1051</v>
      </c>
      <c r="Z383" s="2" t="s">
        <v>31</v>
      </c>
      <c r="AA383" s="2"/>
      <c r="AB383" s="2"/>
      <c r="AC383" s="2"/>
      <c r="AD383" s="2"/>
      <c r="AK383" s="8">
        <f t="shared" si="6"/>
        <v>45665</v>
      </c>
    </row>
    <row r="384" spans="1:37" ht="15" customHeight="1">
      <c r="A384" s="2" t="s">
        <v>1052</v>
      </c>
      <c r="B384" s="2">
        <v>0</v>
      </c>
      <c r="C384" s="2"/>
      <c r="D384" s="2" t="s">
        <v>272</v>
      </c>
      <c r="E384" s="2" t="s">
        <v>1050</v>
      </c>
      <c r="F384" s="3">
        <v>45665</v>
      </c>
      <c r="G384" s="3">
        <v>45665</v>
      </c>
      <c r="H384" s="3">
        <v>45665</v>
      </c>
      <c r="I384" s="2"/>
      <c r="J384" s="2"/>
      <c r="K384" s="2" t="s">
        <v>25</v>
      </c>
      <c r="L384" s="2" t="s">
        <v>26</v>
      </c>
      <c r="M384" s="2"/>
      <c r="N384" s="2" t="s">
        <v>27</v>
      </c>
      <c r="O384" s="2">
        <v>1.02</v>
      </c>
      <c r="P384" s="2">
        <v>0.18</v>
      </c>
      <c r="Q384" s="2">
        <v>1.2</v>
      </c>
      <c r="R384" s="2">
        <v>1.2</v>
      </c>
      <c r="S384" s="2">
        <v>1.2</v>
      </c>
      <c r="T384" s="2" t="s">
        <v>28</v>
      </c>
      <c r="U384" s="2" t="b">
        <v>0</v>
      </c>
      <c r="V384" s="2" t="s">
        <v>29</v>
      </c>
      <c r="W384" s="2" t="s">
        <v>104</v>
      </c>
      <c r="X384" s="2" t="s">
        <v>105</v>
      </c>
      <c r="Y384" s="2" t="s">
        <v>1053</v>
      </c>
      <c r="Z384" s="2" t="s">
        <v>31</v>
      </c>
      <c r="AA384" s="2"/>
      <c r="AB384" s="2"/>
      <c r="AC384" s="2"/>
      <c r="AD384" s="2"/>
      <c r="AK384" s="8">
        <f t="shared" si="6"/>
        <v>45665</v>
      </c>
    </row>
    <row r="385" spans="1:37" ht="15" customHeight="1">
      <c r="A385" s="2" t="s">
        <v>1054</v>
      </c>
      <c r="B385" s="2">
        <v>0</v>
      </c>
      <c r="C385" s="2"/>
      <c r="D385" s="2" t="s">
        <v>305</v>
      </c>
      <c r="E385" s="2" t="s">
        <v>1055</v>
      </c>
      <c r="F385" s="3">
        <v>45663</v>
      </c>
      <c r="G385" s="3">
        <v>45663</v>
      </c>
      <c r="H385" s="3">
        <v>45663</v>
      </c>
      <c r="I385" s="2"/>
      <c r="J385" s="2"/>
      <c r="K385" s="2" t="s">
        <v>25</v>
      </c>
      <c r="L385" s="2" t="s">
        <v>26</v>
      </c>
      <c r="M385" s="2"/>
      <c r="N385" s="2" t="s">
        <v>27</v>
      </c>
      <c r="O385" s="2">
        <v>32.5</v>
      </c>
      <c r="P385" s="2">
        <v>5.85</v>
      </c>
      <c r="Q385" s="2">
        <v>38.35</v>
      </c>
      <c r="R385" s="2">
        <v>38.35</v>
      </c>
      <c r="S385" s="2">
        <v>38.35</v>
      </c>
      <c r="T385" s="2" t="s">
        <v>28</v>
      </c>
      <c r="U385" s="2" t="b">
        <v>0</v>
      </c>
      <c r="V385" s="2" t="s">
        <v>29</v>
      </c>
      <c r="W385" s="2" t="s">
        <v>104</v>
      </c>
      <c r="X385" s="2" t="s">
        <v>105</v>
      </c>
      <c r="Y385" s="2" t="s">
        <v>1056</v>
      </c>
      <c r="Z385" s="2" t="s">
        <v>31</v>
      </c>
      <c r="AA385" s="2"/>
      <c r="AB385" s="2"/>
      <c r="AC385" s="2"/>
      <c r="AD385" s="2"/>
      <c r="AK385" s="8">
        <f t="shared" si="6"/>
        <v>45663</v>
      </c>
    </row>
    <row r="386" spans="1:37" ht="15" customHeight="1">
      <c r="A386" s="2" t="s">
        <v>1057</v>
      </c>
      <c r="B386" s="2">
        <v>0</v>
      </c>
      <c r="C386" s="2"/>
      <c r="D386" s="2" t="s">
        <v>305</v>
      </c>
      <c r="E386" s="2" t="s">
        <v>1055</v>
      </c>
      <c r="F386" s="3">
        <v>45663</v>
      </c>
      <c r="G386" s="3">
        <v>45663</v>
      </c>
      <c r="H386" s="3">
        <v>45663</v>
      </c>
      <c r="I386" s="2"/>
      <c r="J386" s="2"/>
      <c r="K386" s="2" t="s">
        <v>25</v>
      </c>
      <c r="L386" s="2" t="s">
        <v>26</v>
      </c>
      <c r="M386" s="2"/>
      <c r="N386" s="2" t="s">
        <v>27</v>
      </c>
      <c r="O386" s="2">
        <v>1978.14</v>
      </c>
      <c r="P386" s="2">
        <v>356.06</v>
      </c>
      <c r="Q386" s="2">
        <v>2334.1999999999998</v>
      </c>
      <c r="R386" s="2">
        <v>2334.1999999999998</v>
      </c>
      <c r="S386" s="2">
        <v>2334.1999999999998</v>
      </c>
      <c r="T386" s="2" t="s">
        <v>28</v>
      </c>
      <c r="U386" s="2" t="b">
        <v>0</v>
      </c>
      <c r="V386" s="2" t="s">
        <v>29</v>
      </c>
      <c r="W386" s="2" t="s">
        <v>104</v>
      </c>
      <c r="X386" s="2" t="s">
        <v>105</v>
      </c>
      <c r="Y386" s="2" t="s">
        <v>1058</v>
      </c>
      <c r="Z386" s="2" t="s">
        <v>31</v>
      </c>
      <c r="AA386" s="2"/>
      <c r="AB386" s="2"/>
      <c r="AC386" s="2"/>
      <c r="AD386" s="2"/>
      <c r="AK386" s="8">
        <f t="shared" si="6"/>
        <v>45663</v>
      </c>
    </row>
    <row r="387" spans="1:37" ht="15" customHeight="1">
      <c r="A387" s="2" t="s">
        <v>1059</v>
      </c>
      <c r="B387" s="2">
        <v>0</v>
      </c>
      <c r="C387" s="2"/>
      <c r="D387" s="2" t="s">
        <v>305</v>
      </c>
      <c r="E387" s="2" t="s">
        <v>1055</v>
      </c>
      <c r="F387" s="3">
        <v>45663</v>
      </c>
      <c r="G387" s="3">
        <v>45663</v>
      </c>
      <c r="H387" s="3">
        <v>45663</v>
      </c>
      <c r="I387" s="2"/>
      <c r="J387" s="2"/>
      <c r="K387" s="2" t="s">
        <v>25</v>
      </c>
      <c r="L387" s="2" t="s">
        <v>26</v>
      </c>
      <c r="M387" s="2"/>
      <c r="N387" s="2" t="s">
        <v>27</v>
      </c>
      <c r="O387" s="2">
        <v>1085.76</v>
      </c>
      <c r="P387" s="2">
        <v>195.44</v>
      </c>
      <c r="Q387" s="2">
        <v>1281.2</v>
      </c>
      <c r="R387" s="2">
        <v>1281.2</v>
      </c>
      <c r="S387" s="2">
        <v>1281.2</v>
      </c>
      <c r="T387" s="2" t="s">
        <v>28</v>
      </c>
      <c r="U387" s="2" t="b">
        <v>0</v>
      </c>
      <c r="V387" s="2" t="s">
        <v>29</v>
      </c>
      <c r="W387" s="2" t="s">
        <v>104</v>
      </c>
      <c r="X387" s="2" t="s">
        <v>105</v>
      </c>
      <c r="Y387" s="2" t="s">
        <v>1060</v>
      </c>
      <c r="Z387" s="2" t="s">
        <v>31</v>
      </c>
      <c r="AA387" s="2"/>
      <c r="AB387" s="2"/>
      <c r="AC387" s="2"/>
      <c r="AD387" s="2"/>
      <c r="AK387" s="8">
        <f t="shared" si="6"/>
        <v>45663</v>
      </c>
    </row>
    <row r="388" spans="1:37" ht="15" customHeight="1">
      <c r="A388" s="2" t="s">
        <v>1061</v>
      </c>
      <c r="B388" s="2">
        <v>0</v>
      </c>
      <c r="C388" s="2"/>
      <c r="D388" s="2" t="s">
        <v>305</v>
      </c>
      <c r="E388" s="2" t="s">
        <v>366</v>
      </c>
      <c r="F388" s="3">
        <v>45663</v>
      </c>
      <c r="G388" s="3">
        <v>45663</v>
      </c>
      <c r="H388" s="3">
        <v>45663</v>
      </c>
      <c r="I388" s="2"/>
      <c r="J388" s="2"/>
      <c r="K388" s="2" t="s">
        <v>25</v>
      </c>
      <c r="L388" s="2" t="s">
        <v>26</v>
      </c>
      <c r="M388" s="2"/>
      <c r="N388" s="2" t="s">
        <v>27</v>
      </c>
      <c r="O388" s="2">
        <v>50</v>
      </c>
      <c r="P388" s="2">
        <v>9</v>
      </c>
      <c r="Q388" s="2">
        <v>59</v>
      </c>
      <c r="R388" s="2">
        <v>59</v>
      </c>
      <c r="S388" s="2">
        <v>59</v>
      </c>
      <c r="T388" s="2" t="s">
        <v>28</v>
      </c>
      <c r="U388" s="2" t="b">
        <v>0</v>
      </c>
      <c r="V388" s="2" t="s">
        <v>29</v>
      </c>
      <c r="W388" s="2" t="s">
        <v>104</v>
      </c>
      <c r="X388" s="2" t="s">
        <v>105</v>
      </c>
      <c r="Y388" s="2" t="s">
        <v>1062</v>
      </c>
      <c r="Z388" s="2" t="s">
        <v>31</v>
      </c>
      <c r="AA388" s="2"/>
      <c r="AB388" s="2"/>
      <c r="AC388" s="2"/>
      <c r="AD388" s="2"/>
      <c r="AK388" s="8">
        <f t="shared" si="6"/>
        <v>45663</v>
      </c>
    </row>
    <row r="389" spans="1:37" ht="15" customHeight="1">
      <c r="A389" s="2" t="s">
        <v>1063</v>
      </c>
      <c r="B389" s="2">
        <v>0</v>
      </c>
      <c r="C389" s="2"/>
      <c r="D389" s="2" t="s">
        <v>305</v>
      </c>
      <c r="E389" s="2" t="s">
        <v>366</v>
      </c>
      <c r="F389" s="3">
        <v>45663</v>
      </c>
      <c r="G389" s="3">
        <v>45663</v>
      </c>
      <c r="H389" s="3">
        <v>45663</v>
      </c>
      <c r="I389" s="2"/>
      <c r="J389" s="2"/>
      <c r="K389" s="2" t="s">
        <v>25</v>
      </c>
      <c r="L389" s="2" t="s">
        <v>26</v>
      </c>
      <c r="M389" s="2"/>
      <c r="N389" s="2" t="s">
        <v>27</v>
      </c>
      <c r="O389" s="2">
        <v>227.88</v>
      </c>
      <c r="P389" s="2">
        <v>41.02</v>
      </c>
      <c r="Q389" s="2">
        <v>268.89999999999998</v>
      </c>
      <c r="R389" s="2">
        <v>268.89999999999998</v>
      </c>
      <c r="S389" s="2">
        <v>268.89999999999998</v>
      </c>
      <c r="T389" s="2" t="s">
        <v>28</v>
      </c>
      <c r="U389" s="2" t="b">
        <v>0</v>
      </c>
      <c r="V389" s="2" t="s">
        <v>29</v>
      </c>
      <c r="W389" s="2" t="s">
        <v>104</v>
      </c>
      <c r="X389" s="2" t="s">
        <v>105</v>
      </c>
      <c r="Y389" s="2" t="s">
        <v>1064</v>
      </c>
      <c r="Z389" s="2" t="s">
        <v>31</v>
      </c>
      <c r="AA389" s="2"/>
      <c r="AB389" s="2"/>
      <c r="AC389" s="2"/>
      <c r="AD389" s="2"/>
      <c r="AK389" s="8">
        <f t="shared" si="6"/>
        <v>45663</v>
      </c>
    </row>
    <row r="390" spans="1:37" ht="15" customHeight="1">
      <c r="A390" s="2" t="s">
        <v>1065</v>
      </c>
      <c r="B390" s="2">
        <v>0</v>
      </c>
      <c r="C390" s="2"/>
      <c r="D390" s="2" t="s">
        <v>305</v>
      </c>
      <c r="E390" s="2" t="s">
        <v>366</v>
      </c>
      <c r="F390" s="3">
        <v>45663</v>
      </c>
      <c r="G390" s="3">
        <v>45663</v>
      </c>
      <c r="H390" s="3">
        <v>45663</v>
      </c>
      <c r="I390" s="2"/>
      <c r="J390" s="2"/>
      <c r="K390" s="2" t="s">
        <v>25</v>
      </c>
      <c r="L390" s="2" t="s">
        <v>26</v>
      </c>
      <c r="M390" s="2"/>
      <c r="N390" s="2" t="s">
        <v>27</v>
      </c>
      <c r="O390" s="2">
        <v>126.36</v>
      </c>
      <c r="P390" s="2">
        <v>22.74</v>
      </c>
      <c r="Q390" s="2">
        <v>149.1</v>
      </c>
      <c r="R390" s="2">
        <v>149.1</v>
      </c>
      <c r="S390" s="2">
        <v>149.1</v>
      </c>
      <c r="T390" s="2" t="s">
        <v>28</v>
      </c>
      <c r="U390" s="2" t="b">
        <v>0</v>
      </c>
      <c r="V390" s="2" t="s">
        <v>29</v>
      </c>
      <c r="W390" s="2" t="s">
        <v>104</v>
      </c>
      <c r="X390" s="2" t="s">
        <v>105</v>
      </c>
      <c r="Y390" s="2" t="s">
        <v>1066</v>
      </c>
      <c r="Z390" s="2" t="s">
        <v>31</v>
      </c>
      <c r="AA390" s="2"/>
      <c r="AB390" s="2"/>
      <c r="AC390" s="2"/>
      <c r="AD390" s="2"/>
      <c r="AK390" s="8">
        <f t="shared" si="6"/>
        <v>45663</v>
      </c>
    </row>
    <row r="391" spans="1:37" ht="15" customHeight="1">
      <c r="A391" s="2" t="s">
        <v>1067</v>
      </c>
      <c r="B391" s="2">
        <v>0</v>
      </c>
      <c r="C391" s="2"/>
      <c r="D391" s="2" t="s">
        <v>305</v>
      </c>
      <c r="E391" s="2" t="s">
        <v>928</v>
      </c>
      <c r="F391" s="3">
        <v>45663</v>
      </c>
      <c r="G391" s="3">
        <v>45663</v>
      </c>
      <c r="H391" s="3">
        <v>45663</v>
      </c>
      <c r="I391" s="2"/>
      <c r="J391" s="2"/>
      <c r="K391" s="2" t="s">
        <v>25</v>
      </c>
      <c r="L391" s="2" t="s">
        <v>26</v>
      </c>
      <c r="M391" s="2"/>
      <c r="N391" s="2" t="s">
        <v>27</v>
      </c>
      <c r="O391" s="2">
        <v>283.79000000000002</v>
      </c>
      <c r="P391" s="2">
        <v>51.08</v>
      </c>
      <c r="Q391" s="2">
        <v>334.87</v>
      </c>
      <c r="R391" s="2">
        <v>334.87</v>
      </c>
      <c r="S391" s="2">
        <v>334.87</v>
      </c>
      <c r="T391" s="2" t="s">
        <v>28</v>
      </c>
      <c r="U391" s="2" t="b">
        <v>0</v>
      </c>
      <c r="V391" s="2" t="s">
        <v>29</v>
      </c>
      <c r="W391" s="2" t="s">
        <v>104</v>
      </c>
      <c r="X391" s="2" t="s">
        <v>105</v>
      </c>
      <c r="Y391" s="2" t="s">
        <v>1068</v>
      </c>
      <c r="Z391" s="2" t="s">
        <v>31</v>
      </c>
      <c r="AA391" s="2"/>
      <c r="AB391" s="2"/>
      <c r="AC391" s="2"/>
      <c r="AD391" s="2"/>
      <c r="AK391" s="8">
        <f t="shared" ref="AK391:AK454" si="7">+IF(AE391&lt;&gt;"",AE391,F391)</f>
        <v>45663</v>
      </c>
    </row>
    <row r="392" spans="1:37" ht="15" customHeight="1">
      <c r="A392" s="2" t="s">
        <v>1069</v>
      </c>
      <c r="B392" s="2">
        <v>0</v>
      </c>
      <c r="C392" s="2"/>
      <c r="D392" s="2" t="s">
        <v>305</v>
      </c>
      <c r="E392" s="2" t="s">
        <v>928</v>
      </c>
      <c r="F392" s="3">
        <v>45663</v>
      </c>
      <c r="G392" s="3">
        <v>45663</v>
      </c>
      <c r="H392" s="3">
        <v>45663</v>
      </c>
      <c r="I392" s="2"/>
      <c r="J392" s="2"/>
      <c r="K392" s="2" t="s">
        <v>25</v>
      </c>
      <c r="L392" s="2" t="s">
        <v>26</v>
      </c>
      <c r="M392" s="2"/>
      <c r="N392" s="2" t="s">
        <v>27</v>
      </c>
      <c r="O392" s="2">
        <v>208.23</v>
      </c>
      <c r="P392" s="2">
        <v>37.479999999999997</v>
      </c>
      <c r="Q392" s="2">
        <v>245.71</v>
      </c>
      <c r="R392" s="2">
        <v>245.71</v>
      </c>
      <c r="S392" s="2">
        <v>245.71</v>
      </c>
      <c r="T392" s="2" t="s">
        <v>28</v>
      </c>
      <c r="U392" s="2" t="b">
        <v>0</v>
      </c>
      <c r="V392" s="2" t="s">
        <v>29</v>
      </c>
      <c r="W392" s="2" t="s">
        <v>104</v>
      </c>
      <c r="X392" s="2" t="s">
        <v>105</v>
      </c>
      <c r="Y392" s="2" t="s">
        <v>1070</v>
      </c>
      <c r="Z392" s="2" t="s">
        <v>31</v>
      </c>
      <c r="AA392" s="2"/>
      <c r="AB392" s="2"/>
      <c r="AC392" s="2"/>
      <c r="AD392" s="2"/>
      <c r="AK392" s="8">
        <f t="shared" si="7"/>
        <v>45663</v>
      </c>
    </row>
    <row r="393" spans="1:37" ht="15" customHeight="1">
      <c r="A393" s="2" t="s">
        <v>1071</v>
      </c>
      <c r="B393" s="2">
        <v>0</v>
      </c>
      <c r="C393" s="2"/>
      <c r="D393" s="2" t="s">
        <v>305</v>
      </c>
      <c r="E393" s="2" t="s">
        <v>1072</v>
      </c>
      <c r="F393" s="3">
        <v>45663</v>
      </c>
      <c r="G393" s="3">
        <v>45663</v>
      </c>
      <c r="H393" s="3">
        <v>45663</v>
      </c>
      <c r="I393" s="2"/>
      <c r="J393" s="2"/>
      <c r="K393" s="2" t="s">
        <v>25</v>
      </c>
      <c r="L393" s="2" t="s">
        <v>26</v>
      </c>
      <c r="M393" s="2"/>
      <c r="N393" s="2" t="s">
        <v>27</v>
      </c>
      <c r="O393" s="2">
        <v>2</v>
      </c>
      <c r="P393" s="2">
        <v>0.36</v>
      </c>
      <c r="Q393" s="2">
        <v>2.36</v>
      </c>
      <c r="R393" s="2">
        <v>2.36</v>
      </c>
      <c r="S393" s="2">
        <v>2.36</v>
      </c>
      <c r="T393" s="2" t="s">
        <v>28</v>
      </c>
      <c r="U393" s="2" t="b">
        <v>0</v>
      </c>
      <c r="V393" s="2" t="s">
        <v>29</v>
      </c>
      <c r="W393" s="2" t="s">
        <v>104</v>
      </c>
      <c r="X393" s="2" t="s">
        <v>105</v>
      </c>
      <c r="Y393" s="2" t="s">
        <v>1073</v>
      </c>
      <c r="Z393" s="2" t="s">
        <v>31</v>
      </c>
      <c r="AA393" s="2"/>
      <c r="AB393" s="2"/>
      <c r="AC393" s="2"/>
      <c r="AD393" s="2"/>
      <c r="AK393" s="8">
        <f t="shared" si="7"/>
        <v>45663</v>
      </c>
    </row>
    <row r="394" spans="1:37" ht="15" customHeight="1">
      <c r="A394" s="2" t="s">
        <v>1074</v>
      </c>
      <c r="B394" s="2">
        <v>0</v>
      </c>
      <c r="C394" s="2"/>
      <c r="D394" s="2" t="s">
        <v>305</v>
      </c>
      <c r="E394" s="2" t="s">
        <v>1072</v>
      </c>
      <c r="F394" s="3">
        <v>45663</v>
      </c>
      <c r="G394" s="3">
        <v>45663</v>
      </c>
      <c r="H394" s="3">
        <v>45663</v>
      </c>
      <c r="I394" s="2"/>
      <c r="J394" s="2"/>
      <c r="K394" s="2" t="s">
        <v>25</v>
      </c>
      <c r="L394" s="2" t="s">
        <v>26</v>
      </c>
      <c r="M394" s="2"/>
      <c r="N394" s="2" t="s">
        <v>27</v>
      </c>
      <c r="O394" s="2">
        <v>218.69</v>
      </c>
      <c r="P394" s="2">
        <v>39.369999999999997</v>
      </c>
      <c r="Q394" s="2">
        <v>258.06</v>
      </c>
      <c r="R394" s="2">
        <v>258.06</v>
      </c>
      <c r="S394" s="2">
        <v>258.06</v>
      </c>
      <c r="T394" s="2" t="s">
        <v>28</v>
      </c>
      <c r="U394" s="2" t="b">
        <v>0</v>
      </c>
      <c r="V394" s="2" t="s">
        <v>29</v>
      </c>
      <c r="W394" s="2" t="s">
        <v>104</v>
      </c>
      <c r="X394" s="2" t="s">
        <v>105</v>
      </c>
      <c r="Y394" s="2" t="s">
        <v>1075</v>
      </c>
      <c r="Z394" s="2" t="s">
        <v>31</v>
      </c>
      <c r="AA394" s="2"/>
      <c r="AB394" s="2"/>
      <c r="AC394" s="2"/>
      <c r="AD394" s="2"/>
      <c r="AK394" s="8">
        <f t="shared" si="7"/>
        <v>45663</v>
      </c>
    </row>
    <row r="395" spans="1:37" ht="15" customHeight="1">
      <c r="A395" s="2" t="s">
        <v>1076</v>
      </c>
      <c r="B395" s="2">
        <v>0</v>
      </c>
      <c r="C395" s="2"/>
      <c r="D395" s="2" t="s">
        <v>305</v>
      </c>
      <c r="E395" s="2" t="s">
        <v>1077</v>
      </c>
      <c r="F395" s="3">
        <v>45663</v>
      </c>
      <c r="G395" s="3">
        <v>45663</v>
      </c>
      <c r="H395" s="3">
        <v>45663</v>
      </c>
      <c r="I395" s="2"/>
      <c r="J395" s="2"/>
      <c r="K395" s="2" t="s">
        <v>25</v>
      </c>
      <c r="L395" s="2" t="s">
        <v>26</v>
      </c>
      <c r="M395" s="2"/>
      <c r="N395" s="2" t="s">
        <v>27</v>
      </c>
      <c r="O395" s="2">
        <v>2</v>
      </c>
      <c r="P395" s="2">
        <v>0.36</v>
      </c>
      <c r="Q395" s="2">
        <v>2.36</v>
      </c>
      <c r="R395" s="2">
        <v>2.36</v>
      </c>
      <c r="S395" s="2">
        <v>2.36</v>
      </c>
      <c r="T395" s="2" t="s">
        <v>28</v>
      </c>
      <c r="U395" s="2" t="b">
        <v>0</v>
      </c>
      <c r="V395" s="2" t="s">
        <v>29</v>
      </c>
      <c r="W395" s="2" t="s">
        <v>104</v>
      </c>
      <c r="X395" s="2" t="s">
        <v>105</v>
      </c>
      <c r="Y395" s="2" t="s">
        <v>1078</v>
      </c>
      <c r="Z395" s="2" t="s">
        <v>31</v>
      </c>
      <c r="AA395" s="2"/>
      <c r="AB395" s="2"/>
      <c r="AC395" s="2"/>
      <c r="AD395" s="2"/>
      <c r="AK395" s="8">
        <f t="shared" si="7"/>
        <v>45663</v>
      </c>
    </row>
    <row r="396" spans="1:37" ht="15" customHeight="1">
      <c r="A396" s="2" t="s">
        <v>1079</v>
      </c>
      <c r="B396" s="2">
        <v>0</v>
      </c>
      <c r="C396" s="2"/>
      <c r="D396" s="2" t="s">
        <v>305</v>
      </c>
      <c r="E396" s="2" t="s">
        <v>1077</v>
      </c>
      <c r="F396" s="3">
        <v>45663</v>
      </c>
      <c r="G396" s="3">
        <v>45663</v>
      </c>
      <c r="H396" s="3">
        <v>45663</v>
      </c>
      <c r="I396" s="2"/>
      <c r="J396" s="2"/>
      <c r="K396" s="2" t="s">
        <v>25</v>
      </c>
      <c r="L396" s="2" t="s">
        <v>26</v>
      </c>
      <c r="M396" s="2"/>
      <c r="N396" s="2" t="s">
        <v>27</v>
      </c>
      <c r="O396" s="2">
        <v>311.91000000000003</v>
      </c>
      <c r="P396" s="2">
        <v>56.14</v>
      </c>
      <c r="Q396" s="2">
        <v>368.05</v>
      </c>
      <c r="R396" s="2">
        <v>368.05</v>
      </c>
      <c r="S396" s="2">
        <v>368.05</v>
      </c>
      <c r="T396" s="2" t="s">
        <v>28</v>
      </c>
      <c r="U396" s="2" t="b">
        <v>0</v>
      </c>
      <c r="V396" s="2" t="s">
        <v>29</v>
      </c>
      <c r="W396" s="2" t="s">
        <v>104</v>
      </c>
      <c r="X396" s="2" t="s">
        <v>105</v>
      </c>
      <c r="Y396" s="2" t="s">
        <v>1080</v>
      </c>
      <c r="Z396" s="2" t="s">
        <v>31</v>
      </c>
      <c r="AA396" s="2"/>
      <c r="AB396" s="2"/>
      <c r="AC396" s="2"/>
      <c r="AD396" s="2"/>
      <c r="AK396" s="8">
        <f t="shared" si="7"/>
        <v>45663</v>
      </c>
    </row>
    <row r="397" spans="1:37" ht="15" customHeight="1">
      <c r="A397" s="2" t="s">
        <v>1081</v>
      </c>
      <c r="B397" s="2">
        <v>0</v>
      </c>
      <c r="C397" s="2"/>
      <c r="D397" s="2" t="s">
        <v>305</v>
      </c>
      <c r="E397" s="2" t="s">
        <v>1082</v>
      </c>
      <c r="F397" s="3">
        <v>45663</v>
      </c>
      <c r="G397" s="3">
        <v>45663</v>
      </c>
      <c r="H397" s="3">
        <v>45663</v>
      </c>
      <c r="I397" s="2"/>
      <c r="J397" s="2"/>
      <c r="K397" s="2" t="s">
        <v>25</v>
      </c>
      <c r="L397" s="2" t="s">
        <v>26</v>
      </c>
      <c r="M397" s="2"/>
      <c r="N397" s="2" t="s">
        <v>27</v>
      </c>
      <c r="O397" s="2">
        <v>2</v>
      </c>
      <c r="P397" s="2">
        <v>0.36</v>
      </c>
      <c r="Q397" s="2">
        <v>2.36</v>
      </c>
      <c r="R397" s="2">
        <v>2.36</v>
      </c>
      <c r="S397" s="2">
        <v>2.36</v>
      </c>
      <c r="T397" s="2" t="s">
        <v>28</v>
      </c>
      <c r="U397" s="2" t="b">
        <v>0</v>
      </c>
      <c r="V397" s="2" t="s">
        <v>29</v>
      </c>
      <c r="W397" s="2" t="s">
        <v>104</v>
      </c>
      <c r="X397" s="2" t="s">
        <v>105</v>
      </c>
      <c r="Y397" s="2" t="s">
        <v>1083</v>
      </c>
      <c r="Z397" s="2" t="s">
        <v>31</v>
      </c>
      <c r="AA397" s="2"/>
      <c r="AB397" s="2"/>
      <c r="AC397" s="2"/>
      <c r="AD397" s="2"/>
      <c r="AK397" s="8">
        <f t="shared" si="7"/>
        <v>45663</v>
      </c>
    </row>
    <row r="398" spans="1:37" ht="15" customHeight="1">
      <c r="A398" s="2" t="s">
        <v>1084</v>
      </c>
      <c r="B398" s="2">
        <v>0</v>
      </c>
      <c r="C398" s="2"/>
      <c r="D398" s="2" t="s">
        <v>305</v>
      </c>
      <c r="E398" s="2" t="s">
        <v>1082</v>
      </c>
      <c r="F398" s="3">
        <v>45663</v>
      </c>
      <c r="G398" s="3">
        <v>45663</v>
      </c>
      <c r="H398" s="3">
        <v>45663</v>
      </c>
      <c r="I398" s="2"/>
      <c r="J398" s="2"/>
      <c r="K398" s="2" t="s">
        <v>25</v>
      </c>
      <c r="L398" s="2" t="s">
        <v>26</v>
      </c>
      <c r="M398" s="2"/>
      <c r="N398" s="2" t="s">
        <v>27</v>
      </c>
      <c r="O398" s="2">
        <v>678.25</v>
      </c>
      <c r="P398" s="2">
        <v>122.08</v>
      </c>
      <c r="Q398" s="2">
        <v>800.33</v>
      </c>
      <c r="R398" s="2">
        <v>800.33</v>
      </c>
      <c r="S398" s="2">
        <v>800.33</v>
      </c>
      <c r="T398" s="2" t="s">
        <v>28</v>
      </c>
      <c r="U398" s="2" t="b">
        <v>0</v>
      </c>
      <c r="V398" s="2" t="s">
        <v>29</v>
      </c>
      <c r="W398" s="2" t="s">
        <v>104</v>
      </c>
      <c r="X398" s="2" t="s">
        <v>105</v>
      </c>
      <c r="Y398" s="2" t="s">
        <v>1085</v>
      </c>
      <c r="Z398" s="2" t="s">
        <v>31</v>
      </c>
      <c r="AA398" s="2"/>
      <c r="AB398" s="2"/>
      <c r="AC398" s="2"/>
      <c r="AD398" s="2"/>
      <c r="AK398" s="8">
        <f t="shared" si="7"/>
        <v>45663</v>
      </c>
    </row>
    <row r="399" spans="1:37" ht="15" customHeight="1">
      <c r="A399" s="2" t="s">
        <v>1086</v>
      </c>
      <c r="B399" s="2">
        <v>0</v>
      </c>
      <c r="C399" s="2"/>
      <c r="D399" s="2" t="s">
        <v>305</v>
      </c>
      <c r="E399" s="2" t="s">
        <v>1087</v>
      </c>
      <c r="F399" s="3">
        <v>45663</v>
      </c>
      <c r="G399" s="3">
        <v>45663</v>
      </c>
      <c r="H399" s="3">
        <v>45663</v>
      </c>
      <c r="I399" s="2"/>
      <c r="J399" s="2"/>
      <c r="K399" s="2" t="s">
        <v>25</v>
      </c>
      <c r="L399" s="2" t="s">
        <v>26</v>
      </c>
      <c r="M399" s="2"/>
      <c r="N399" s="2" t="s">
        <v>27</v>
      </c>
      <c r="O399" s="2">
        <v>100</v>
      </c>
      <c r="P399" s="2">
        <v>18</v>
      </c>
      <c r="Q399" s="2">
        <v>118</v>
      </c>
      <c r="R399" s="2">
        <v>118</v>
      </c>
      <c r="S399" s="2">
        <v>118</v>
      </c>
      <c r="T399" s="2" t="s">
        <v>28</v>
      </c>
      <c r="U399" s="2" t="b">
        <v>0</v>
      </c>
      <c r="V399" s="2" t="s">
        <v>29</v>
      </c>
      <c r="W399" s="2" t="s">
        <v>104</v>
      </c>
      <c r="X399" s="2" t="s">
        <v>105</v>
      </c>
      <c r="Y399" s="2" t="s">
        <v>1088</v>
      </c>
      <c r="Z399" s="2" t="s">
        <v>31</v>
      </c>
      <c r="AA399" s="2"/>
      <c r="AB399" s="2"/>
      <c r="AC399" s="2"/>
      <c r="AD399" s="2"/>
      <c r="AK399" s="8">
        <f t="shared" si="7"/>
        <v>45663</v>
      </c>
    </row>
    <row r="400" spans="1:37" ht="15" customHeight="1">
      <c r="A400" s="2" t="s">
        <v>1089</v>
      </c>
      <c r="B400" s="2">
        <v>0</v>
      </c>
      <c r="C400" s="2"/>
      <c r="D400" s="2" t="s">
        <v>305</v>
      </c>
      <c r="E400" s="2" t="s">
        <v>1087</v>
      </c>
      <c r="F400" s="3">
        <v>45663</v>
      </c>
      <c r="G400" s="3">
        <v>45663</v>
      </c>
      <c r="H400" s="3">
        <v>45663</v>
      </c>
      <c r="I400" s="2"/>
      <c r="J400" s="2"/>
      <c r="K400" s="2" t="s">
        <v>25</v>
      </c>
      <c r="L400" s="2" t="s">
        <v>26</v>
      </c>
      <c r="M400" s="2"/>
      <c r="N400" s="2" t="s">
        <v>27</v>
      </c>
      <c r="O400" s="2">
        <v>2836.25</v>
      </c>
      <c r="P400" s="2">
        <v>510.52</v>
      </c>
      <c r="Q400" s="2">
        <v>3346.77</v>
      </c>
      <c r="R400" s="2">
        <v>3346.77</v>
      </c>
      <c r="S400" s="2">
        <v>3346.77</v>
      </c>
      <c r="T400" s="2" t="s">
        <v>28</v>
      </c>
      <c r="U400" s="2" t="b">
        <v>0</v>
      </c>
      <c r="V400" s="2" t="s">
        <v>29</v>
      </c>
      <c r="W400" s="2" t="s">
        <v>104</v>
      </c>
      <c r="X400" s="2" t="s">
        <v>105</v>
      </c>
      <c r="Y400" s="2" t="s">
        <v>1090</v>
      </c>
      <c r="Z400" s="2" t="s">
        <v>31</v>
      </c>
      <c r="AA400" s="2"/>
      <c r="AB400" s="2"/>
      <c r="AC400" s="2"/>
      <c r="AD400" s="2"/>
      <c r="AK400" s="8">
        <f t="shared" si="7"/>
        <v>45663</v>
      </c>
    </row>
    <row r="401" spans="1:37" ht="15" customHeight="1">
      <c r="A401" s="2" t="s">
        <v>1091</v>
      </c>
      <c r="B401" s="2">
        <v>0</v>
      </c>
      <c r="C401" s="2"/>
      <c r="D401" s="2" t="s">
        <v>305</v>
      </c>
      <c r="E401" s="2" t="s">
        <v>1087</v>
      </c>
      <c r="F401" s="3">
        <v>45663</v>
      </c>
      <c r="G401" s="3">
        <v>45663</v>
      </c>
      <c r="H401" s="3">
        <v>45663</v>
      </c>
      <c r="I401" s="2"/>
      <c r="J401" s="2"/>
      <c r="K401" s="2" t="s">
        <v>25</v>
      </c>
      <c r="L401" s="2" t="s">
        <v>26</v>
      </c>
      <c r="M401" s="2"/>
      <c r="N401" s="2" t="s">
        <v>27</v>
      </c>
      <c r="O401" s="2">
        <v>2033.08</v>
      </c>
      <c r="P401" s="2">
        <v>365.96</v>
      </c>
      <c r="Q401" s="2">
        <v>2399.04</v>
      </c>
      <c r="R401" s="2">
        <v>2399.04</v>
      </c>
      <c r="S401" s="2">
        <v>2399.04</v>
      </c>
      <c r="T401" s="2" t="s">
        <v>28</v>
      </c>
      <c r="U401" s="2" t="b">
        <v>0</v>
      </c>
      <c r="V401" s="2" t="s">
        <v>29</v>
      </c>
      <c r="W401" s="2" t="s">
        <v>104</v>
      </c>
      <c r="X401" s="2" t="s">
        <v>105</v>
      </c>
      <c r="Y401" s="2" t="s">
        <v>1092</v>
      </c>
      <c r="Z401" s="2" t="s">
        <v>31</v>
      </c>
      <c r="AA401" s="2"/>
      <c r="AB401" s="2"/>
      <c r="AC401" s="2"/>
      <c r="AD401" s="2"/>
      <c r="AK401" s="8">
        <f t="shared" si="7"/>
        <v>45663</v>
      </c>
    </row>
    <row r="402" spans="1:37" ht="15" customHeight="1">
      <c r="A402" s="2" t="s">
        <v>1093</v>
      </c>
      <c r="B402" s="2">
        <v>0</v>
      </c>
      <c r="C402" s="2"/>
      <c r="D402" s="2" t="s">
        <v>305</v>
      </c>
      <c r="E402" s="2" t="s">
        <v>521</v>
      </c>
      <c r="F402" s="3">
        <v>45663</v>
      </c>
      <c r="G402" s="3">
        <v>45663</v>
      </c>
      <c r="H402" s="3">
        <v>45663</v>
      </c>
      <c r="I402" s="2"/>
      <c r="J402" s="2"/>
      <c r="K402" s="2" t="s">
        <v>25</v>
      </c>
      <c r="L402" s="2" t="s">
        <v>26</v>
      </c>
      <c r="M402" s="2"/>
      <c r="N402" s="2" t="s">
        <v>27</v>
      </c>
      <c r="O402" s="2">
        <v>222.31</v>
      </c>
      <c r="P402" s="2">
        <v>40.01</v>
      </c>
      <c r="Q402" s="2">
        <v>262.32</v>
      </c>
      <c r="R402" s="2">
        <v>262.32</v>
      </c>
      <c r="S402" s="2">
        <v>262.32</v>
      </c>
      <c r="T402" s="2" t="s">
        <v>28</v>
      </c>
      <c r="U402" s="2" t="b">
        <v>0</v>
      </c>
      <c r="V402" s="2" t="s">
        <v>29</v>
      </c>
      <c r="W402" s="2" t="s">
        <v>104</v>
      </c>
      <c r="X402" s="2" t="s">
        <v>105</v>
      </c>
      <c r="Y402" s="2" t="s">
        <v>1094</v>
      </c>
      <c r="Z402" s="2" t="s">
        <v>31</v>
      </c>
      <c r="AA402" s="2"/>
      <c r="AB402" s="2"/>
      <c r="AC402" s="2"/>
      <c r="AD402" s="2"/>
      <c r="AK402" s="8">
        <f t="shared" si="7"/>
        <v>45663</v>
      </c>
    </row>
    <row r="403" spans="1:37" ht="15" customHeight="1">
      <c r="A403" s="2" t="s">
        <v>1095</v>
      </c>
      <c r="B403" s="2">
        <v>0</v>
      </c>
      <c r="C403" s="2"/>
      <c r="D403" s="2" t="s">
        <v>305</v>
      </c>
      <c r="E403" s="2" t="s">
        <v>521</v>
      </c>
      <c r="F403" s="3">
        <v>45663</v>
      </c>
      <c r="G403" s="3">
        <v>45663</v>
      </c>
      <c r="H403" s="3">
        <v>45663</v>
      </c>
      <c r="I403" s="2"/>
      <c r="J403" s="2"/>
      <c r="K403" s="2" t="s">
        <v>25</v>
      </c>
      <c r="L403" s="2" t="s">
        <v>26</v>
      </c>
      <c r="M403" s="2"/>
      <c r="N403" s="2" t="s">
        <v>27</v>
      </c>
      <c r="O403" s="2">
        <v>133.41999999999999</v>
      </c>
      <c r="P403" s="2">
        <v>24.02</v>
      </c>
      <c r="Q403" s="2">
        <v>157.44</v>
      </c>
      <c r="R403" s="2">
        <v>157.44</v>
      </c>
      <c r="S403" s="2">
        <v>157.44</v>
      </c>
      <c r="T403" s="2" t="s">
        <v>28</v>
      </c>
      <c r="U403" s="2" t="b">
        <v>0</v>
      </c>
      <c r="V403" s="2" t="s">
        <v>29</v>
      </c>
      <c r="W403" s="2" t="s">
        <v>104</v>
      </c>
      <c r="X403" s="2" t="s">
        <v>105</v>
      </c>
      <c r="Y403" s="2" t="s">
        <v>1096</v>
      </c>
      <c r="Z403" s="2" t="s">
        <v>31</v>
      </c>
      <c r="AA403" s="2"/>
      <c r="AB403" s="2"/>
      <c r="AC403" s="2"/>
      <c r="AD403" s="2"/>
      <c r="AK403" s="8">
        <f t="shared" si="7"/>
        <v>45663</v>
      </c>
    </row>
    <row r="404" spans="1:37" ht="15" customHeight="1">
      <c r="A404" s="2" t="s">
        <v>1097</v>
      </c>
      <c r="B404" s="2">
        <v>0</v>
      </c>
      <c r="C404" s="2"/>
      <c r="D404" s="2" t="s">
        <v>305</v>
      </c>
      <c r="E404" s="2" t="s">
        <v>1098</v>
      </c>
      <c r="F404" s="3">
        <v>45663</v>
      </c>
      <c r="G404" s="3">
        <v>45663</v>
      </c>
      <c r="H404" s="3">
        <v>45663</v>
      </c>
      <c r="I404" s="2"/>
      <c r="J404" s="2"/>
      <c r="K404" s="2" t="s">
        <v>25</v>
      </c>
      <c r="L404" s="2" t="s">
        <v>26</v>
      </c>
      <c r="M404" s="2"/>
      <c r="N404" s="2" t="s">
        <v>27</v>
      </c>
      <c r="O404" s="2">
        <v>21.61</v>
      </c>
      <c r="P404" s="2">
        <v>3.89</v>
      </c>
      <c r="Q404" s="2">
        <v>25.5</v>
      </c>
      <c r="R404" s="2">
        <v>25.5</v>
      </c>
      <c r="S404" s="2">
        <v>25.5</v>
      </c>
      <c r="T404" s="2" t="s">
        <v>28</v>
      </c>
      <c r="U404" s="2" t="b">
        <v>0</v>
      </c>
      <c r="V404" s="2" t="s">
        <v>29</v>
      </c>
      <c r="W404" s="2" t="s">
        <v>104</v>
      </c>
      <c r="X404" s="2" t="s">
        <v>105</v>
      </c>
      <c r="Y404" s="2" t="s">
        <v>1099</v>
      </c>
      <c r="Z404" s="2" t="s">
        <v>31</v>
      </c>
      <c r="AA404" s="2"/>
      <c r="AB404" s="2"/>
      <c r="AC404" s="2"/>
      <c r="AD404" s="2"/>
      <c r="AK404" s="8">
        <f t="shared" si="7"/>
        <v>45663</v>
      </c>
    </row>
    <row r="405" spans="1:37" ht="15" customHeight="1">
      <c r="A405" s="2" t="s">
        <v>1100</v>
      </c>
      <c r="B405" s="2">
        <v>0</v>
      </c>
      <c r="C405" s="2"/>
      <c r="D405" s="2" t="s">
        <v>305</v>
      </c>
      <c r="E405" s="2" t="s">
        <v>1098</v>
      </c>
      <c r="F405" s="3">
        <v>45663</v>
      </c>
      <c r="G405" s="3">
        <v>45663</v>
      </c>
      <c r="H405" s="3">
        <v>45663</v>
      </c>
      <c r="I405" s="2"/>
      <c r="J405" s="2"/>
      <c r="K405" s="2" t="s">
        <v>25</v>
      </c>
      <c r="L405" s="2" t="s">
        <v>26</v>
      </c>
      <c r="M405" s="2"/>
      <c r="N405" s="2" t="s">
        <v>27</v>
      </c>
      <c r="O405" s="2">
        <v>15.25</v>
      </c>
      <c r="P405" s="2">
        <v>2.75</v>
      </c>
      <c r="Q405" s="2">
        <v>18</v>
      </c>
      <c r="R405" s="2">
        <v>18</v>
      </c>
      <c r="S405" s="2">
        <v>18</v>
      </c>
      <c r="T405" s="2" t="s">
        <v>28</v>
      </c>
      <c r="U405" s="2" t="b">
        <v>0</v>
      </c>
      <c r="V405" s="2" t="s">
        <v>29</v>
      </c>
      <c r="W405" s="2" t="s">
        <v>104</v>
      </c>
      <c r="X405" s="2" t="s">
        <v>105</v>
      </c>
      <c r="Y405" s="2" t="s">
        <v>1101</v>
      </c>
      <c r="Z405" s="2" t="s">
        <v>31</v>
      </c>
      <c r="AA405" s="2"/>
      <c r="AB405" s="2"/>
      <c r="AC405" s="2"/>
      <c r="AD405" s="2"/>
      <c r="AK405" s="8">
        <f t="shared" si="7"/>
        <v>45663</v>
      </c>
    </row>
    <row r="406" spans="1:37" ht="15" customHeight="1">
      <c r="A406" s="2" t="s">
        <v>1102</v>
      </c>
      <c r="B406" s="2">
        <v>0</v>
      </c>
      <c r="C406" s="2"/>
      <c r="D406" s="2" t="s">
        <v>305</v>
      </c>
      <c r="E406" s="2" t="s">
        <v>1103</v>
      </c>
      <c r="F406" s="3">
        <v>45663</v>
      </c>
      <c r="G406" s="3">
        <v>45663</v>
      </c>
      <c r="H406" s="3">
        <v>45663</v>
      </c>
      <c r="I406" s="2"/>
      <c r="J406" s="2"/>
      <c r="K406" s="2" t="s">
        <v>25</v>
      </c>
      <c r="L406" s="2" t="s">
        <v>26</v>
      </c>
      <c r="M406" s="2"/>
      <c r="N406" s="2" t="s">
        <v>27</v>
      </c>
      <c r="O406" s="2">
        <v>109.06</v>
      </c>
      <c r="P406" s="2">
        <v>19.63</v>
      </c>
      <c r="Q406" s="2">
        <v>128.69</v>
      </c>
      <c r="R406" s="2">
        <v>128.69</v>
      </c>
      <c r="S406" s="2">
        <v>128.69</v>
      </c>
      <c r="T406" s="2" t="s">
        <v>28</v>
      </c>
      <c r="U406" s="2" t="b">
        <v>0</v>
      </c>
      <c r="V406" s="2" t="s">
        <v>29</v>
      </c>
      <c r="W406" s="2" t="s">
        <v>104</v>
      </c>
      <c r="X406" s="2" t="s">
        <v>105</v>
      </c>
      <c r="Y406" s="2" t="s">
        <v>1104</v>
      </c>
      <c r="Z406" s="2" t="s">
        <v>31</v>
      </c>
      <c r="AA406" s="2"/>
      <c r="AB406" s="2"/>
      <c r="AC406" s="2"/>
      <c r="AD406" s="2"/>
      <c r="AK406" s="8">
        <f t="shared" si="7"/>
        <v>45663</v>
      </c>
    </row>
    <row r="407" spans="1:37" ht="15" customHeight="1">
      <c r="A407" s="2" t="s">
        <v>1105</v>
      </c>
      <c r="B407" s="2">
        <v>0</v>
      </c>
      <c r="C407" s="2"/>
      <c r="D407" s="2" t="s">
        <v>305</v>
      </c>
      <c r="E407" s="2" t="s">
        <v>1103</v>
      </c>
      <c r="F407" s="3">
        <v>45663</v>
      </c>
      <c r="G407" s="3">
        <v>45663</v>
      </c>
      <c r="H407" s="3">
        <v>45663</v>
      </c>
      <c r="I407" s="2"/>
      <c r="J407" s="2"/>
      <c r="K407" s="2" t="s">
        <v>25</v>
      </c>
      <c r="L407" s="2" t="s">
        <v>26</v>
      </c>
      <c r="M407" s="2"/>
      <c r="N407" s="2" t="s">
        <v>27</v>
      </c>
      <c r="O407" s="2">
        <v>182.75</v>
      </c>
      <c r="P407" s="2">
        <v>32.89</v>
      </c>
      <c r="Q407" s="2">
        <v>215.64</v>
      </c>
      <c r="R407" s="2">
        <v>215.64</v>
      </c>
      <c r="S407" s="2">
        <v>215.64</v>
      </c>
      <c r="T407" s="2" t="s">
        <v>28</v>
      </c>
      <c r="U407" s="2" t="b">
        <v>0</v>
      </c>
      <c r="V407" s="2" t="s">
        <v>29</v>
      </c>
      <c r="W407" s="2" t="s">
        <v>104</v>
      </c>
      <c r="X407" s="2" t="s">
        <v>105</v>
      </c>
      <c r="Y407" s="2" t="s">
        <v>1106</v>
      </c>
      <c r="Z407" s="2" t="s">
        <v>31</v>
      </c>
      <c r="AA407" s="2"/>
      <c r="AB407" s="2"/>
      <c r="AC407" s="2"/>
      <c r="AD407" s="2"/>
      <c r="AK407" s="8">
        <f t="shared" si="7"/>
        <v>45663</v>
      </c>
    </row>
    <row r="408" spans="1:37" ht="15" customHeight="1">
      <c r="A408" s="2" t="s">
        <v>1107</v>
      </c>
      <c r="B408" s="2">
        <v>0</v>
      </c>
      <c r="C408" s="2"/>
      <c r="D408" s="2" t="s">
        <v>305</v>
      </c>
      <c r="E408" s="2" t="s">
        <v>431</v>
      </c>
      <c r="F408" s="3">
        <v>45663</v>
      </c>
      <c r="G408" s="3">
        <v>45663</v>
      </c>
      <c r="H408" s="3">
        <v>45663</v>
      </c>
      <c r="I408" s="2"/>
      <c r="J408" s="2"/>
      <c r="K408" s="2" t="s">
        <v>25</v>
      </c>
      <c r="L408" s="2" t="s">
        <v>26</v>
      </c>
      <c r="M408" s="2"/>
      <c r="N408" s="2" t="s">
        <v>27</v>
      </c>
      <c r="O408" s="2">
        <v>8.5</v>
      </c>
      <c r="P408" s="2">
        <v>1.53</v>
      </c>
      <c r="Q408" s="2">
        <v>10.029999999999999</v>
      </c>
      <c r="R408" s="2">
        <v>10.029999999999999</v>
      </c>
      <c r="S408" s="2">
        <v>10.029999999999999</v>
      </c>
      <c r="T408" s="2" t="s">
        <v>28</v>
      </c>
      <c r="U408" s="2" t="b">
        <v>0</v>
      </c>
      <c r="V408" s="2" t="s">
        <v>29</v>
      </c>
      <c r="W408" s="2" t="s">
        <v>104</v>
      </c>
      <c r="X408" s="2" t="s">
        <v>105</v>
      </c>
      <c r="Y408" s="2" t="s">
        <v>1108</v>
      </c>
      <c r="Z408" s="2" t="s">
        <v>31</v>
      </c>
      <c r="AA408" s="2"/>
      <c r="AB408" s="2"/>
      <c r="AC408" s="2"/>
      <c r="AD408" s="2"/>
      <c r="AK408" s="8">
        <f t="shared" si="7"/>
        <v>45663</v>
      </c>
    </row>
    <row r="409" spans="1:37" ht="15" customHeight="1">
      <c r="A409" s="2" t="s">
        <v>1109</v>
      </c>
      <c r="B409" s="2">
        <v>0</v>
      </c>
      <c r="C409" s="2"/>
      <c r="D409" s="2" t="s">
        <v>305</v>
      </c>
      <c r="E409" s="2" t="s">
        <v>431</v>
      </c>
      <c r="F409" s="3">
        <v>45663</v>
      </c>
      <c r="G409" s="3">
        <v>45663</v>
      </c>
      <c r="H409" s="3">
        <v>45663</v>
      </c>
      <c r="I409" s="2"/>
      <c r="J409" s="2"/>
      <c r="K409" s="2" t="s">
        <v>25</v>
      </c>
      <c r="L409" s="2" t="s">
        <v>26</v>
      </c>
      <c r="M409" s="2"/>
      <c r="N409" s="2" t="s">
        <v>27</v>
      </c>
      <c r="O409" s="2">
        <v>1000</v>
      </c>
      <c r="P409" s="2">
        <v>180</v>
      </c>
      <c r="Q409" s="2">
        <v>1180</v>
      </c>
      <c r="R409" s="2">
        <v>1180</v>
      </c>
      <c r="S409" s="2">
        <v>1180</v>
      </c>
      <c r="T409" s="2" t="s">
        <v>28</v>
      </c>
      <c r="U409" s="2" t="b">
        <v>0</v>
      </c>
      <c r="V409" s="2" t="s">
        <v>29</v>
      </c>
      <c r="W409" s="2" t="s">
        <v>104</v>
      </c>
      <c r="X409" s="2" t="s">
        <v>105</v>
      </c>
      <c r="Y409" s="2" t="s">
        <v>1110</v>
      </c>
      <c r="Z409" s="2" t="s">
        <v>31</v>
      </c>
      <c r="AA409" s="2"/>
      <c r="AB409" s="2"/>
      <c r="AC409" s="2"/>
      <c r="AD409" s="2"/>
      <c r="AK409" s="8">
        <f t="shared" si="7"/>
        <v>45663</v>
      </c>
    </row>
    <row r="410" spans="1:37" ht="15" customHeight="1">
      <c r="A410" s="2" t="s">
        <v>1111</v>
      </c>
      <c r="B410" s="2">
        <v>0</v>
      </c>
      <c r="C410" s="2"/>
      <c r="D410" s="2" t="s">
        <v>305</v>
      </c>
      <c r="E410" s="2" t="s">
        <v>431</v>
      </c>
      <c r="F410" s="3">
        <v>45663</v>
      </c>
      <c r="G410" s="3">
        <v>45663</v>
      </c>
      <c r="H410" s="3">
        <v>45663</v>
      </c>
      <c r="I410" s="2"/>
      <c r="J410" s="2"/>
      <c r="K410" s="2" t="s">
        <v>25</v>
      </c>
      <c r="L410" s="2" t="s">
        <v>26</v>
      </c>
      <c r="M410" s="2"/>
      <c r="N410" s="2" t="s">
        <v>27</v>
      </c>
      <c r="O410" s="2">
        <v>750</v>
      </c>
      <c r="P410" s="2">
        <v>135</v>
      </c>
      <c r="Q410" s="2">
        <v>885</v>
      </c>
      <c r="R410" s="2">
        <v>885</v>
      </c>
      <c r="S410" s="2">
        <v>885</v>
      </c>
      <c r="T410" s="2" t="s">
        <v>28</v>
      </c>
      <c r="U410" s="2" t="b">
        <v>0</v>
      </c>
      <c r="V410" s="2" t="s">
        <v>29</v>
      </c>
      <c r="W410" s="2" t="s">
        <v>104</v>
      </c>
      <c r="X410" s="2" t="s">
        <v>105</v>
      </c>
      <c r="Y410" s="2" t="s">
        <v>1112</v>
      </c>
      <c r="Z410" s="2" t="s">
        <v>31</v>
      </c>
      <c r="AA410" s="2"/>
      <c r="AB410" s="2"/>
      <c r="AC410" s="2"/>
      <c r="AD410" s="2"/>
      <c r="AK410" s="8">
        <f t="shared" si="7"/>
        <v>45663</v>
      </c>
    </row>
    <row r="411" spans="1:37" ht="15" customHeight="1">
      <c r="A411" s="2" t="s">
        <v>1113</v>
      </c>
      <c r="B411" s="2">
        <v>0</v>
      </c>
      <c r="C411" s="2"/>
      <c r="D411" s="2" t="s">
        <v>305</v>
      </c>
      <c r="E411" s="2" t="s">
        <v>431</v>
      </c>
      <c r="F411" s="3">
        <v>45663</v>
      </c>
      <c r="G411" s="3">
        <v>45663</v>
      </c>
      <c r="H411" s="3">
        <v>45663</v>
      </c>
      <c r="I411" s="2"/>
      <c r="J411" s="2"/>
      <c r="K411" s="2" t="s">
        <v>25</v>
      </c>
      <c r="L411" s="2" t="s">
        <v>26</v>
      </c>
      <c r="M411" s="2"/>
      <c r="N411" s="2" t="s">
        <v>27</v>
      </c>
      <c r="O411" s="2">
        <v>1500</v>
      </c>
      <c r="P411" s="2">
        <v>270</v>
      </c>
      <c r="Q411" s="2">
        <v>1770</v>
      </c>
      <c r="R411" s="2">
        <v>1770</v>
      </c>
      <c r="S411" s="2">
        <v>1770</v>
      </c>
      <c r="T411" s="2" t="s">
        <v>28</v>
      </c>
      <c r="U411" s="2" t="b">
        <v>0</v>
      </c>
      <c r="V411" s="2" t="s">
        <v>29</v>
      </c>
      <c r="W411" s="2" t="s">
        <v>104</v>
      </c>
      <c r="X411" s="2" t="s">
        <v>105</v>
      </c>
      <c r="Y411" s="2" t="s">
        <v>1114</v>
      </c>
      <c r="Z411" s="2" t="s">
        <v>31</v>
      </c>
      <c r="AA411" s="2"/>
      <c r="AB411" s="2"/>
      <c r="AC411" s="2"/>
      <c r="AD411" s="2"/>
      <c r="AK411" s="8">
        <f t="shared" si="7"/>
        <v>45663</v>
      </c>
    </row>
    <row r="412" spans="1:37" ht="15" customHeight="1">
      <c r="A412" s="2" t="s">
        <v>1115</v>
      </c>
      <c r="B412" s="2">
        <v>0</v>
      </c>
      <c r="C412" s="2"/>
      <c r="D412" s="2" t="s">
        <v>305</v>
      </c>
      <c r="E412" s="2" t="s">
        <v>431</v>
      </c>
      <c r="F412" s="3">
        <v>45663</v>
      </c>
      <c r="G412" s="3">
        <v>45663</v>
      </c>
      <c r="H412" s="3">
        <v>45663</v>
      </c>
      <c r="I412" s="2"/>
      <c r="J412" s="2"/>
      <c r="K412" s="2" t="s">
        <v>25</v>
      </c>
      <c r="L412" s="2" t="s">
        <v>26</v>
      </c>
      <c r="M412" s="2"/>
      <c r="N412" s="2" t="s">
        <v>27</v>
      </c>
      <c r="O412" s="2">
        <v>2915</v>
      </c>
      <c r="P412" s="2">
        <v>524.70000000000005</v>
      </c>
      <c r="Q412" s="2">
        <v>3439.7</v>
      </c>
      <c r="R412" s="2">
        <v>3439.7</v>
      </c>
      <c r="S412" s="2">
        <v>3439.7</v>
      </c>
      <c r="T412" s="2" t="s">
        <v>28</v>
      </c>
      <c r="U412" s="2" t="b">
        <v>0</v>
      </c>
      <c r="V412" s="2" t="s">
        <v>29</v>
      </c>
      <c r="W412" s="2" t="s">
        <v>104</v>
      </c>
      <c r="X412" s="2" t="s">
        <v>105</v>
      </c>
      <c r="Y412" s="2" t="s">
        <v>1116</v>
      </c>
      <c r="Z412" s="2" t="s">
        <v>31</v>
      </c>
      <c r="AA412" s="2"/>
      <c r="AB412" s="2"/>
      <c r="AC412" s="2"/>
      <c r="AD412" s="2"/>
      <c r="AK412" s="8">
        <f t="shared" si="7"/>
        <v>45663</v>
      </c>
    </row>
    <row r="413" spans="1:37" ht="15" customHeight="1">
      <c r="A413" s="2" t="s">
        <v>1117</v>
      </c>
      <c r="B413" s="2">
        <v>0</v>
      </c>
      <c r="C413" s="2"/>
      <c r="D413" s="2" t="s">
        <v>305</v>
      </c>
      <c r="E413" s="2" t="s">
        <v>431</v>
      </c>
      <c r="F413" s="3">
        <v>45663</v>
      </c>
      <c r="G413" s="3">
        <v>45663</v>
      </c>
      <c r="H413" s="3">
        <v>45663</v>
      </c>
      <c r="I413" s="2"/>
      <c r="J413" s="2"/>
      <c r="K413" s="2" t="s">
        <v>25</v>
      </c>
      <c r="L413" s="2" t="s">
        <v>26</v>
      </c>
      <c r="M413" s="2"/>
      <c r="N413" s="2" t="s">
        <v>27</v>
      </c>
      <c r="O413" s="2">
        <v>1759.92</v>
      </c>
      <c r="P413" s="2">
        <v>316.77999999999997</v>
      </c>
      <c r="Q413" s="2">
        <v>2076.6999999999998</v>
      </c>
      <c r="R413" s="2">
        <v>2076.6999999999998</v>
      </c>
      <c r="S413" s="2">
        <v>2076.6999999999998</v>
      </c>
      <c r="T413" s="2" t="s">
        <v>28</v>
      </c>
      <c r="U413" s="2" t="b">
        <v>0</v>
      </c>
      <c r="V413" s="2" t="s">
        <v>29</v>
      </c>
      <c r="W413" s="2" t="s">
        <v>104</v>
      </c>
      <c r="X413" s="2" t="s">
        <v>105</v>
      </c>
      <c r="Y413" s="2" t="s">
        <v>1118</v>
      </c>
      <c r="Z413" s="2" t="s">
        <v>31</v>
      </c>
      <c r="AA413" s="2"/>
      <c r="AB413" s="2"/>
      <c r="AC413" s="2"/>
      <c r="AD413" s="2"/>
      <c r="AK413" s="8">
        <f t="shared" si="7"/>
        <v>45663</v>
      </c>
    </row>
    <row r="414" spans="1:37" ht="15" customHeight="1">
      <c r="A414" s="2" t="s">
        <v>1119</v>
      </c>
      <c r="B414" s="2">
        <v>0</v>
      </c>
      <c r="C414" s="2"/>
      <c r="D414" s="2" t="s">
        <v>305</v>
      </c>
      <c r="E414" s="2" t="s">
        <v>459</v>
      </c>
      <c r="F414" s="3">
        <v>45663</v>
      </c>
      <c r="G414" s="3">
        <v>45663</v>
      </c>
      <c r="H414" s="3">
        <v>45663</v>
      </c>
      <c r="I414" s="2"/>
      <c r="J414" s="2"/>
      <c r="K414" s="2" t="s">
        <v>25</v>
      </c>
      <c r="L414" s="2" t="s">
        <v>26</v>
      </c>
      <c r="M414" s="2"/>
      <c r="N414" s="2" t="s">
        <v>27</v>
      </c>
      <c r="O414" s="2">
        <v>170.76</v>
      </c>
      <c r="P414" s="2">
        <v>30.74</v>
      </c>
      <c r="Q414" s="2">
        <v>201.5</v>
      </c>
      <c r="R414" s="2">
        <v>201.5</v>
      </c>
      <c r="S414" s="2">
        <v>201.5</v>
      </c>
      <c r="T414" s="2" t="s">
        <v>28</v>
      </c>
      <c r="U414" s="2" t="b">
        <v>0</v>
      </c>
      <c r="V414" s="2" t="s">
        <v>29</v>
      </c>
      <c r="W414" s="2" t="s">
        <v>104</v>
      </c>
      <c r="X414" s="2" t="s">
        <v>105</v>
      </c>
      <c r="Y414" s="2" t="s">
        <v>1120</v>
      </c>
      <c r="Z414" s="2" t="s">
        <v>31</v>
      </c>
      <c r="AA414" s="2"/>
      <c r="AB414" s="2"/>
      <c r="AC414" s="2"/>
      <c r="AD414" s="2"/>
      <c r="AK414" s="8">
        <f t="shared" si="7"/>
        <v>45663</v>
      </c>
    </row>
    <row r="415" spans="1:37" ht="15" customHeight="1">
      <c r="A415" s="2" t="s">
        <v>1121</v>
      </c>
      <c r="B415" s="2">
        <v>0</v>
      </c>
      <c r="C415" s="2"/>
      <c r="D415" s="2" t="s">
        <v>305</v>
      </c>
      <c r="E415" s="2" t="s">
        <v>459</v>
      </c>
      <c r="F415" s="3">
        <v>45663</v>
      </c>
      <c r="G415" s="3">
        <v>45663</v>
      </c>
      <c r="H415" s="3">
        <v>45663</v>
      </c>
      <c r="I415" s="2"/>
      <c r="J415" s="2"/>
      <c r="K415" s="2" t="s">
        <v>25</v>
      </c>
      <c r="L415" s="2" t="s">
        <v>26</v>
      </c>
      <c r="M415" s="2"/>
      <c r="N415" s="2" t="s">
        <v>27</v>
      </c>
      <c r="O415" s="2">
        <v>102.29</v>
      </c>
      <c r="P415" s="2">
        <v>18.41</v>
      </c>
      <c r="Q415" s="2">
        <v>120.7</v>
      </c>
      <c r="R415" s="2">
        <v>120.7</v>
      </c>
      <c r="S415" s="2">
        <v>120.7</v>
      </c>
      <c r="T415" s="2" t="s">
        <v>28</v>
      </c>
      <c r="U415" s="2" t="b">
        <v>0</v>
      </c>
      <c r="V415" s="2" t="s">
        <v>29</v>
      </c>
      <c r="W415" s="2" t="s">
        <v>104</v>
      </c>
      <c r="X415" s="2" t="s">
        <v>105</v>
      </c>
      <c r="Y415" s="2" t="s">
        <v>1122</v>
      </c>
      <c r="Z415" s="2" t="s">
        <v>31</v>
      </c>
      <c r="AA415" s="2"/>
      <c r="AB415" s="2"/>
      <c r="AC415" s="2"/>
      <c r="AD415" s="2"/>
      <c r="AK415" s="8">
        <f t="shared" si="7"/>
        <v>45663</v>
      </c>
    </row>
    <row r="416" spans="1:37" ht="15" customHeight="1">
      <c r="A416" s="2" t="s">
        <v>1123</v>
      </c>
      <c r="B416" s="2">
        <v>0</v>
      </c>
      <c r="C416" s="2"/>
      <c r="D416" s="2" t="s">
        <v>305</v>
      </c>
      <c r="E416" s="2" t="s">
        <v>1124</v>
      </c>
      <c r="F416" s="3">
        <v>45663</v>
      </c>
      <c r="G416" s="3">
        <v>45663</v>
      </c>
      <c r="H416" s="3">
        <v>45663</v>
      </c>
      <c r="I416" s="2"/>
      <c r="J416" s="2"/>
      <c r="K416" s="2" t="s">
        <v>25</v>
      </c>
      <c r="L416" s="2" t="s">
        <v>26</v>
      </c>
      <c r="M416" s="2"/>
      <c r="N416" s="2" t="s">
        <v>27</v>
      </c>
      <c r="O416" s="2">
        <v>75.680000000000007</v>
      </c>
      <c r="P416" s="2">
        <v>13.62</v>
      </c>
      <c r="Q416" s="2">
        <v>89.3</v>
      </c>
      <c r="R416" s="2">
        <v>89.3</v>
      </c>
      <c r="S416" s="2">
        <v>89.3</v>
      </c>
      <c r="T416" s="2" t="s">
        <v>28</v>
      </c>
      <c r="U416" s="2" t="b">
        <v>0</v>
      </c>
      <c r="V416" s="2" t="s">
        <v>29</v>
      </c>
      <c r="W416" s="2" t="s">
        <v>104</v>
      </c>
      <c r="X416" s="2" t="s">
        <v>105</v>
      </c>
      <c r="Y416" s="2" t="s">
        <v>1125</v>
      </c>
      <c r="Z416" s="2" t="s">
        <v>31</v>
      </c>
      <c r="AA416" s="2"/>
      <c r="AB416" s="2"/>
      <c r="AC416" s="2"/>
      <c r="AD416" s="2"/>
      <c r="AK416" s="8">
        <f t="shared" si="7"/>
        <v>45663</v>
      </c>
    </row>
    <row r="417" spans="1:37" ht="15" customHeight="1">
      <c r="A417" s="2" t="s">
        <v>1126</v>
      </c>
      <c r="B417" s="2">
        <v>0</v>
      </c>
      <c r="C417" s="2"/>
      <c r="D417" s="2" t="s">
        <v>305</v>
      </c>
      <c r="E417" s="2" t="s">
        <v>1124</v>
      </c>
      <c r="F417" s="3">
        <v>45663</v>
      </c>
      <c r="G417" s="3">
        <v>45663</v>
      </c>
      <c r="H417" s="3">
        <v>45663</v>
      </c>
      <c r="I417" s="2"/>
      <c r="J417" s="2"/>
      <c r="K417" s="2" t="s">
        <v>25</v>
      </c>
      <c r="L417" s="2" t="s">
        <v>26</v>
      </c>
      <c r="M417" s="2"/>
      <c r="N417" s="2" t="s">
        <v>27</v>
      </c>
      <c r="O417" s="2">
        <v>43.22</v>
      </c>
      <c r="P417" s="2">
        <v>7.78</v>
      </c>
      <c r="Q417" s="2">
        <v>51</v>
      </c>
      <c r="R417" s="2">
        <v>51</v>
      </c>
      <c r="S417" s="2">
        <v>51</v>
      </c>
      <c r="T417" s="2" t="s">
        <v>28</v>
      </c>
      <c r="U417" s="2" t="b">
        <v>0</v>
      </c>
      <c r="V417" s="2" t="s">
        <v>29</v>
      </c>
      <c r="W417" s="2" t="s">
        <v>104</v>
      </c>
      <c r="X417" s="2" t="s">
        <v>105</v>
      </c>
      <c r="Y417" s="2" t="s">
        <v>1127</v>
      </c>
      <c r="Z417" s="2" t="s">
        <v>31</v>
      </c>
      <c r="AA417" s="2"/>
      <c r="AB417" s="2"/>
      <c r="AC417" s="2"/>
      <c r="AD417" s="2"/>
      <c r="AK417" s="8">
        <f t="shared" si="7"/>
        <v>45663</v>
      </c>
    </row>
    <row r="418" spans="1:37" ht="15" customHeight="1">
      <c r="A418" s="2" t="s">
        <v>1128</v>
      </c>
      <c r="B418" s="2">
        <v>0</v>
      </c>
      <c r="C418" s="2"/>
      <c r="D418" s="2" t="s">
        <v>305</v>
      </c>
      <c r="E418" s="2" t="s">
        <v>497</v>
      </c>
      <c r="F418" s="3">
        <v>45663</v>
      </c>
      <c r="G418" s="3">
        <v>45663</v>
      </c>
      <c r="H418" s="3">
        <v>45663</v>
      </c>
      <c r="I418" s="2"/>
      <c r="J418" s="2"/>
      <c r="K418" s="2" t="s">
        <v>25</v>
      </c>
      <c r="L418" s="2" t="s">
        <v>26</v>
      </c>
      <c r="M418" s="2"/>
      <c r="N418" s="2" t="s">
        <v>27</v>
      </c>
      <c r="O418" s="2">
        <v>58.39</v>
      </c>
      <c r="P418" s="2">
        <v>10.51</v>
      </c>
      <c r="Q418" s="2">
        <v>68.900000000000006</v>
      </c>
      <c r="R418" s="2">
        <v>68.900000000000006</v>
      </c>
      <c r="S418" s="2">
        <v>68.900000000000006</v>
      </c>
      <c r="T418" s="2" t="s">
        <v>28</v>
      </c>
      <c r="U418" s="2" t="b">
        <v>0</v>
      </c>
      <c r="V418" s="2" t="s">
        <v>29</v>
      </c>
      <c r="W418" s="2" t="s">
        <v>104</v>
      </c>
      <c r="X418" s="2" t="s">
        <v>105</v>
      </c>
      <c r="Y418" s="2" t="s">
        <v>1129</v>
      </c>
      <c r="Z418" s="2" t="s">
        <v>31</v>
      </c>
      <c r="AA418" s="2"/>
      <c r="AB418" s="2"/>
      <c r="AC418" s="2"/>
      <c r="AD418" s="2"/>
      <c r="AK418" s="8">
        <f t="shared" si="7"/>
        <v>45663</v>
      </c>
    </row>
    <row r="419" spans="1:37" ht="15" customHeight="1">
      <c r="A419" s="2" t="s">
        <v>1130</v>
      </c>
      <c r="B419" s="2">
        <v>0</v>
      </c>
      <c r="C419" s="2"/>
      <c r="D419" s="2" t="s">
        <v>305</v>
      </c>
      <c r="E419" s="2" t="s">
        <v>497</v>
      </c>
      <c r="F419" s="3">
        <v>45663</v>
      </c>
      <c r="G419" s="3">
        <v>45663</v>
      </c>
      <c r="H419" s="3">
        <v>45663</v>
      </c>
      <c r="I419" s="2"/>
      <c r="J419" s="2"/>
      <c r="K419" s="2" t="s">
        <v>25</v>
      </c>
      <c r="L419" s="2" t="s">
        <v>26</v>
      </c>
      <c r="M419" s="2"/>
      <c r="N419" s="2" t="s">
        <v>27</v>
      </c>
      <c r="O419" s="2">
        <v>38.81</v>
      </c>
      <c r="P419" s="2">
        <v>6.99</v>
      </c>
      <c r="Q419" s="2">
        <v>45.8</v>
      </c>
      <c r="R419" s="2">
        <v>45.8</v>
      </c>
      <c r="S419" s="2">
        <v>45.8</v>
      </c>
      <c r="T419" s="2" t="s">
        <v>28</v>
      </c>
      <c r="U419" s="2" t="b">
        <v>0</v>
      </c>
      <c r="V419" s="2" t="s">
        <v>29</v>
      </c>
      <c r="W419" s="2" t="s">
        <v>104</v>
      </c>
      <c r="X419" s="2" t="s">
        <v>105</v>
      </c>
      <c r="Y419" s="2" t="s">
        <v>1131</v>
      </c>
      <c r="Z419" s="2" t="s">
        <v>31</v>
      </c>
      <c r="AA419" s="2"/>
      <c r="AB419" s="2"/>
      <c r="AC419" s="2"/>
      <c r="AD419" s="2"/>
      <c r="AK419" s="8">
        <f t="shared" si="7"/>
        <v>45663</v>
      </c>
    </row>
    <row r="420" spans="1:37" ht="15" customHeight="1">
      <c r="A420" s="2" t="s">
        <v>1132</v>
      </c>
      <c r="B420" s="2">
        <v>0</v>
      </c>
      <c r="C420" s="2"/>
      <c r="D420" s="2" t="s">
        <v>305</v>
      </c>
      <c r="E420" s="2" t="s">
        <v>1133</v>
      </c>
      <c r="F420" s="3">
        <v>45663</v>
      </c>
      <c r="G420" s="3">
        <v>45663</v>
      </c>
      <c r="H420" s="3">
        <v>45663</v>
      </c>
      <c r="I420" s="2"/>
      <c r="J420" s="2"/>
      <c r="K420" s="2" t="s">
        <v>25</v>
      </c>
      <c r="L420" s="2" t="s">
        <v>26</v>
      </c>
      <c r="M420" s="2"/>
      <c r="N420" s="2" t="s">
        <v>27</v>
      </c>
      <c r="O420" s="2">
        <v>11.53</v>
      </c>
      <c r="P420" s="2">
        <v>2.0699999999999998</v>
      </c>
      <c r="Q420" s="2">
        <v>13.6</v>
      </c>
      <c r="R420" s="2">
        <v>13.6</v>
      </c>
      <c r="S420" s="2">
        <v>13.6</v>
      </c>
      <c r="T420" s="2" t="s">
        <v>28</v>
      </c>
      <c r="U420" s="2" t="b">
        <v>0</v>
      </c>
      <c r="V420" s="2" t="s">
        <v>29</v>
      </c>
      <c r="W420" s="2" t="s">
        <v>104</v>
      </c>
      <c r="X420" s="2" t="s">
        <v>105</v>
      </c>
      <c r="Y420" s="2" t="s">
        <v>1134</v>
      </c>
      <c r="Z420" s="2" t="s">
        <v>31</v>
      </c>
      <c r="AA420" s="2"/>
      <c r="AB420" s="2"/>
      <c r="AC420" s="2"/>
      <c r="AD420" s="2"/>
      <c r="AK420" s="8">
        <f t="shared" si="7"/>
        <v>45663</v>
      </c>
    </row>
    <row r="421" spans="1:37" ht="15" customHeight="1">
      <c r="A421" s="2" t="s">
        <v>1135</v>
      </c>
      <c r="B421" s="2">
        <v>0</v>
      </c>
      <c r="C421" s="2"/>
      <c r="D421" s="2" t="s">
        <v>305</v>
      </c>
      <c r="E421" s="2" t="s">
        <v>1133</v>
      </c>
      <c r="F421" s="3">
        <v>45663</v>
      </c>
      <c r="G421" s="3">
        <v>45663</v>
      </c>
      <c r="H421" s="3">
        <v>45663</v>
      </c>
      <c r="I421" s="2"/>
      <c r="J421" s="2"/>
      <c r="K421" s="2" t="s">
        <v>25</v>
      </c>
      <c r="L421" s="2" t="s">
        <v>26</v>
      </c>
      <c r="M421" s="2"/>
      <c r="N421" s="2" t="s">
        <v>27</v>
      </c>
      <c r="O421" s="2">
        <v>8.14</v>
      </c>
      <c r="P421" s="2">
        <v>1.46</v>
      </c>
      <c r="Q421" s="2">
        <v>9.6</v>
      </c>
      <c r="R421" s="2">
        <v>9.6</v>
      </c>
      <c r="S421" s="2">
        <v>9.6</v>
      </c>
      <c r="T421" s="2" t="s">
        <v>28</v>
      </c>
      <c r="U421" s="2" t="b">
        <v>0</v>
      </c>
      <c r="V421" s="2" t="s">
        <v>29</v>
      </c>
      <c r="W421" s="2" t="s">
        <v>104</v>
      </c>
      <c r="X421" s="2" t="s">
        <v>105</v>
      </c>
      <c r="Y421" s="2" t="s">
        <v>1136</v>
      </c>
      <c r="Z421" s="2" t="s">
        <v>31</v>
      </c>
      <c r="AA421" s="2"/>
      <c r="AB421" s="2"/>
      <c r="AC421" s="2"/>
      <c r="AD421" s="2"/>
      <c r="AK421" s="8">
        <f t="shared" si="7"/>
        <v>45663</v>
      </c>
    </row>
    <row r="422" spans="1:37" ht="15" customHeight="1">
      <c r="A422" s="2" t="s">
        <v>1137</v>
      </c>
      <c r="B422" s="2">
        <v>0</v>
      </c>
      <c r="C422" s="2"/>
      <c r="D422" s="2" t="s">
        <v>272</v>
      </c>
      <c r="E422" s="2" t="s">
        <v>1138</v>
      </c>
      <c r="F422" s="3">
        <v>45663</v>
      </c>
      <c r="G422" s="3">
        <v>45663</v>
      </c>
      <c r="H422" s="3">
        <v>45663</v>
      </c>
      <c r="I422" s="2"/>
      <c r="J422" s="2"/>
      <c r="K422" s="2" t="s">
        <v>25</v>
      </c>
      <c r="L422" s="2" t="s">
        <v>26</v>
      </c>
      <c r="M422" s="2"/>
      <c r="N422" s="2" t="s">
        <v>27</v>
      </c>
      <c r="O422" s="2">
        <v>113.39</v>
      </c>
      <c r="P422" s="2">
        <v>20.41</v>
      </c>
      <c r="Q422" s="2">
        <v>133.80000000000001</v>
      </c>
      <c r="R422" s="2">
        <v>133.80000000000001</v>
      </c>
      <c r="S422" s="2">
        <v>133.80000000000001</v>
      </c>
      <c r="T422" s="2" t="s">
        <v>28</v>
      </c>
      <c r="U422" s="2" t="b">
        <v>0</v>
      </c>
      <c r="V422" s="2" t="s">
        <v>29</v>
      </c>
      <c r="W422" s="2" t="s">
        <v>104</v>
      </c>
      <c r="X422" s="2" t="s">
        <v>105</v>
      </c>
      <c r="Y422" s="2" t="s">
        <v>1139</v>
      </c>
      <c r="Z422" s="2" t="s">
        <v>31</v>
      </c>
      <c r="AA422" s="2"/>
      <c r="AB422" s="2"/>
      <c r="AC422" s="2"/>
      <c r="AD422" s="2"/>
      <c r="AK422" s="8">
        <f t="shared" si="7"/>
        <v>45663</v>
      </c>
    </row>
    <row r="423" spans="1:37" ht="15" customHeight="1">
      <c r="A423" s="2" t="s">
        <v>1140</v>
      </c>
      <c r="B423" s="2">
        <v>0</v>
      </c>
      <c r="C423" s="2"/>
      <c r="D423" s="2" t="s">
        <v>272</v>
      </c>
      <c r="E423" s="2" t="s">
        <v>1138</v>
      </c>
      <c r="F423" s="3">
        <v>45663</v>
      </c>
      <c r="G423" s="3">
        <v>45663</v>
      </c>
      <c r="H423" s="3">
        <v>45663</v>
      </c>
      <c r="I423" s="2"/>
      <c r="J423" s="2"/>
      <c r="K423" s="2" t="s">
        <v>25</v>
      </c>
      <c r="L423" s="2" t="s">
        <v>26</v>
      </c>
      <c r="M423" s="2"/>
      <c r="N423" s="2" t="s">
        <v>27</v>
      </c>
      <c r="O423" s="2">
        <v>59.15</v>
      </c>
      <c r="P423" s="2">
        <v>10.65</v>
      </c>
      <c r="Q423" s="2">
        <v>69.8</v>
      </c>
      <c r="R423" s="2">
        <v>69.8</v>
      </c>
      <c r="S423" s="2">
        <v>69.8</v>
      </c>
      <c r="T423" s="2" t="s">
        <v>28</v>
      </c>
      <c r="U423" s="2" t="b">
        <v>0</v>
      </c>
      <c r="V423" s="2" t="s">
        <v>29</v>
      </c>
      <c r="W423" s="2" t="s">
        <v>104</v>
      </c>
      <c r="X423" s="2" t="s">
        <v>105</v>
      </c>
      <c r="Y423" s="2" t="s">
        <v>1141</v>
      </c>
      <c r="Z423" s="2" t="s">
        <v>31</v>
      </c>
      <c r="AA423" s="2"/>
      <c r="AB423" s="2"/>
      <c r="AC423" s="2"/>
      <c r="AD423" s="2"/>
      <c r="AK423" s="8">
        <f t="shared" si="7"/>
        <v>45663</v>
      </c>
    </row>
    <row r="424" spans="1:37" ht="15" customHeight="1">
      <c r="A424" s="2" t="s">
        <v>1142</v>
      </c>
      <c r="B424" s="2">
        <v>0</v>
      </c>
      <c r="C424" s="2"/>
      <c r="D424" s="2" t="s">
        <v>272</v>
      </c>
      <c r="E424" s="2" t="s">
        <v>1143</v>
      </c>
      <c r="F424" s="3">
        <v>45663</v>
      </c>
      <c r="G424" s="3">
        <v>45663</v>
      </c>
      <c r="H424" s="3">
        <v>45663</v>
      </c>
      <c r="I424" s="2"/>
      <c r="J424" s="2"/>
      <c r="K424" s="2" t="s">
        <v>25</v>
      </c>
      <c r="L424" s="2" t="s">
        <v>26</v>
      </c>
      <c r="M424" s="2"/>
      <c r="N424" s="2" t="s">
        <v>27</v>
      </c>
      <c r="O424" s="2">
        <v>59.66</v>
      </c>
      <c r="P424" s="2">
        <v>10.74</v>
      </c>
      <c r="Q424" s="2">
        <v>70.400000000000006</v>
      </c>
      <c r="R424" s="2">
        <v>70.400000000000006</v>
      </c>
      <c r="S424" s="2">
        <v>70.400000000000006</v>
      </c>
      <c r="T424" s="2" t="s">
        <v>28</v>
      </c>
      <c r="U424" s="2" t="b">
        <v>0</v>
      </c>
      <c r="V424" s="2" t="s">
        <v>29</v>
      </c>
      <c r="W424" s="2" t="s">
        <v>104</v>
      </c>
      <c r="X424" s="2" t="s">
        <v>105</v>
      </c>
      <c r="Y424" s="2" t="s">
        <v>1144</v>
      </c>
      <c r="Z424" s="2" t="s">
        <v>31</v>
      </c>
      <c r="AA424" s="2"/>
      <c r="AB424" s="2"/>
      <c r="AC424" s="2"/>
      <c r="AD424" s="2"/>
      <c r="AK424" s="8">
        <f t="shared" si="7"/>
        <v>45663</v>
      </c>
    </row>
    <row r="425" spans="1:37" ht="15" customHeight="1">
      <c r="A425" s="2" t="s">
        <v>1145</v>
      </c>
      <c r="B425" s="2">
        <v>0</v>
      </c>
      <c r="C425" s="2"/>
      <c r="D425" s="2" t="s">
        <v>272</v>
      </c>
      <c r="E425" s="2" t="s">
        <v>1143</v>
      </c>
      <c r="F425" s="3">
        <v>45663</v>
      </c>
      <c r="G425" s="3">
        <v>45663</v>
      </c>
      <c r="H425" s="3">
        <v>45663</v>
      </c>
      <c r="I425" s="2"/>
      <c r="J425" s="2"/>
      <c r="K425" s="2" t="s">
        <v>25</v>
      </c>
      <c r="L425" s="2" t="s">
        <v>26</v>
      </c>
      <c r="M425" s="2"/>
      <c r="N425" s="2" t="s">
        <v>27</v>
      </c>
      <c r="O425" s="2">
        <v>43</v>
      </c>
      <c r="P425" s="2">
        <v>7.74</v>
      </c>
      <c r="Q425" s="2">
        <v>50.74</v>
      </c>
      <c r="R425" s="2">
        <v>50.74</v>
      </c>
      <c r="S425" s="2">
        <v>50.74</v>
      </c>
      <c r="T425" s="2" t="s">
        <v>28</v>
      </c>
      <c r="U425" s="2" t="b">
        <v>0</v>
      </c>
      <c r="V425" s="2" t="s">
        <v>29</v>
      </c>
      <c r="W425" s="2" t="s">
        <v>104</v>
      </c>
      <c r="X425" s="2" t="s">
        <v>105</v>
      </c>
      <c r="Y425" s="2" t="s">
        <v>1146</v>
      </c>
      <c r="Z425" s="2" t="s">
        <v>31</v>
      </c>
      <c r="AA425" s="2"/>
      <c r="AB425" s="2"/>
      <c r="AC425" s="2"/>
      <c r="AD425" s="2"/>
      <c r="AK425" s="8">
        <f t="shared" si="7"/>
        <v>45663</v>
      </c>
    </row>
    <row r="426" spans="1:37" ht="15" customHeight="1">
      <c r="A426" s="2" t="s">
        <v>1147</v>
      </c>
      <c r="B426" s="2">
        <v>0</v>
      </c>
      <c r="C426" s="2"/>
      <c r="D426" s="2" t="s">
        <v>272</v>
      </c>
      <c r="E426" s="2" t="s">
        <v>1148</v>
      </c>
      <c r="F426" s="3">
        <v>45663</v>
      </c>
      <c r="G426" s="3">
        <v>45663</v>
      </c>
      <c r="H426" s="3">
        <v>45663</v>
      </c>
      <c r="I426" s="2"/>
      <c r="J426" s="2"/>
      <c r="K426" s="2" t="s">
        <v>25</v>
      </c>
      <c r="L426" s="2" t="s">
        <v>26</v>
      </c>
      <c r="M426" s="2"/>
      <c r="N426" s="2" t="s">
        <v>27</v>
      </c>
      <c r="O426" s="2">
        <v>66.45</v>
      </c>
      <c r="P426" s="2">
        <v>11.96</v>
      </c>
      <c r="Q426" s="2">
        <v>78.41</v>
      </c>
      <c r="R426" s="2">
        <v>78.41</v>
      </c>
      <c r="S426" s="2">
        <v>78.41</v>
      </c>
      <c r="T426" s="2" t="s">
        <v>28</v>
      </c>
      <c r="U426" s="2" t="b">
        <v>0</v>
      </c>
      <c r="V426" s="2" t="s">
        <v>29</v>
      </c>
      <c r="W426" s="2" t="s">
        <v>104</v>
      </c>
      <c r="X426" s="2" t="s">
        <v>105</v>
      </c>
      <c r="Y426" s="2" t="s">
        <v>1149</v>
      </c>
      <c r="Z426" s="2" t="s">
        <v>31</v>
      </c>
      <c r="AA426" s="2"/>
      <c r="AB426" s="2"/>
      <c r="AC426" s="2"/>
      <c r="AD426" s="2"/>
      <c r="AK426" s="8">
        <f t="shared" si="7"/>
        <v>45663</v>
      </c>
    </row>
    <row r="427" spans="1:37" ht="15" customHeight="1">
      <c r="A427" s="2" t="s">
        <v>1150</v>
      </c>
      <c r="B427" s="2">
        <v>0</v>
      </c>
      <c r="C427" s="2"/>
      <c r="D427" s="2" t="s">
        <v>272</v>
      </c>
      <c r="E427" s="2" t="s">
        <v>1148</v>
      </c>
      <c r="F427" s="3">
        <v>45663</v>
      </c>
      <c r="G427" s="3">
        <v>45663</v>
      </c>
      <c r="H427" s="3">
        <v>45663</v>
      </c>
      <c r="I427" s="2"/>
      <c r="J427" s="2"/>
      <c r="K427" s="2" t="s">
        <v>25</v>
      </c>
      <c r="L427" s="2" t="s">
        <v>26</v>
      </c>
      <c r="M427" s="2"/>
      <c r="N427" s="2" t="s">
        <v>27</v>
      </c>
      <c r="O427" s="2">
        <v>41.47</v>
      </c>
      <c r="P427" s="2">
        <v>7.47</v>
      </c>
      <c r="Q427" s="2">
        <v>48.94</v>
      </c>
      <c r="R427" s="2">
        <v>48.94</v>
      </c>
      <c r="S427" s="2">
        <v>48.94</v>
      </c>
      <c r="T427" s="2" t="s">
        <v>28</v>
      </c>
      <c r="U427" s="2" t="b">
        <v>0</v>
      </c>
      <c r="V427" s="2" t="s">
        <v>29</v>
      </c>
      <c r="W427" s="2" t="s">
        <v>104</v>
      </c>
      <c r="X427" s="2" t="s">
        <v>105</v>
      </c>
      <c r="Y427" s="2" t="s">
        <v>1151</v>
      </c>
      <c r="Z427" s="2" t="s">
        <v>31</v>
      </c>
      <c r="AA427" s="2"/>
      <c r="AB427" s="2"/>
      <c r="AC427" s="2"/>
      <c r="AD427" s="2"/>
      <c r="AK427" s="8">
        <f t="shared" si="7"/>
        <v>45663</v>
      </c>
    </row>
    <row r="428" spans="1:37" ht="15" customHeight="1">
      <c r="A428" s="2" t="s">
        <v>1152</v>
      </c>
      <c r="B428" s="2">
        <v>0</v>
      </c>
      <c r="C428" s="2"/>
      <c r="D428" s="2" t="s">
        <v>272</v>
      </c>
      <c r="E428" s="2" t="s">
        <v>1153</v>
      </c>
      <c r="F428" s="3">
        <v>45663</v>
      </c>
      <c r="G428" s="3">
        <v>45663</v>
      </c>
      <c r="H428" s="3">
        <v>45663</v>
      </c>
      <c r="I428" s="2"/>
      <c r="J428" s="2"/>
      <c r="K428" s="2" t="s">
        <v>25</v>
      </c>
      <c r="L428" s="2" t="s">
        <v>26</v>
      </c>
      <c r="M428" s="2"/>
      <c r="N428" s="2" t="s">
        <v>27</v>
      </c>
      <c r="O428" s="2">
        <v>109.06</v>
      </c>
      <c r="P428" s="2">
        <v>19.63</v>
      </c>
      <c r="Q428" s="2">
        <v>128.69</v>
      </c>
      <c r="R428" s="2">
        <v>128.69</v>
      </c>
      <c r="S428" s="2">
        <v>128.69</v>
      </c>
      <c r="T428" s="2" t="s">
        <v>28</v>
      </c>
      <c r="U428" s="2" t="b">
        <v>0</v>
      </c>
      <c r="V428" s="2" t="s">
        <v>29</v>
      </c>
      <c r="W428" s="2" t="s">
        <v>104</v>
      </c>
      <c r="X428" s="2" t="s">
        <v>105</v>
      </c>
      <c r="Y428" s="2" t="s">
        <v>1154</v>
      </c>
      <c r="Z428" s="2" t="s">
        <v>31</v>
      </c>
      <c r="AA428" s="2"/>
      <c r="AB428" s="2"/>
      <c r="AC428" s="2"/>
      <c r="AD428" s="2"/>
      <c r="AK428" s="8">
        <f t="shared" si="7"/>
        <v>45663</v>
      </c>
    </row>
    <row r="429" spans="1:37" ht="15" customHeight="1">
      <c r="A429" s="2" t="s">
        <v>1155</v>
      </c>
      <c r="B429" s="2">
        <v>0</v>
      </c>
      <c r="C429" s="2"/>
      <c r="D429" s="2" t="s">
        <v>272</v>
      </c>
      <c r="E429" s="2" t="s">
        <v>1153</v>
      </c>
      <c r="F429" s="3">
        <v>45663</v>
      </c>
      <c r="G429" s="3">
        <v>45663</v>
      </c>
      <c r="H429" s="3">
        <v>45663</v>
      </c>
      <c r="I429" s="2"/>
      <c r="J429" s="2"/>
      <c r="K429" s="2" t="s">
        <v>25</v>
      </c>
      <c r="L429" s="2" t="s">
        <v>26</v>
      </c>
      <c r="M429" s="2"/>
      <c r="N429" s="2" t="s">
        <v>27</v>
      </c>
      <c r="O429" s="2">
        <v>182.75</v>
      </c>
      <c r="P429" s="2">
        <v>32.89</v>
      </c>
      <c r="Q429" s="2">
        <v>215.64</v>
      </c>
      <c r="R429" s="2">
        <v>215.64</v>
      </c>
      <c r="S429" s="2">
        <v>215.64</v>
      </c>
      <c r="T429" s="2" t="s">
        <v>28</v>
      </c>
      <c r="U429" s="2" t="b">
        <v>0</v>
      </c>
      <c r="V429" s="2" t="s">
        <v>29</v>
      </c>
      <c r="W429" s="2" t="s">
        <v>104</v>
      </c>
      <c r="X429" s="2" t="s">
        <v>105</v>
      </c>
      <c r="Y429" s="2" t="s">
        <v>1156</v>
      </c>
      <c r="Z429" s="2" t="s">
        <v>31</v>
      </c>
      <c r="AA429" s="2"/>
      <c r="AB429" s="2"/>
      <c r="AC429" s="2"/>
      <c r="AD429" s="2"/>
      <c r="AK429" s="8">
        <f t="shared" si="7"/>
        <v>45663</v>
      </c>
    </row>
    <row r="430" spans="1:37" ht="15" customHeight="1">
      <c r="A430" s="2" t="s">
        <v>1157</v>
      </c>
      <c r="B430" s="2">
        <v>0</v>
      </c>
      <c r="C430" s="2"/>
      <c r="D430" s="2" t="s">
        <v>272</v>
      </c>
      <c r="E430" s="2" t="s">
        <v>1158</v>
      </c>
      <c r="F430" s="3">
        <v>45663</v>
      </c>
      <c r="G430" s="3">
        <v>45663</v>
      </c>
      <c r="H430" s="3">
        <v>45663</v>
      </c>
      <c r="I430" s="2"/>
      <c r="J430" s="2"/>
      <c r="K430" s="2" t="s">
        <v>25</v>
      </c>
      <c r="L430" s="2" t="s">
        <v>26</v>
      </c>
      <c r="M430" s="2"/>
      <c r="N430" s="2" t="s">
        <v>27</v>
      </c>
      <c r="O430" s="2">
        <v>757.54</v>
      </c>
      <c r="P430" s="2">
        <v>136.36000000000001</v>
      </c>
      <c r="Q430" s="2">
        <v>893.9</v>
      </c>
      <c r="R430" s="2">
        <v>893.9</v>
      </c>
      <c r="S430" s="2">
        <v>893.9</v>
      </c>
      <c r="T430" s="2" t="s">
        <v>28</v>
      </c>
      <c r="U430" s="2" t="b">
        <v>0</v>
      </c>
      <c r="V430" s="2" t="s">
        <v>29</v>
      </c>
      <c r="W430" s="2" t="s">
        <v>104</v>
      </c>
      <c r="X430" s="2" t="s">
        <v>105</v>
      </c>
      <c r="Y430" s="2" t="s">
        <v>1159</v>
      </c>
      <c r="Z430" s="2" t="s">
        <v>31</v>
      </c>
      <c r="AA430" s="2"/>
      <c r="AB430" s="2"/>
      <c r="AC430" s="2"/>
      <c r="AD430" s="2"/>
      <c r="AK430" s="8">
        <f t="shared" si="7"/>
        <v>45663</v>
      </c>
    </row>
    <row r="431" spans="1:37" ht="15" customHeight="1">
      <c r="A431" s="2" t="s">
        <v>1160</v>
      </c>
      <c r="B431" s="2">
        <v>0</v>
      </c>
      <c r="C431" s="2"/>
      <c r="D431" s="2" t="s">
        <v>272</v>
      </c>
      <c r="E431" s="2" t="s">
        <v>1158</v>
      </c>
      <c r="F431" s="3">
        <v>45663</v>
      </c>
      <c r="G431" s="3">
        <v>45663</v>
      </c>
      <c r="H431" s="3">
        <v>45663</v>
      </c>
      <c r="I431" s="2"/>
      <c r="J431" s="2"/>
      <c r="K431" s="2" t="s">
        <v>25</v>
      </c>
      <c r="L431" s="2" t="s">
        <v>26</v>
      </c>
      <c r="M431" s="2"/>
      <c r="N431" s="2" t="s">
        <v>27</v>
      </c>
      <c r="O431" s="2">
        <v>460.17</v>
      </c>
      <c r="P431" s="2">
        <v>82.83</v>
      </c>
      <c r="Q431" s="2">
        <v>543</v>
      </c>
      <c r="R431" s="2">
        <v>543</v>
      </c>
      <c r="S431" s="2">
        <v>543</v>
      </c>
      <c r="T431" s="2" t="s">
        <v>28</v>
      </c>
      <c r="U431" s="2" t="b">
        <v>0</v>
      </c>
      <c r="V431" s="2" t="s">
        <v>29</v>
      </c>
      <c r="W431" s="2" t="s">
        <v>104</v>
      </c>
      <c r="X431" s="2" t="s">
        <v>105</v>
      </c>
      <c r="Y431" s="2" t="s">
        <v>1161</v>
      </c>
      <c r="Z431" s="2" t="s">
        <v>31</v>
      </c>
      <c r="AA431" s="2"/>
      <c r="AB431" s="2"/>
      <c r="AC431" s="2"/>
      <c r="AD431" s="2"/>
      <c r="AK431" s="8">
        <f t="shared" si="7"/>
        <v>45663</v>
      </c>
    </row>
    <row r="432" spans="1:37" ht="15" customHeight="1">
      <c r="A432" s="2" t="s">
        <v>1162</v>
      </c>
      <c r="B432" s="2">
        <v>0</v>
      </c>
      <c r="C432" s="2"/>
      <c r="D432" s="2" t="s">
        <v>272</v>
      </c>
      <c r="E432" s="2" t="s">
        <v>608</v>
      </c>
      <c r="F432" s="3">
        <v>45663</v>
      </c>
      <c r="G432" s="3">
        <v>45663</v>
      </c>
      <c r="H432" s="3">
        <v>45663</v>
      </c>
      <c r="I432" s="2"/>
      <c r="J432" s="2"/>
      <c r="K432" s="2" t="s">
        <v>25</v>
      </c>
      <c r="L432" s="2" t="s">
        <v>26</v>
      </c>
      <c r="M432" s="2"/>
      <c r="N432" s="2" t="s">
        <v>27</v>
      </c>
      <c r="O432" s="2">
        <v>889.65</v>
      </c>
      <c r="P432" s="2">
        <v>160.13999999999999</v>
      </c>
      <c r="Q432" s="2">
        <v>1049.79</v>
      </c>
      <c r="R432" s="2">
        <v>1049.79</v>
      </c>
      <c r="S432" s="2">
        <v>1049.79</v>
      </c>
      <c r="T432" s="2" t="s">
        <v>28</v>
      </c>
      <c r="U432" s="2" t="b">
        <v>0</v>
      </c>
      <c r="V432" s="2" t="s">
        <v>29</v>
      </c>
      <c r="W432" s="2" t="s">
        <v>104</v>
      </c>
      <c r="X432" s="2" t="s">
        <v>105</v>
      </c>
      <c r="Y432" s="2" t="s">
        <v>1163</v>
      </c>
      <c r="Z432" s="2" t="s">
        <v>31</v>
      </c>
      <c r="AA432" s="2"/>
      <c r="AB432" s="2"/>
      <c r="AC432" s="2"/>
      <c r="AD432" s="2"/>
      <c r="AK432" s="8">
        <f t="shared" si="7"/>
        <v>45663</v>
      </c>
    </row>
    <row r="433" spans="1:37" ht="15" customHeight="1">
      <c r="A433" s="2" t="s">
        <v>1164</v>
      </c>
      <c r="B433" s="2">
        <v>0</v>
      </c>
      <c r="C433" s="2"/>
      <c r="D433" s="2" t="s">
        <v>272</v>
      </c>
      <c r="E433" s="2" t="s">
        <v>608</v>
      </c>
      <c r="F433" s="3">
        <v>45663</v>
      </c>
      <c r="G433" s="3">
        <v>45663</v>
      </c>
      <c r="H433" s="3">
        <v>45663</v>
      </c>
      <c r="I433" s="2"/>
      <c r="J433" s="2"/>
      <c r="K433" s="2" t="s">
        <v>25</v>
      </c>
      <c r="L433" s="2" t="s">
        <v>26</v>
      </c>
      <c r="M433" s="2"/>
      <c r="N433" s="2" t="s">
        <v>27</v>
      </c>
      <c r="O433" s="2">
        <v>545.08000000000004</v>
      </c>
      <c r="P433" s="2">
        <v>98.12</v>
      </c>
      <c r="Q433" s="2">
        <v>643.20000000000005</v>
      </c>
      <c r="R433" s="2">
        <v>643.20000000000005</v>
      </c>
      <c r="S433" s="2">
        <v>643.20000000000005</v>
      </c>
      <c r="T433" s="2" t="s">
        <v>28</v>
      </c>
      <c r="U433" s="2" t="b">
        <v>0</v>
      </c>
      <c r="V433" s="2" t="s">
        <v>29</v>
      </c>
      <c r="W433" s="2" t="s">
        <v>104</v>
      </c>
      <c r="X433" s="2" t="s">
        <v>105</v>
      </c>
      <c r="Y433" s="2" t="s">
        <v>1165</v>
      </c>
      <c r="Z433" s="2" t="s">
        <v>31</v>
      </c>
      <c r="AA433" s="2"/>
      <c r="AB433" s="2"/>
      <c r="AC433" s="2"/>
      <c r="AD433" s="2"/>
      <c r="AK433" s="8">
        <f t="shared" si="7"/>
        <v>45663</v>
      </c>
    </row>
    <row r="434" spans="1:37" ht="15" customHeight="1">
      <c r="A434" s="2" t="s">
        <v>1166</v>
      </c>
      <c r="B434" s="2">
        <v>0</v>
      </c>
      <c r="C434" s="2"/>
      <c r="D434" s="2" t="s">
        <v>272</v>
      </c>
      <c r="E434" s="2" t="s">
        <v>1167</v>
      </c>
      <c r="F434" s="3">
        <v>45663</v>
      </c>
      <c r="G434" s="3">
        <v>45663</v>
      </c>
      <c r="H434" s="3">
        <v>45663</v>
      </c>
      <c r="I434" s="2"/>
      <c r="J434" s="2"/>
      <c r="K434" s="2" t="s">
        <v>25</v>
      </c>
      <c r="L434" s="2" t="s">
        <v>26</v>
      </c>
      <c r="M434" s="2"/>
      <c r="N434" s="2" t="s">
        <v>27</v>
      </c>
      <c r="O434" s="2">
        <v>39.729999999999997</v>
      </c>
      <c r="P434" s="2">
        <v>7.15</v>
      </c>
      <c r="Q434" s="2">
        <v>46.88</v>
      </c>
      <c r="R434" s="2">
        <v>46.88</v>
      </c>
      <c r="S434" s="2">
        <v>46.88</v>
      </c>
      <c r="T434" s="2" t="s">
        <v>28</v>
      </c>
      <c r="U434" s="2" t="b">
        <v>0</v>
      </c>
      <c r="V434" s="2" t="s">
        <v>29</v>
      </c>
      <c r="W434" s="2" t="s">
        <v>104</v>
      </c>
      <c r="X434" s="2" t="s">
        <v>105</v>
      </c>
      <c r="Y434" s="2" t="s">
        <v>1168</v>
      </c>
      <c r="Z434" s="2" t="s">
        <v>31</v>
      </c>
      <c r="AA434" s="2"/>
      <c r="AB434" s="2"/>
      <c r="AC434" s="2"/>
      <c r="AD434" s="2"/>
      <c r="AK434" s="8">
        <f t="shared" si="7"/>
        <v>45663</v>
      </c>
    </row>
    <row r="435" spans="1:37" ht="15" customHeight="1">
      <c r="A435" s="2" t="s">
        <v>1169</v>
      </c>
      <c r="B435" s="2">
        <v>0</v>
      </c>
      <c r="C435" s="2"/>
      <c r="D435" s="2" t="s">
        <v>272</v>
      </c>
      <c r="E435" s="2" t="s">
        <v>1167</v>
      </c>
      <c r="F435" s="3">
        <v>45663</v>
      </c>
      <c r="G435" s="3">
        <v>45663</v>
      </c>
      <c r="H435" s="3">
        <v>45663</v>
      </c>
      <c r="I435" s="2"/>
      <c r="J435" s="2"/>
      <c r="K435" s="2" t="s">
        <v>25</v>
      </c>
      <c r="L435" s="2" t="s">
        <v>26</v>
      </c>
      <c r="M435" s="2"/>
      <c r="N435" s="2" t="s">
        <v>27</v>
      </c>
      <c r="O435" s="2">
        <v>24.58</v>
      </c>
      <c r="P435" s="2">
        <v>4.42</v>
      </c>
      <c r="Q435" s="2">
        <v>29</v>
      </c>
      <c r="R435" s="2">
        <v>29</v>
      </c>
      <c r="S435" s="2">
        <v>29</v>
      </c>
      <c r="T435" s="2" t="s">
        <v>28</v>
      </c>
      <c r="U435" s="2" t="b">
        <v>0</v>
      </c>
      <c r="V435" s="2" t="s">
        <v>29</v>
      </c>
      <c r="W435" s="2" t="s">
        <v>104</v>
      </c>
      <c r="X435" s="2" t="s">
        <v>105</v>
      </c>
      <c r="Y435" s="2" t="s">
        <v>1170</v>
      </c>
      <c r="Z435" s="2" t="s">
        <v>31</v>
      </c>
      <c r="AA435" s="2"/>
      <c r="AB435" s="2"/>
      <c r="AC435" s="2"/>
      <c r="AD435" s="2"/>
      <c r="AK435" s="8">
        <f t="shared" si="7"/>
        <v>45663</v>
      </c>
    </row>
    <row r="436" spans="1:37" ht="15" customHeight="1">
      <c r="A436" s="2" t="s">
        <v>1171</v>
      </c>
      <c r="B436" s="2">
        <v>0</v>
      </c>
      <c r="C436" s="2"/>
      <c r="D436" s="2" t="s">
        <v>305</v>
      </c>
      <c r="E436" s="2" t="s">
        <v>33</v>
      </c>
      <c r="F436" s="3">
        <v>45660</v>
      </c>
      <c r="G436" s="3">
        <v>45660</v>
      </c>
      <c r="H436" s="3">
        <v>45660</v>
      </c>
      <c r="I436" s="2"/>
      <c r="J436" s="2"/>
      <c r="K436" s="2" t="s">
        <v>25</v>
      </c>
      <c r="L436" s="2" t="s">
        <v>26</v>
      </c>
      <c r="M436" s="2"/>
      <c r="N436" s="2" t="s">
        <v>27</v>
      </c>
      <c r="O436" s="2">
        <v>10</v>
      </c>
      <c r="P436" s="2">
        <v>1.8</v>
      </c>
      <c r="Q436" s="2">
        <v>11.8</v>
      </c>
      <c r="R436" s="2">
        <v>11.8</v>
      </c>
      <c r="S436" s="2">
        <v>11.8</v>
      </c>
      <c r="T436" s="2" t="s">
        <v>28</v>
      </c>
      <c r="U436" s="2" t="b">
        <v>0</v>
      </c>
      <c r="V436" s="2" t="s">
        <v>29</v>
      </c>
      <c r="W436" s="2" t="s">
        <v>104</v>
      </c>
      <c r="X436" s="2" t="s">
        <v>105</v>
      </c>
      <c r="Y436" s="2" t="s">
        <v>1172</v>
      </c>
      <c r="Z436" s="2" t="s">
        <v>31</v>
      </c>
      <c r="AA436" s="2"/>
      <c r="AB436" s="2"/>
      <c r="AC436" s="2"/>
      <c r="AD436" s="2"/>
      <c r="AK436" s="8">
        <f t="shared" si="7"/>
        <v>45660</v>
      </c>
    </row>
    <row r="437" spans="1:37" ht="15" customHeight="1">
      <c r="A437" s="2" t="s">
        <v>1173</v>
      </c>
      <c r="B437" s="2">
        <v>0</v>
      </c>
      <c r="C437" s="2"/>
      <c r="D437" s="2" t="s">
        <v>305</v>
      </c>
      <c r="E437" s="2" t="s">
        <v>33</v>
      </c>
      <c r="F437" s="3">
        <v>45660</v>
      </c>
      <c r="G437" s="3">
        <v>45660</v>
      </c>
      <c r="H437" s="3">
        <v>45660</v>
      </c>
      <c r="I437" s="2"/>
      <c r="J437" s="2"/>
      <c r="K437" s="2" t="s">
        <v>25</v>
      </c>
      <c r="L437" s="2" t="s">
        <v>26</v>
      </c>
      <c r="M437" s="2"/>
      <c r="N437" s="2" t="s">
        <v>27</v>
      </c>
      <c r="O437" s="2">
        <v>100</v>
      </c>
      <c r="P437" s="2">
        <v>18</v>
      </c>
      <c r="Q437" s="2">
        <v>118</v>
      </c>
      <c r="R437" s="2">
        <v>118</v>
      </c>
      <c r="S437" s="2">
        <v>118</v>
      </c>
      <c r="T437" s="2" t="s">
        <v>28</v>
      </c>
      <c r="U437" s="2" t="b">
        <v>0</v>
      </c>
      <c r="V437" s="2" t="s">
        <v>29</v>
      </c>
      <c r="W437" s="2" t="s">
        <v>104</v>
      </c>
      <c r="X437" s="2" t="s">
        <v>105</v>
      </c>
      <c r="Y437" s="2" t="s">
        <v>1174</v>
      </c>
      <c r="Z437" s="2" t="s">
        <v>31</v>
      </c>
      <c r="AA437" s="2"/>
      <c r="AB437" s="2"/>
      <c r="AC437" s="2"/>
      <c r="AD437" s="2"/>
      <c r="AK437" s="8">
        <f t="shared" si="7"/>
        <v>45660</v>
      </c>
    </row>
    <row r="438" spans="1:37" ht="15" customHeight="1">
      <c r="A438" s="2" t="s">
        <v>1175</v>
      </c>
      <c r="B438" s="2">
        <v>0</v>
      </c>
      <c r="C438" s="2"/>
      <c r="D438" s="2" t="s">
        <v>305</v>
      </c>
      <c r="E438" s="2" t="s">
        <v>33</v>
      </c>
      <c r="F438" s="3">
        <v>45660</v>
      </c>
      <c r="G438" s="3">
        <v>45660</v>
      </c>
      <c r="H438" s="3">
        <v>45660</v>
      </c>
      <c r="I438" s="2"/>
      <c r="J438" s="2"/>
      <c r="K438" s="2" t="s">
        <v>25</v>
      </c>
      <c r="L438" s="2" t="s">
        <v>26</v>
      </c>
      <c r="M438" s="2"/>
      <c r="N438" s="2" t="s">
        <v>27</v>
      </c>
      <c r="O438" s="2">
        <v>2919.83</v>
      </c>
      <c r="P438" s="2">
        <v>525.57000000000005</v>
      </c>
      <c r="Q438" s="2">
        <v>3445.4</v>
      </c>
      <c r="R438" s="2">
        <v>3445.4</v>
      </c>
      <c r="S438" s="2">
        <v>3445.4</v>
      </c>
      <c r="T438" s="2" t="s">
        <v>28</v>
      </c>
      <c r="U438" s="2" t="b">
        <v>0</v>
      </c>
      <c r="V438" s="2" t="s">
        <v>29</v>
      </c>
      <c r="W438" s="2" t="s">
        <v>104</v>
      </c>
      <c r="X438" s="2" t="s">
        <v>105</v>
      </c>
      <c r="Y438" s="2" t="s">
        <v>1176</v>
      </c>
      <c r="Z438" s="2" t="s">
        <v>31</v>
      </c>
      <c r="AA438" s="2"/>
      <c r="AB438" s="2"/>
      <c r="AC438" s="2"/>
      <c r="AD438" s="2"/>
      <c r="AK438" s="8">
        <f t="shared" si="7"/>
        <v>45660</v>
      </c>
    </row>
    <row r="439" spans="1:37" ht="15" customHeight="1">
      <c r="A439" s="2" t="s">
        <v>1177</v>
      </c>
      <c r="B439" s="2">
        <v>0</v>
      </c>
      <c r="C439" s="2"/>
      <c r="D439" s="2" t="s">
        <v>305</v>
      </c>
      <c r="E439" s="2" t="s">
        <v>33</v>
      </c>
      <c r="F439" s="3">
        <v>45660</v>
      </c>
      <c r="G439" s="3">
        <v>45660</v>
      </c>
      <c r="H439" s="3">
        <v>45660</v>
      </c>
      <c r="I439" s="2"/>
      <c r="J439" s="2"/>
      <c r="K439" s="2" t="s">
        <v>25</v>
      </c>
      <c r="L439" s="2" t="s">
        <v>26</v>
      </c>
      <c r="M439" s="2"/>
      <c r="N439" s="2" t="s">
        <v>27</v>
      </c>
      <c r="O439" s="2">
        <v>1439.87</v>
      </c>
      <c r="P439" s="2">
        <v>259.18</v>
      </c>
      <c r="Q439" s="2">
        <v>1699.05</v>
      </c>
      <c r="R439" s="2">
        <v>1699.05</v>
      </c>
      <c r="S439" s="2">
        <v>1699.05</v>
      </c>
      <c r="T439" s="2" t="s">
        <v>28</v>
      </c>
      <c r="U439" s="2" t="b">
        <v>0</v>
      </c>
      <c r="V439" s="2" t="s">
        <v>29</v>
      </c>
      <c r="W439" s="2" t="s">
        <v>104</v>
      </c>
      <c r="X439" s="2" t="s">
        <v>105</v>
      </c>
      <c r="Y439" s="2" t="s">
        <v>1178</v>
      </c>
      <c r="Z439" s="2" t="s">
        <v>31</v>
      </c>
      <c r="AA439" s="2"/>
      <c r="AB439" s="2"/>
      <c r="AC439" s="2"/>
      <c r="AD439" s="2"/>
      <c r="AK439" s="8">
        <f t="shared" si="7"/>
        <v>45660</v>
      </c>
    </row>
    <row r="440" spans="1:37" ht="15" customHeight="1">
      <c r="A440" s="2" t="s">
        <v>1179</v>
      </c>
      <c r="B440" s="2">
        <v>0</v>
      </c>
      <c r="C440" s="2"/>
      <c r="D440" s="2" t="s">
        <v>305</v>
      </c>
      <c r="E440" s="2" t="s">
        <v>401</v>
      </c>
      <c r="F440" s="3">
        <v>45660</v>
      </c>
      <c r="G440" s="3">
        <v>45660</v>
      </c>
      <c r="H440" s="3">
        <v>45660</v>
      </c>
      <c r="I440" s="2"/>
      <c r="J440" s="2"/>
      <c r="K440" s="2" t="s">
        <v>25</v>
      </c>
      <c r="L440" s="2" t="s">
        <v>26</v>
      </c>
      <c r="M440" s="2"/>
      <c r="N440" s="2" t="s">
        <v>27</v>
      </c>
      <c r="O440" s="2">
        <v>171</v>
      </c>
      <c r="P440" s="2">
        <v>30.78</v>
      </c>
      <c r="Q440" s="2">
        <v>201.78</v>
      </c>
      <c r="R440" s="2">
        <v>201.78</v>
      </c>
      <c r="S440" s="2">
        <v>201.78</v>
      </c>
      <c r="T440" s="2" t="s">
        <v>28</v>
      </c>
      <c r="U440" s="2" t="b">
        <v>0</v>
      </c>
      <c r="V440" s="2" t="s">
        <v>29</v>
      </c>
      <c r="W440" s="2" t="s">
        <v>104</v>
      </c>
      <c r="X440" s="2" t="s">
        <v>105</v>
      </c>
      <c r="Y440" s="2" t="s">
        <v>1180</v>
      </c>
      <c r="Z440" s="2" t="s">
        <v>31</v>
      </c>
      <c r="AA440" s="2"/>
      <c r="AB440" s="2"/>
      <c r="AC440" s="2"/>
      <c r="AD440" s="2"/>
      <c r="AK440" s="8">
        <f t="shared" si="7"/>
        <v>45660</v>
      </c>
    </row>
    <row r="441" spans="1:37" ht="15" customHeight="1">
      <c r="A441" s="2" t="s">
        <v>1181</v>
      </c>
      <c r="B441" s="2">
        <v>0</v>
      </c>
      <c r="C441" s="2"/>
      <c r="D441" s="2" t="s">
        <v>305</v>
      </c>
      <c r="E441" s="2" t="s">
        <v>401</v>
      </c>
      <c r="F441" s="3">
        <v>45660</v>
      </c>
      <c r="G441" s="3">
        <v>45660</v>
      </c>
      <c r="H441" s="3">
        <v>45660</v>
      </c>
      <c r="I441" s="2"/>
      <c r="J441" s="2"/>
      <c r="K441" s="2" t="s">
        <v>25</v>
      </c>
      <c r="L441" s="2" t="s">
        <v>26</v>
      </c>
      <c r="M441" s="2"/>
      <c r="N441" s="2" t="s">
        <v>27</v>
      </c>
      <c r="O441" s="2">
        <v>3400</v>
      </c>
      <c r="P441" s="2">
        <v>612</v>
      </c>
      <c r="Q441" s="2">
        <v>4012</v>
      </c>
      <c r="R441" s="2">
        <v>4012</v>
      </c>
      <c r="S441" s="2">
        <v>4012</v>
      </c>
      <c r="T441" s="2" t="s">
        <v>28</v>
      </c>
      <c r="U441" s="2" t="b">
        <v>0</v>
      </c>
      <c r="V441" s="2" t="s">
        <v>29</v>
      </c>
      <c r="W441" s="2" t="s">
        <v>104</v>
      </c>
      <c r="X441" s="2" t="s">
        <v>105</v>
      </c>
      <c r="Y441" s="2" t="s">
        <v>1182</v>
      </c>
      <c r="Z441" s="2" t="s">
        <v>31</v>
      </c>
      <c r="AA441" s="2"/>
      <c r="AB441" s="2"/>
      <c r="AC441" s="2"/>
      <c r="AD441" s="2"/>
      <c r="AK441" s="8">
        <f t="shared" si="7"/>
        <v>45660</v>
      </c>
    </row>
    <row r="442" spans="1:37" ht="15" customHeight="1">
      <c r="A442" s="2" t="s">
        <v>1183</v>
      </c>
      <c r="B442" s="2">
        <v>0</v>
      </c>
      <c r="C442" s="2"/>
      <c r="D442" s="2" t="s">
        <v>305</v>
      </c>
      <c r="E442" s="2" t="s">
        <v>401</v>
      </c>
      <c r="F442" s="3">
        <v>45660</v>
      </c>
      <c r="G442" s="3">
        <v>45660</v>
      </c>
      <c r="H442" s="3">
        <v>45660</v>
      </c>
      <c r="I442" s="2"/>
      <c r="J442" s="2"/>
      <c r="K442" s="2" t="s">
        <v>25</v>
      </c>
      <c r="L442" s="2" t="s">
        <v>26</v>
      </c>
      <c r="M442" s="2"/>
      <c r="N442" s="2" t="s">
        <v>27</v>
      </c>
      <c r="O442" s="2">
        <v>1590.93</v>
      </c>
      <c r="P442" s="2">
        <v>286.37</v>
      </c>
      <c r="Q442" s="2">
        <v>1877.3</v>
      </c>
      <c r="R442" s="2">
        <v>1877.3</v>
      </c>
      <c r="S442" s="2">
        <v>1877.3</v>
      </c>
      <c r="T442" s="2" t="s">
        <v>28</v>
      </c>
      <c r="U442" s="2" t="b">
        <v>0</v>
      </c>
      <c r="V442" s="2" t="s">
        <v>29</v>
      </c>
      <c r="W442" s="2" t="s">
        <v>104</v>
      </c>
      <c r="X442" s="2" t="s">
        <v>105</v>
      </c>
      <c r="Y442" s="2" t="s">
        <v>1184</v>
      </c>
      <c r="Z442" s="2" t="s">
        <v>31</v>
      </c>
      <c r="AA442" s="2"/>
      <c r="AB442" s="2"/>
      <c r="AC442" s="2"/>
      <c r="AD442" s="2"/>
      <c r="AK442" s="8">
        <f t="shared" si="7"/>
        <v>45660</v>
      </c>
    </row>
    <row r="443" spans="1:37" ht="15" customHeight="1">
      <c r="A443" s="2" t="s">
        <v>1185</v>
      </c>
      <c r="B443" s="2">
        <v>0</v>
      </c>
      <c r="C443" s="2"/>
      <c r="D443" s="2" t="s">
        <v>305</v>
      </c>
      <c r="E443" s="2" t="s">
        <v>401</v>
      </c>
      <c r="F443" s="3">
        <v>45660</v>
      </c>
      <c r="G443" s="3">
        <v>45660</v>
      </c>
      <c r="H443" s="3">
        <v>45660</v>
      </c>
      <c r="I443" s="2"/>
      <c r="J443" s="2"/>
      <c r="K443" s="2" t="s">
        <v>25</v>
      </c>
      <c r="L443" s="2" t="s">
        <v>26</v>
      </c>
      <c r="M443" s="2"/>
      <c r="N443" s="2" t="s">
        <v>27</v>
      </c>
      <c r="O443" s="2">
        <v>2158.64</v>
      </c>
      <c r="P443" s="2">
        <v>388.56</v>
      </c>
      <c r="Q443" s="2">
        <v>2547.1999999999998</v>
      </c>
      <c r="R443" s="2">
        <v>2547.1999999999998</v>
      </c>
      <c r="S443" s="2">
        <v>2547.1999999999998</v>
      </c>
      <c r="T443" s="2" t="s">
        <v>28</v>
      </c>
      <c r="U443" s="2" t="b">
        <v>0</v>
      </c>
      <c r="V443" s="2" t="s">
        <v>29</v>
      </c>
      <c r="W443" s="2" t="s">
        <v>104</v>
      </c>
      <c r="X443" s="2" t="s">
        <v>105</v>
      </c>
      <c r="Y443" s="2" t="s">
        <v>1186</v>
      </c>
      <c r="Z443" s="2" t="s">
        <v>31</v>
      </c>
      <c r="AA443" s="2"/>
      <c r="AB443" s="2"/>
      <c r="AC443" s="2"/>
      <c r="AD443" s="2"/>
      <c r="AK443" s="8">
        <f t="shared" si="7"/>
        <v>45660</v>
      </c>
    </row>
    <row r="444" spans="1:37" ht="15" customHeight="1">
      <c r="A444" s="2" t="s">
        <v>1187</v>
      </c>
      <c r="B444" s="2">
        <v>0</v>
      </c>
      <c r="C444" s="2"/>
      <c r="D444" s="2" t="s">
        <v>305</v>
      </c>
      <c r="E444" s="2" t="s">
        <v>401</v>
      </c>
      <c r="F444" s="3">
        <v>45660</v>
      </c>
      <c r="G444" s="3">
        <v>45660</v>
      </c>
      <c r="H444" s="3">
        <v>45660</v>
      </c>
      <c r="I444" s="2"/>
      <c r="J444" s="2"/>
      <c r="K444" s="2" t="s">
        <v>25</v>
      </c>
      <c r="L444" s="2" t="s">
        <v>26</v>
      </c>
      <c r="M444" s="2"/>
      <c r="N444" s="2" t="s">
        <v>27</v>
      </c>
      <c r="O444" s="2">
        <v>171</v>
      </c>
      <c r="P444" s="2">
        <v>30.78</v>
      </c>
      <c r="Q444" s="2">
        <v>201.78</v>
      </c>
      <c r="R444" s="2">
        <v>201.78</v>
      </c>
      <c r="S444" s="2">
        <v>201.78</v>
      </c>
      <c r="T444" s="2" t="s">
        <v>28</v>
      </c>
      <c r="U444" s="2" t="b">
        <v>0</v>
      </c>
      <c r="V444" s="2" t="s">
        <v>29</v>
      </c>
      <c r="W444" s="2" t="s">
        <v>104</v>
      </c>
      <c r="X444" s="2" t="s">
        <v>105</v>
      </c>
      <c r="Y444" s="2" t="s">
        <v>1188</v>
      </c>
      <c r="Z444" s="2" t="s">
        <v>31</v>
      </c>
      <c r="AA444" s="2"/>
      <c r="AB444" s="2"/>
      <c r="AC444" s="2"/>
      <c r="AD444" s="2"/>
      <c r="AK444" s="8">
        <f t="shared" si="7"/>
        <v>45660</v>
      </c>
    </row>
    <row r="445" spans="1:37" ht="15" customHeight="1">
      <c r="A445" s="2" t="s">
        <v>1189</v>
      </c>
      <c r="B445" s="2">
        <v>0</v>
      </c>
      <c r="C445" s="2"/>
      <c r="D445" s="2" t="s">
        <v>305</v>
      </c>
      <c r="E445" s="2" t="s">
        <v>401</v>
      </c>
      <c r="F445" s="3">
        <v>45660</v>
      </c>
      <c r="G445" s="3">
        <v>45660</v>
      </c>
      <c r="H445" s="3">
        <v>45660</v>
      </c>
      <c r="I445" s="2"/>
      <c r="J445" s="2"/>
      <c r="K445" s="2" t="s">
        <v>25</v>
      </c>
      <c r="L445" s="2" t="s">
        <v>26</v>
      </c>
      <c r="M445" s="2"/>
      <c r="N445" s="2" t="s">
        <v>27</v>
      </c>
      <c r="O445" s="2">
        <v>450</v>
      </c>
      <c r="P445" s="2">
        <v>81</v>
      </c>
      <c r="Q445" s="2">
        <v>531</v>
      </c>
      <c r="R445" s="2">
        <v>531</v>
      </c>
      <c r="S445" s="2">
        <v>531</v>
      </c>
      <c r="T445" s="2" t="s">
        <v>28</v>
      </c>
      <c r="U445" s="2" t="b">
        <v>0</v>
      </c>
      <c r="V445" s="2" t="s">
        <v>29</v>
      </c>
      <c r="W445" s="2" t="s">
        <v>104</v>
      </c>
      <c r="X445" s="2" t="s">
        <v>105</v>
      </c>
      <c r="Y445" s="2" t="s">
        <v>1190</v>
      </c>
      <c r="Z445" s="2" t="s">
        <v>31</v>
      </c>
      <c r="AA445" s="2"/>
      <c r="AB445" s="2"/>
      <c r="AC445" s="2"/>
      <c r="AD445" s="2"/>
      <c r="AK445" s="8">
        <f t="shared" si="7"/>
        <v>45660</v>
      </c>
    </row>
    <row r="446" spans="1:37" ht="15" customHeight="1">
      <c r="A446" s="2" t="s">
        <v>1191</v>
      </c>
      <c r="B446" s="2">
        <v>0</v>
      </c>
      <c r="C446" s="2"/>
      <c r="D446" s="2" t="s">
        <v>305</v>
      </c>
      <c r="E446" s="2" t="s">
        <v>401</v>
      </c>
      <c r="F446" s="3">
        <v>45660</v>
      </c>
      <c r="G446" s="3">
        <v>45660</v>
      </c>
      <c r="H446" s="3">
        <v>45660</v>
      </c>
      <c r="I446" s="2"/>
      <c r="J446" s="2"/>
      <c r="K446" s="2" t="s">
        <v>25</v>
      </c>
      <c r="L446" s="2" t="s">
        <v>26</v>
      </c>
      <c r="M446" s="2"/>
      <c r="N446" s="2" t="s">
        <v>27</v>
      </c>
      <c r="O446" s="2">
        <v>3700</v>
      </c>
      <c r="P446" s="2">
        <v>666</v>
      </c>
      <c r="Q446" s="2">
        <v>4366</v>
      </c>
      <c r="R446" s="2">
        <v>4366</v>
      </c>
      <c r="S446" s="2">
        <v>4366</v>
      </c>
      <c r="T446" s="2" t="s">
        <v>28</v>
      </c>
      <c r="U446" s="2" t="b">
        <v>0</v>
      </c>
      <c r="V446" s="2" t="s">
        <v>29</v>
      </c>
      <c r="W446" s="2" t="s">
        <v>104</v>
      </c>
      <c r="X446" s="2" t="s">
        <v>105</v>
      </c>
      <c r="Y446" s="2" t="s">
        <v>1192</v>
      </c>
      <c r="Z446" s="2" t="s">
        <v>31</v>
      </c>
      <c r="AA446" s="2"/>
      <c r="AB446" s="2"/>
      <c r="AC446" s="2"/>
      <c r="AD446" s="2"/>
      <c r="AK446" s="8">
        <f t="shared" si="7"/>
        <v>45660</v>
      </c>
    </row>
    <row r="447" spans="1:37" ht="15" customHeight="1">
      <c r="A447" s="2" t="s">
        <v>1193</v>
      </c>
      <c r="B447" s="2">
        <v>0</v>
      </c>
      <c r="C447" s="2"/>
      <c r="D447" s="2" t="s">
        <v>305</v>
      </c>
      <c r="E447" s="2" t="s">
        <v>401</v>
      </c>
      <c r="F447" s="3">
        <v>45660</v>
      </c>
      <c r="G447" s="3">
        <v>45660</v>
      </c>
      <c r="H447" s="3">
        <v>45660</v>
      </c>
      <c r="I447" s="2"/>
      <c r="J447" s="2"/>
      <c r="K447" s="2" t="s">
        <v>25</v>
      </c>
      <c r="L447" s="2" t="s">
        <v>26</v>
      </c>
      <c r="M447" s="2"/>
      <c r="N447" s="2" t="s">
        <v>27</v>
      </c>
      <c r="O447" s="2">
        <v>3425.85</v>
      </c>
      <c r="P447" s="2">
        <v>616.65</v>
      </c>
      <c r="Q447" s="2">
        <v>4042.5</v>
      </c>
      <c r="R447" s="2">
        <v>4042.5</v>
      </c>
      <c r="S447" s="2">
        <v>4042.5</v>
      </c>
      <c r="T447" s="2" t="s">
        <v>28</v>
      </c>
      <c r="U447" s="2" t="b">
        <v>0</v>
      </c>
      <c r="V447" s="2" t="s">
        <v>29</v>
      </c>
      <c r="W447" s="2" t="s">
        <v>104</v>
      </c>
      <c r="X447" s="2" t="s">
        <v>105</v>
      </c>
      <c r="Y447" s="2" t="s">
        <v>1194</v>
      </c>
      <c r="Z447" s="2" t="s">
        <v>31</v>
      </c>
      <c r="AK447" s="8">
        <f t="shared" si="7"/>
        <v>45660</v>
      </c>
    </row>
    <row r="448" spans="1:37" ht="15" customHeight="1">
      <c r="A448" s="2" t="s">
        <v>1195</v>
      </c>
      <c r="B448" s="2">
        <v>0</v>
      </c>
      <c r="C448" s="2"/>
      <c r="D448" s="2" t="s">
        <v>305</v>
      </c>
      <c r="E448" s="2" t="s">
        <v>401</v>
      </c>
      <c r="F448" s="3">
        <v>45660</v>
      </c>
      <c r="G448" s="3">
        <v>45660</v>
      </c>
      <c r="H448" s="3">
        <v>45660</v>
      </c>
      <c r="I448" s="2"/>
      <c r="J448" s="2"/>
      <c r="K448" s="2" t="s">
        <v>25</v>
      </c>
      <c r="L448" s="2" t="s">
        <v>26</v>
      </c>
      <c r="M448" s="2"/>
      <c r="N448" s="2" t="s">
        <v>27</v>
      </c>
      <c r="O448" s="2">
        <v>4569.66</v>
      </c>
      <c r="P448" s="2">
        <v>822.54</v>
      </c>
      <c r="Q448" s="2">
        <v>5392.2</v>
      </c>
      <c r="R448" s="2">
        <v>5392.2</v>
      </c>
      <c r="S448" s="2">
        <v>5392.2</v>
      </c>
      <c r="T448" s="2" t="s">
        <v>28</v>
      </c>
      <c r="U448" s="2" t="b">
        <v>0</v>
      </c>
      <c r="V448" s="2" t="s">
        <v>29</v>
      </c>
      <c r="W448" s="2" t="s">
        <v>104</v>
      </c>
      <c r="X448" s="2" t="s">
        <v>105</v>
      </c>
      <c r="Y448" s="2" t="s">
        <v>1196</v>
      </c>
      <c r="Z448" s="2" t="s">
        <v>31</v>
      </c>
      <c r="AK448" s="8">
        <f t="shared" si="7"/>
        <v>45660</v>
      </c>
    </row>
    <row r="449" spans="1:37" ht="15" customHeight="1">
      <c r="A449" s="2" t="s">
        <v>1197</v>
      </c>
      <c r="B449" s="2">
        <v>0</v>
      </c>
      <c r="C449" s="2"/>
      <c r="D449" s="2" t="s">
        <v>272</v>
      </c>
      <c r="E449" s="2" t="s">
        <v>1198</v>
      </c>
      <c r="F449" s="3">
        <v>45660</v>
      </c>
      <c r="G449" s="3">
        <v>45660</v>
      </c>
      <c r="H449" s="3">
        <v>45660</v>
      </c>
      <c r="I449" s="2"/>
      <c r="J449" s="2"/>
      <c r="K449" s="2" t="s">
        <v>25</v>
      </c>
      <c r="L449" s="2" t="s">
        <v>26</v>
      </c>
      <c r="M449" s="2"/>
      <c r="N449" s="2" t="s">
        <v>27</v>
      </c>
      <c r="O449" s="2">
        <v>10</v>
      </c>
      <c r="P449" s="2">
        <v>1.8</v>
      </c>
      <c r="Q449" s="2">
        <v>11.8</v>
      </c>
      <c r="R449" s="2">
        <v>11.8</v>
      </c>
      <c r="S449" s="2">
        <v>11.8</v>
      </c>
      <c r="T449" s="2" t="s">
        <v>28</v>
      </c>
      <c r="U449" s="2" t="b">
        <v>0</v>
      </c>
      <c r="V449" s="2" t="s">
        <v>29</v>
      </c>
      <c r="W449" s="2" t="s">
        <v>104</v>
      </c>
      <c r="X449" s="2" t="s">
        <v>105</v>
      </c>
      <c r="Y449" s="2" t="s">
        <v>1199</v>
      </c>
      <c r="Z449" s="2" t="s">
        <v>31</v>
      </c>
      <c r="AK449" s="8">
        <f t="shared" si="7"/>
        <v>45660</v>
      </c>
    </row>
    <row r="450" spans="1:37" ht="15" customHeight="1">
      <c r="A450" s="2" t="s">
        <v>1200</v>
      </c>
      <c r="B450" s="2">
        <v>0</v>
      </c>
      <c r="C450" s="2"/>
      <c r="D450" s="2" t="s">
        <v>272</v>
      </c>
      <c r="E450" s="2" t="s">
        <v>1198</v>
      </c>
      <c r="F450" s="3">
        <v>45660</v>
      </c>
      <c r="G450" s="3">
        <v>45660</v>
      </c>
      <c r="H450" s="3">
        <v>45660</v>
      </c>
      <c r="I450" s="2"/>
      <c r="J450" s="2"/>
      <c r="K450" s="2" t="s">
        <v>25</v>
      </c>
      <c r="L450" s="2" t="s">
        <v>26</v>
      </c>
      <c r="M450" s="2"/>
      <c r="N450" s="2" t="s">
        <v>27</v>
      </c>
      <c r="O450" s="2">
        <v>598.73</v>
      </c>
      <c r="P450" s="2">
        <v>107.77</v>
      </c>
      <c r="Q450" s="2">
        <v>706.5</v>
      </c>
      <c r="R450" s="2">
        <v>706.5</v>
      </c>
      <c r="S450" s="2">
        <v>706.5</v>
      </c>
      <c r="T450" s="2" t="s">
        <v>28</v>
      </c>
      <c r="U450" s="2" t="b">
        <v>0</v>
      </c>
      <c r="V450" s="2" t="s">
        <v>29</v>
      </c>
      <c r="W450" s="2" t="s">
        <v>104</v>
      </c>
      <c r="X450" s="2" t="s">
        <v>105</v>
      </c>
      <c r="Y450" s="2" t="s">
        <v>1201</v>
      </c>
      <c r="Z450" s="2" t="s">
        <v>31</v>
      </c>
      <c r="AK450" s="8">
        <f t="shared" si="7"/>
        <v>45660</v>
      </c>
    </row>
    <row r="451" spans="1:37" ht="15" customHeight="1">
      <c r="A451" s="2" t="s">
        <v>1202</v>
      </c>
      <c r="B451" s="2">
        <v>0</v>
      </c>
      <c r="C451" s="2"/>
      <c r="D451" s="2" t="s">
        <v>272</v>
      </c>
      <c r="E451" s="2" t="s">
        <v>1198</v>
      </c>
      <c r="F451" s="3">
        <v>45660</v>
      </c>
      <c r="G451" s="3">
        <v>45660</v>
      </c>
      <c r="H451" s="3">
        <v>45660</v>
      </c>
      <c r="I451" s="2"/>
      <c r="J451" s="2"/>
      <c r="K451" s="2" t="s">
        <v>25</v>
      </c>
      <c r="L451" s="2" t="s">
        <v>26</v>
      </c>
      <c r="M451" s="2"/>
      <c r="N451" s="2" t="s">
        <v>27</v>
      </c>
      <c r="O451" s="2">
        <v>343.47</v>
      </c>
      <c r="P451" s="2">
        <v>61.83</v>
      </c>
      <c r="Q451" s="2">
        <v>405.3</v>
      </c>
      <c r="R451" s="2">
        <v>405.3</v>
      </c>
      <c r="S451" s="2">
        <v>405.3</v>
      </c>
      <c r="T451" s="2" t="s">
        <v>28</v>
      </c>
      <c r="U451" s="2" t="b">
        <v>0</v>
      </c>
      <c r="V451" s="2" t="s">
        <v>29</v>
      </c>
      <c r="W451" s="2" t="s">
        <v>104</v>
      </c>
      <c r="X451" s="2" t="s">
        <v>105</v>
      </c>
      <c r="Y451" s="2" t="s">
        <v>1203</v>
      </c>
      <c r="Z451" s="2" t="s">
        <v>31</v>
      </c>
      <c r="AK451" s="8">
        <f t="shared" si="7"/>
        <v>45660</v>
      </c>
    </row>
    <row r="452" spans="1:37" ht="15" customHeight="1">
      <c r="A452" s="2" t="s">
        <v>1204</v>
      </c>
      <c r="B452" s="2">
        <v>0</v>
      </c>
      <c r="C452" s="2"/>
      <c r="D452" s="2" t="s">
        <v>272</v>
      </c>
      <c r="E452" s="2" t="s">
        <v>1205</v>
      </c>
      <c r="F452" s="3">
        <v>45660</v>
      </c>
      <c r="G452" s="3">
        <v>45660</v>
      </c>
      <c r="H452" s="3">
        <v>45660</v>
      </c>
      <c r="I452" s="2"/>
      <c r="J452" s="2"/>
      <c r="K452" s="2" t="s">
        <v>25</v>
      </c>
      <c r="L452" s="2" t="s">
        <v>26</v>
      </c>
      <c r="M452" s="2"/>
      <c r="N452" s="2" t="s">
        <v>27</v>
      </c>
      <c r="O452" s="2">
        <v>323.68</v>
      </c>
      <c r="P452" s="2">
        <v>58.26</v>
      </c>
      <c r="Q452" s="2">
        <v>381.94</v>
      </c>
      <c r="R452" s="2">
        <v>381.94</v>
      </c>
      <c r="S452" s="2">
        <v>381.94</v>
      </c>
      <c r="T452" s="2" t="s">
        <v>28</v>
      </c>
      <c r="U452" s="2" t="b">
        <v>0</v>
      </c>
      <c r="V452" s="2" t="s">
        <v>29</v>
      </c>
      <c r="W452" s="2" t="s">
        <v>104</v>
      </c>
      <c r="X452" s="2" t="s">
        <v>105</v>
      </c>
      <c r="Y452" s="2" t="s">
        <v>1206</v>
      </c>
      <c r="Z452" s="2" t="s">
        <v>31</v>
      </c>
      <c r="AK452" s="8">
        <f t="shared" si="7"/>
        <v>45660</v>
      </c>
    </row>
    <row r="453" spans="1:37" ht="15" customHeight="1">
      <c r="A453" s="2" t="s">
        <v>1207</v>
      </c>
      <c r="B453" s="2">
        <v>0</v>
      </c>
      <c r="C453" s="2"/>
      <c r="D453" s="2" t="s">
        <v>272</v>
      </c>
      <c r="E453" s="2" t="s">
        <v>1205</v>
      </c>
      <c r="F453" s="3">
        <v>45660</v>
      </c>
      <c r="G453" s="3">
        <v>45660</v>
      </c>
      <c r="H453" s="3">
        <v>45660</v>
      </c>
      <c r="I453" s="2"/>
      <c r="J453" s="2"/>
      <c r="K453" s="2" t="s">
        <v>25</v>
      </c>
      <c r="L453" s="2" t="s">
        <v>26</v>
      </c>
      <c r="M453" s="2"/>
      <c r="N453" s="2" t="s">
        <v>27</v>
      </c>
      <c r="O453" s="2">
        <v>177.59</v>
      </c>
      <c r="P453" s="2">
        <v>31.97</v>
      </c>
      <c r="Q453" s="2">
        <v>209.56</v>
      </c>
      <c r="R453" s="2">
        <v>209.56</v>
      </c>
      <c r="S453" s="2">
        <v>209.56</v>
      </c>
      <c r="T453" s="2" t="s">
        <v>28</v>
      </c>
      <c r="U453" s="2" t="b">
        <v>0</v>
      </c>
      <c r="V453" s="2" t="s">
        <v>29</v>
      </c>
      <c r="W453" s="2" t="s">
        <v>104</v>
      </c>
      <c r="X453" s="2" t="s">
        <v>105</v>
      </c>
      <c r="Y453" s="2" t="s">
        <v>1208</v>
      </c>
      <c r="Z453" s="2" t="s">
        <v>31</v>
      </c>
      <c r="AK453" s="8">
        <f t="shared" si="7"/>
        <v>45660</v>
      </c>
    </row>
    <row r="454" spans="1:37" ht="15" customHeight="1">
      <c r="A454" s="2" t="s">
        <v>1209</v>
      </c>
      <c r="B454" s="2">
        <v>0</v>
      </c>
      <c r="C454" s="2"/>
      <c r="D454" s="2" t="s">
        <v>272</v>
      </c>
      <c r="E454" s="2" t="s">
        <v>1158</v>
      </c>
      <c r="F454" s="3">
        <v>45660</v>
      </c>
      <c r="G454" s="3">
        <v>45660</v>
      </c>
      <c r="H454" s="3">
        <v>45660</v>
      </c>
      <c r="I454" s="2"/>
      <c r="J454" s="2"/>
      <c r="K454" s="2" t="s">
        <v>25</v>
      </c>
      <c r="L454" s="2" t="s">
        <v>26</v>
      </c>
      <c r="M454" s="2"/>
      <c r="N454" s="2" t="s">
        <v>27</v>
      </c>
      <c r="O454" s="2">
        <v>100</v>
      </c>
      <c r="P454" s="2">
        <v>18</v>
      </c>
      <c r="Q454" s="2">
        <v>118</v>
      </c>
      <c r="R454" s="2">
        <v>118</v>
      </c>
      <c r="S454" s="2">
        <v>118</v>
      </c>
      <c r="T454" s="2" t="s">
        <v>28</v>
      </c>
      <c r="U454" s="2" t="b">
        <v>0</v>
      </c>
      <c r="V454" s="2" t="s">
        <v>29</v>
      </c>
      <c r="W454" s="2" t="s">
        <v>104</v>
      </c>
      <c r="X454" s="2" t="s">
        <v>105</v>
      </c>
      <c r="Y454" s="2" t="s">
        <v>1210</v>
      </c>
      <c r="Z454" s="2" t="s">
        <v>31</v>
      </c>
      <c r="AK454" s="8">
        <f t="shared" si="7"/>
        <v>45660</v>
      </c>
    </row>
    <row r="455" spans="1:37" ht="15" customHeight="1">
      <c r="A455" s="2" t="s">
        <v>1211</v>
      </c>
      <c r="B455" s="2">
        <v>0</v>
      </c>
      <c r="C455" s="2"/>
      <c r="D455" s="2" t="s">
        <v>272</v>
      </c>
      <c r="E455" s="2" t="s">
        <v>1158</v>
      </c>
      <c r="F455" s="3">
        <v>45660</v>
      </c>
      <c r="G455" s="3">
        <v>45660</v>
      </c>
      <c r="H455" s="3">
        <v>45660</v>
      </c>
      <c r="I455" s="2"/>
      <c r="J455" s="2"/>
      <c r="K455" s="2" t="s">
        <v>25</v>
      </c>
      <c r="L455" s="2" t="s">
        <v>26</v>
      </c>
      <c r="M455" s="2"/>
      <c r="N455" s="2" t="s">
        <v>27</v>
      </c>
      <c r="O455" s="2">
        <v>3774.66</v>
      </c>
      <c r="P455" s="2">
        <v>679.44</v>
      </c>
      <c r="Q455" s="2">
        <v>4454.1000000000004</v>
      </c>
      <c r="R455" s="2">
        <v>4454.1000000000004</v>
      </c>
      <c r="S455" s="2">
        <v>4454.1000000000004</v>
      </c>
      <c r="T455" s="2" t="s">
        <v>28</v>
      </c>
      <c r="U455" s="2" t="b">
        <v>0</v>
      </c>
      <c r="V455" s="2" t="s">
        <v>29</v>
      </c>
      <c r="W455" s="2" t="s">
        <v>104</v>
      </c>
      <c r="X455" s="2" t="s">
        <v>105</v>
      </c>
      <c r="Y455" s="2" t="s">
        <v>1212</v>
      </c>
      <c r="Z455" s="2" t="s">
        <v>31</v>
      </c>
      <c r="AK455" s="8">
        <f t="shared" ref="AK455:AK458" si="8">+IF(AE455&lt;&gt;"",AE455,F455)</f>
        <v>45660</v>
      </c>
    </row>
    <row r="456" spans="1:37" ht="15" customHeight="1">
      <c r="A456" s="2" t="s">
        <v>1213</v>
      </c>
      <c r="B456" s="2">
        <v>0</v>
      </c>
      <c r="C456" s="2"/>
      <c r="D456" s="2" t="s">
        <v>272</v>
      </c>
      <c r="E456" s="2" t="s">
        <v>1158</v>
      </c>
      <c r="F456" s="3">
        <v>45660</v>
      </c>
      <c r="G456" s="3">
        <v>45660</v>
      </c>
      <c r="H456" s="3">
        <v>45660</v>
      </c>
      <c r="I456" s="2"/>
      <c r="J456" s="2"/>
      <c r="K456" s="2" t="s">
        <v>25</v>
      </c>
      <c r="L456" s="2" t="s">
        <v>26</v>
      </c>
      <c r="M456" s="2"/>
      <c r="N456" s="2" t="s">
        <v>27</v>
      </c>
      <c r="O456" s="2">
        <v>3056.78</v>
      </c>
      <c r="P456" s="2">
        <v>550.22</v>
      </c>
      <c r="Q456" s="2">
        <v>3607</v>
      </c>
      <c r="R456" s="2">
        <v>3607</v>
      </c>
      <c r="S456" s="2">
        <v>3607</v>
      </c>
      <c r="T456" s="2" t="s">
        <v>28</v>
      </c>
      <c r="U456" s="2" t="b">
        <v>0</v>
      </c>
      <c r="V456" s="2" t="s">
        <v>29</v>
      </c>
      <c r="W456" s="2" t="s">
        <v>104</v>
      </c>
      <c r="X456" s="2" t="s">
        <v>105</v>
      </c>
      <c r="Y456" s="2" t="s">
        <v>1214</v>
      </c>
      <c r="Z456" s="2" t="s">
        <v>31</v>
      </c>
      <c r="AK456" s="8">
        <f t="shared" si="8"/>
        <v>45660</v>
      </c>
    </row>
    <row r="457" spans="1:37" ht="15" customHeight="1">
      <c r="A457" s="2" t="s">
        <v>1215</v>
      </c>
      <c r="B457" s="2">
        <v>0</v>
      </c>
      <c r="C457" s="2"/>
      <c r="D457" s="2" t="s">
        <v>272</v>
      </c>
      <c r="E457" s="2" t="s">
        <v>1216</v>
      </c>
      <c r="F457" s="3">
        <v>45660</v>
      </c>
      <c r="G457" s="3">
        <v>45660</v>
      </c>
      <c r="H457" s="3">
        <v>45660</v>
      </c>
      <c r="I457" s="2"/>
      <c r="J457" s="2"/>
      <c r="K457" s="2" t="s">
        <v>25</v>
      </c>
      <c r="L457" s="2" t="s">
        <v>26</v>
      </c>
      <c r="M457" s="2"/>
      <c r="N457" s="2" t="s">
        <v>27</v>
      </c>
      <c r="O457" s="2">
        <v>129.15</v>
      </c>
      <c r="P457" s="2">
        <v>23.25</v>
      </c>
      <c r="Q457" s="2">
        <v>152.4</v>
      </c>
      <c r="R457" s="2">
        <v>152.4</v>
      </c>
      <c r="S457" s="2">
        <v>152.4</v>
      </c>
      <c r="T457" s="2" t="s">
        <v>28</v>
      </c>
      <c r="U457" s="2" t="b">
        <v>0</v>
      </c>
      <c r="V457" s="2" t="s">
        <v>29</v>
      </c>
      <c r="W457" s="2" t="s">
        <v>104</v>
      </c>
      <c r="X457" s="2" t="s">
        <v>105</v>
      </c>
      <c r="Y457" s="2" t="s">
        <v>1217</v>
      </c>
      <c r="Z457" s="2" t="s">
        <v>31</v>
      </c>
      <c r="AK457" s="8">
        <f t="shared" si="8"/>
        <v>45660</v>
      </c>
    </row>
    <row r="458" spans="1:37" ht="15" customHeight="1">
      <c r="A458" s="2" t="s">
        <v>1218</v>
      </c>
      <c r="B458" s="2">
        <v>0</v>
      </c>
      <c r="C458" s="2"/>
      <c r="D458" s="2" t="s">
        <v>272</v>
      </c>
      <c r="E458" s="2" t="s">
        <v>1216</v>
      </c>
      <c r="F458" s="3">
        <v>45660</v>
      </c>
      <c r="G458" s="3">
        <v>45660</v>
      </c>
      <c r="H458" s="3">
        <v>45660</v>
      </c>
      <c r="I458" s="2"/>
      <c r="J458" s="2"/>
      <c r="K458" s="2" t="s">
        <v>25</v>
      </c>
      <c r="L458" s="2" t="s">
        <v>26</v>
      </c>
      <c r="M458" s="2"/>
      <c r="N458" s="2" t="s">
        <v>27</v>
      </c>
      <c r="O458" s="2">
        <v>84.07</v>
      </c>
      <c r="P458" s="2">
        <v>15.13</v>
      </c>
      <c r="Q458" s="2">
        <v>99.2</v>
      </c>
      <c r="R458" s="2">
        <v>99.2</v>
      </c>
      <c r="S458" s="2">
        <v>99.2</v>
      </c>
      <c r="T458" s="2" t="s">
        <v>28</v>
      </c>
      <c r="U458" s="2" t="b">
        <v>0</v>
      </c>
      <c r="V458" s="2" t="s">
        <v>29</v>
      </c>
      <c r="W458" s="2" t="s">
        <v>104</v>
      </c>
      <c r="X458" s="2" t="s">
        <v>105</v>
      </c>
      <c r="Y458" s="2" t="s">
        <v>1219</v>
      </c>
      <c r="Z458" s="2" t="s">
        <v>31</v>
      </c>
      <c r="AK458" s="8">
        <f t="shared" si="8"/>
        <v>45660</v>
      </c>
    </row>
  </sheetData>
  <autoFilter ref="A1:AK87" xr:uid="{00000000-0001-0000-0000-000000000000}">
    <sortState xmlns:xlrd2="http://schemas.microsoft.com/office/spreadsheetml/2017/richdata2" ref="A2:AK87">
      <sortCondition ref="O1:O8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8"/>
  <sheetViews>
    <sheetView topLeftCell="Q1" zoomScaleNormal="100" workbookViewId="0">
      <selection activeCell="AE31" sqref="AE31"/>
    </sheetView>
  </sheetViews>
  <sheetFormatPr baseColWidth="10" defaultRowHeight="12.75"/>
  <cols>
    <col min="1" max="1" width="4.7109375" style="17" customWidth="1"/>
    <col min="2" max="2" width="15.7109375" style="17" bestFit="1" customWidth="1"/>
    <col min="3" max="3" width="22.42578125" style="17" bestFit="1" customWidth="1"/>
    <col min="4" max="4" width="5.85546875" style="17" customWidth="1"/>
    <col min="5" max="5" width="15.7109375" style="17" bestFit="1" customWidth="1"/>
    <col min="6" max="6" width="25.85546875" style="17" bestFit="1" customWidth="1"/>
    <col min="7" max="7" width="5.28515625" style="17" customWidth="1"/>
    <col min="8" max="8" width="15.7109375" style="17" bestFit="1" customWidth="1"/>
    <col min="9" max="9" width="25.85546875" style="17" bestFit="1" customWidth="1"/>
    <col min="10" max="10" width="6.140625" style="17" customWidth="1"/>
    <col min="11" max="11" width="78.28515625" style="17" bestFit="1" customWidth="1"/>
    <col min="12" max="12" width="7.85546875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15.7109375" style="17" bestFit="1" customWidth="1"/>
    <col min="18" max="18" width="25.85546875" style="17" bestFit="1" customWidth="1"/>
    <col min="19" max="19" width="11.42578125" style="17"/>
    <col min="20" max="20" width="15.7109375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7.85546875" style="17" bestFit="1" customWidth="1"/>
    <col min="33" max="33" width="25.85546875" style="17" bestFit="1" customWidth="1"/>
    <col min="34" max="34" width="22.42578125" style="17" bestFit="1" customWidth="1"/>
    <col min="35" max="36" width="18.7109375" style="17" bestFit="1" customWidth="1"/>
    <col min="37" max="16384" width="11.42578125" style="17"/>
  </cols>
  <sheetData>
    <row r="6" spans="2:36">
      <c r="B6" s="16" t="s">
        <v>57</v>
      </c>
      <c r="C6" s="16"/>
      <c r="D6" s="16"/>
      <c r="E6" s="16" t="s">
        <v>58</v>
      </c>
      <c r="H6" s="16" t="s">
        <v>59</v>
      </c>
      <c r="K6" s="16" t="s">
        <v>60</v>
      </c>
      <c r="Q6" s="16" t="s">
        <v>61</v>
      </c>
      <c r="T6" s="16" t="s">
        <v>229</v>
      </c>
      <c r="Z6" s="16" t="s">
        <v>228</v>
      </c>
      <c r="AF6" s="16" t="s">
        <v>227</v>
      </c>
    </row>
    <row r="8" spans="2:36" ht="15">
      <c r="B8" s="18" t="s">
        <v>51</v>
      </c>
      <c r="C8" s="17" t="s">
        <v>107</v>
      </c>
      <c r="E8" s="18" t="s">
        <v>51</v>
      </c>
      <c r="F8" s="17" t="s">
        <v>54</v>
      </c>
      <c r="H8" s="18" t="s">
        <v>51</v>
      </c>
      <c r="I8" s="17" t="s">
        <v>54</v>
      </c>
      <c r="K8" s="18" t="s">
        <v>51</v>
      </c>
      <c r="L8" s="17" t="s">
        <v>112</v>
      </c>
      <c r="M8" s="17" t="s">
        <v>54</v>
      </c>
      <c r="N8" s="17" t="s">
        <v>108</v>
      </c>
      <c r="O8" s="17" t="s">
        <v>109</v>
      </c>
      <c r="Q8" s="18" t="s">
        <v>51</v>
      </c>
      <c r="R8" s="17" t="s">
        <v>54</v>
      </c>
      <c r="T8" s="18" t="s">
        <v>51</v>
      </c>
      <c r="U8" s="17" t="s">
        <v>112</v>
      </c>
      <c r="V8" s="17" t="s">
        <v>54</v>
      </c>
      <c r="W8" s="17" t="s">
        <v>108</v>
      </c>
      <c r="X8" s="17" t="s">
        <v>109</v>
      </c>
      <c r="Z8" s="18" t="s">
        <v>51</v>
      </c>
      <c r="AA8" s="17" t="s">
        <v>112</v>
      </c>
      <c r="AB8" s="17" t="s">
        <v>54</v>
      </c>
      <c r="AC8" s="17" t="s">
        <v>108</v>
      </c>
      <c r="AD8" s="17" t="s">
        <v>109</v>
      </c>
      <c r="AF8" s="17" t="s">
        <v>112</v>
      </c>
      <c r="AG8" s="17" t="s">
        <v>54</v>
      </c>
      <c r="AH8" s="17" t="s">
        <v>108</v>
      </c>
      <c r="AI8" s="17" t="s">
        <v>109</v>
      </c>
      <c r="AJ8"/>
    </row>
    <row r="9" spans="2:36" ht="15">
      <c r="B9" s="19" t="s">
        <v>31</v>
      </c>
      <c r="C9" s="28">
        <v>457</v>
      </c>
      <c r="E9" s="19" t="s">
        <v>31</v>
      </c>
      <c r="F9" s="28">
        <v>361701.78999999986</v>
      </c>
      <c r="H9" s="19" t="s">
        <v>53</v>
      </c>
      <c r="I9" s="28">
        <v>361701.78999999986</v>
      </c>
      <c r="K9" s="19" t="s">
        <v>33</v>
      </c>
      <c r="L9" s="28">
        <v>4</v>
      </c>
      <c r="M9" s="28">
        <v>4469.7</v>
      </c>
      <c r="N9" s="28">
        <v>804.55</v>
      </c>
      <c r="O9" s="28">
        <v>5274.25</v>
      </c>
      <c r="Q9" s="19" t="s">
        <v>53</v>
      </c>
      <c r="R9" s="28">
        <v>361701.78999999986</v>
      </c>
      <c r="T9" s="19" t="s">
        <v>1220</v>
      </c>
      <c r="U9" s="28">
        <v>289</v>
      </c>
      <c r="V9" s="28">
        <v>235069.67000000004</v>
      </c>
      <c r="W9" s="28">
        <v>42312.449999999983</v>
      </c>
      <c r="X9" s="28">
        <v>277382.11999999988</v>
      </c>
      <c r="Z9" s="20">
        <v>45660</v>
      </c>
      <c r="AA9" s="28">
        <v>23</v>
      </c>
      <c r="AB9" s="28">
        <v>32704.91</v>
      </c>
      <c r="AC9" s="28">
        <v>5886.9000000000015</v>
      </c>
      <c r="AD9" s="28">
        <v>38591.81</v>
      </c>
      <c r="AF9" s="28">
        <v>457</v>
      </c>
      <c r="AG9" s="28">
        <v>361701.78999999986</v>
      </c>
      <c r="AH9" s="28">
        <v>65106.269999999968</v>
      </c>
      <c r="AI9" s="28">
        <v>426808.06000000011</v>
      </c>
      <c r="AJ9"/>
    </row>
    <row r="10" spans="2:36" ht="15">
      <c r="B10" s="19" t="s">
        <v>52</v>
      </c>
      <c r="C10" s="28">
        <v>457</v>
      </c>
      <c r="E10" s="19" t="s">
        <v>52</v>
      </c>
      <c r="F10" s="28">
        <v>361701.78999999986</v>
      </c>
      <c r="H10" s="19" t="s">
        <v>52</v>
      </c>
      <c r="I10" s="28">
        <v>361701.78999999986</v>
      </c>
      <c r="K10" s="19" t="s">
        <v>34</v>
      </c>
      <c r="L10" s="28">
        <v>14</v>
      </c>
      <c r="M10" s="28">
        <v>15519.659999999998</v>
      </c>
      <c r="N10" s="28">
        <v>2793.5299999999997</v>
      </c>
      <c r="O10" s="28">
        <v>18313.190000000002</v>
      </c>
      <c r="Q10" s="19" t="s">
        <v>52</v>
      </c>
      <c r="R10" s="28">
        <v>361701.78999999986</v>
      </c>
      <c r="T10" s="23">
        <v>45660</v>
      </c>
      <c r="U10" s="28">
        <v>23</v>
      </c>
      <c r="V10" s="28">
        <v>32704.91</v>
      </c>
      <c r="W10" s="28">
        <v>5886.9000000000015</v>
      </c>
      <c r="X10" s="28">
        <v>38591.81</v>
      </c>
      <c r="Z10" s="20">
        <v>45663</v>
      </c>
      <c r="AA10" s="28">
        <v>51</v>
      </c>
      <c r="AB10" s="28">
        <v>22695.160000000003</v>
      </c>
      <c r="AC10" s="28">
        <v>4085.1099999999997</v>
      </c>
      <c r="AD10" s="28">
        <v>26780.27</v>
      </c>
      <c r="AF10"/>
      <c r="AG10"/>
      <c r="AH10"/>
      <c r="AI10"/>
      <c r="AJ10"/>
    </row>
    <row r="11" spans="2:36" ht="15">
      <c r="B11"/>
      <c r="C11"/>
      <c r="E11"/>
      <c r="F11"/>
      <c r="K11" s="19" t="s">
        <v>32</v>
      </c>
      <c r="L11" s="28">
        <v>15</v>
      </c>
      <c r="M11" s="28">
        <v>23181.239999999998</v>
      </c>
      <c r="N11" s="28">
        <v>4172.619999999999</v>
      </c>
      <c r="O11" s="28">
        <v>27353.859999999997</v>
      </c>
      <c r="T11" s="23">
        <v>45663</v>
      </c>
      <c r="U11" s="28">
        <v>51</v>
      </c>
      <c r="V11" s="28">
        <v>22695.160000000003</v>
      </c>
      <c r="W11" s="28">
        <v>4085.1099999999997</v>
      </c>
      <c r="X11" s="28">
        <v>26780.27</v>
      </c>
      <c r="Z11" s="20">
        <v>45665</v>
      </c>
      <c r="AA11" s="28">
        <v>44</v>
      </c>
      <c r="AB11" s="28">
        <v>54146.23000000001</v>
      </c>
      <c r="AC11" s="28">
        <v>9746.3000000000029</v>
      </c>
      <c r="AD11" s="28">
        <v>63892.529999999992</v>
      </c>
      <c r="AF11"/>
      <c r="AG11"/>
      <c r="AH11"/>
      <c r="AI11"/>
      <c r="AJ11"/>
    </row>
    <row r="12" spans="2:36" ht="15">
      <c r="K12" s="19" t="s">
        <v>35</v>
      </c>
      <c r="L12" s="28">
        <v>1</v>
      </c>
      <c r="M12" s="28">
        <v>400</v>
      </c>
      <c r="N12" s="28">
        <v>72</v>
      </c>
      <c r="O12" s="28">
        <v>472</v>
      </c>
      <c r="T12" s="23">
        <v>45665</v>
      </c>
      <c r="U12" s="28">
        <v>44</v>
      </c>
      <c r="V12" s="28">
        <v>54146.23000000001</v>
      </c>
      <c r="W12" s="28">
        <v>9746.3000000000029</v>
      </c>
      <c r="X12" s="28">
        <v>63892.529999999992</v>
      </c>
      <c r="Z12" s="20">
        <v>45666</v>
      </c>
      <c r="AA12" s="28">
        <v>2</v>
      </c>
      <c r="AB12" s="28">
        <v>1946.5</v>
      </c>
      <c r="AC12" s="28">
        <v>350.37</v>
      </c>
      <c r="AD12" s="28">
        <v>2296.87</v>
      </c>
      <c r="AF12"/>
      <c r="AG12"/>
      <c r="AH12"/>
      <c r="AI12"/>
      <c r="AJ12"/>
    </row>
    <row r="13" spans="2:36" ht="15">
      <c r="K13" s="19" t="s">
        <v>36</v>
      </c>
      <c r="L13" s="28">
        <v>3</v>
      </c>
      <c r="M13" s="28">
        <v>158.24</v>
      </c>
      <c r="N13" s="28">
        <v>28.49</v>
      </c>
      <c r="O13" s="28">
        <v>186.73000000000002</v>
      </c>
      <c r="T13" s="23">
        <v>45666</v>
      </c>
      <c r="U13" s="28">
        <v>2</v>
      </c>
      <c r="V13" s="28">
        <v>1946.5</v>
      </c>
      <c r="W13" s="28">
        <v>350.37</v>
      </c>
      <c r="X13" s="28">
        <v>2296.87</v>
      </c>
      <c r="Z13" s="20">
        <v>45672</v>
      </c>
      <c r="AA13" s="28">
        <v>10</v>
      </c>
      <c r="AB13" s="28">
        <v>2958.6799999999994</v>
      </c>
      <c r="AC13" s="28">
        <v>532.56999999999994</v>
      </c>
      <c r="AD13" s="28">
        <v>3491.2499999999995</v>
      </c>
      <c r="AF13"/>
      <c r="AG13"/>
      <c r="AH13"/>
      <c r="AI13"/>
      <c r="AJ13"/>
    </row>
    <row r="14" spans="2:36" ht="15">
      <c r="K14" s="19" t="s">
        <v>273</v>
      </c>
      <c r="L14" s="28">
        <v>2</v>
      </c>
      <c r="M14" s="28">
        <v>53.34</v>
      </c>
      <c r="N14" s="28">
        <v>9.61</v>
      </c>
      <c r="O14" s="28">
        <v>62.949999999999996</v>
      </c>
      <c r="T14" s="23">
        <v>45672</v>
      </c>
      <c r="U14" s="28">
        <v>10</v>
      </c>
      <c r="V14" s="28">
        <v>2958.6799999999994</v>
      </c>
      <c r="W14" s="28">
        <v>532.56999999999994</v>
      </c>
      <c r="X14" s="28">
        <v>3491.2499999999995</v>
      </c>
      <c r="Z14" s="20">
        <v>45673</v>
      </c>
      <c r="AA14" s="28">
        <v>4</v>
      </c>
      <c r="AB14" s="28">
        <v>2879.66</v>
      </c>
      <c r="AC14" s="28">
        <v>518.34</v>
      </c>
      <c r="AD14" s="28">
        <v>3398</v>
      </c>
      <c r="AF14"/>
      <c r="AG14"/>
      <c r="AH14"/>
      <c r="AI14"/>
      <c r="AJ14"/>
    </row>
    <row r="15" spans="2:36" ht="15">
      <c r="K15" s="19" t="s">
        <v>278</v>
      </c>
      <c r="L15" s="28">
        <v>4</v>
      </c>
      <c r="M15" s="28">
        <v>5829.8099999999995</v>
      </c>
      <c r="N15" s="28">
        <v>1049.3699999999999</v>
      </c>
      <c r="O15" s="28">
        <v>6879.18</v>
      </c>
      <c r="T15" s="23">
        <v>45673</v>
      </c>
      <c r="U15" s="28">
        <v>4</v>
      </c>
      <c r="V15" s="28">
        <v>2879.66</v>
      </c>
      <c r="W15" s="28">
        <v>518.34</v>
      </c>
      <c r="X15" s="28">
        <v>3398</v>
      </c>
      <c r="Z15" s="20">
        <v>45680</v>
      </c>
      <c r="AA15" s="28">
        <v>81</v>
      </c>
      <c r="AB15" s="28">
        <v>65804.219999999987</v>
      </c>
      <c r="AC15" s="28">
        <v>11844.710000000003</v>
      </c>
      <c r="AD15" s="28">
        <v>77648.930000000022</v>
      </c>
      <c r="AF15"/>
      <c r="AG15"/>
      <c r="AH15"/>
      <c r="AI15"/>
      <c r="AJ15"/>
    </row>
    <row r="16" spans="2:36" ht="15">
      <c r="E16" s="16" t="s">
        <v>110</v>
      </c>
      <c r="K16" s="19" t="s">
        <v>284</v>
      </c>
      <c r="L16" s="28">
        <v>2</v>
      </c>
      <c r="M16" s="28">
        <v>44.239999999999995</v>
      </c>
      <c r="N16" s="28">
        <v>7.97</v>
      </c>
      <c r="O16" s="28">
        <v>52.21</v>
      </c>
      <c r="T16" s="23">
        <v>45680</v>
      </c>
      <c r="U16" s="28">
        <v>81</v>
      </c>
      <c r="V16" s="28">
        <v>65804.219999999987</v>
      </c>
      <c r="W16" s="28">
        <v>11844.710000000003</v>
      </c>
      <c r="X16" s="28">
        <v>77648.930000000022</v>
      </c>
      <c r="Z16" s="20">
        <v>45684</v>
      </c>
      <c r="AA16" s="28">
        <v>1</v>
      </c>
      <c r="AB16" s="28">
        <v>800</v>
      </c>
      <c r="AC16" s="28">
        <v>144</v>
      </c>
      <c r="AD16" s="28">
        <v>944</v>
      </c>
      <c r="AF16"/>
      <c r="AG16"/>
      <c r="AH16"/>
      <c r="AI16"/>
      <c r="AJ16"/>
    </row>
    <row r="17" spans="5:36" ht="15">
      <c r="K17" s="19" t="s">
        <v>288</v>
      </c>
      <c r="L17" s="28">
        <v>4</v>
      </c>
      <c r="M17" s="28">
        <v>2091.73</v>
      </c>
      <c r="N17" s="28">
        <v>376.52</v>
      </c>
      <c r="O17" s="28">
        <v>2468.25</v>
      </c>
      <c r="T17" s="23">
        <v>45684</v>
      </c>
      <c r="U17" s="28">
        <v>1</v>
      </c>
      <c r="V17" s="28">
        <v>800</v>
      </c>
      <c r="W17" s="28">
        <v>144</v>
      </c>
      <c r="X17" s="28">
        <v>944</v>
      </c>
      <c r="Z17" s="20">
        <v>45685</v>
      </c>
      <c r="AA17" s="28">
        <v>31</v>
      </c>
      <c r="AB17" s="28">
        <v>18261.91</v>
      </c>
      <c r="AC17" s="28">
        <v>3287.1400000000008</v>
      </c>
      <c r="AD17" s="28">
        <v>21549.049999999996</v>
      </c>
      <c r="AF17"/>
      <c r="AG17"/>
      <c r="AH17"/>
      <c r="AI17"/>
      <c r="AJ17"/>
    </row>
    <row r="18" spans="5:36" ht="15">
      <c r="E18" s="18" t="s">
        <v>51</v>
      </c>
      <c r="F18" s="17" t="s">
        <v>108</v>
      </c>
      <c r="K18" s="19" t="s">
        <v>294</v>
      </c>
      <c r="L18" s="28">
        <v>9</v>
      </c>
      <c r="M18" s="28">
        <v>6747.0199999999995</v>
      </c>
      <c r="N18" s="28">
        <v>1214.46</v>
      </c>
      <c r="O18" s="28">
        <v>7961.48</v>
      </c>
      <c r="T18" s="23">
        <v>45685</v>
      </c>
      <c r="U18" s="28">
        <v>31</v>
      </c>
      <c r="V18" s="28">
        <v>18261.91</v>
      </c>
      <c r="W18" s="28">
        <v>3287.1400000000008</v>
      </c>
      <c r="X18" s="28">
        <v>21549.049999999996</v>
      </c>
      <c r="Z18" s="20">
        <v>45686</v>
      </c>
      <c r="AA18" s="28">
        <v>29</v>
      </c>
      <c r="AB18" s="28">
        <v>30888.679999999997</v>
      </c>
      <c r="AC18" s="28">
        <v>5559.94</v>
      </c>
      <c r="AD18" s="28">
        <v>36448.620000000003</v>
      </c>
      <c r="AF18"/>
      <c r="AG18"/>
      <c r="AH18"/>
      <c r="AI18"/>
      <c r="AJ18"/>
    </row>
    <row r="19" spans="5:36" ht="15">
      <c r="E19" s="19" t="s">
        <v>31</v>
      </c>
      <c r="F19" s="28">
        <v>65106.269999999968</v>
      </c>
      <c r="K19" s="19" t="s">
        <v>314</v>
      </c>
      <c r="L19" s="28">
        <v>10</v>
      </c>
      <c r="M19" s="28">
        <v>7585.7699999999995</v>
      </c>
      <c r="N19" s="28">
        <v>1365.4299999999998</v>
      </c>
      <c r="O19" s="28">
        <v>8951.2000000000007</v>
      </c>
      <c r="T19" s="23">
        <v>45686</v>
      </c>
      <c r="U19" s="28">
        <v>29</v>
      </c>
      <c r="V19" s="28">
        <v>30888.679999999997</v>
      </c>
      <c r="W19" s="28">
        <v>5559.94</v>
      </c>
      <c r="X19" s="28">
        <v>36448.620000000003</v>
      </c>
      <c r="Z19" s="20">
        <v>45687</v>
      </c>
      <c r="AA19" s="28">
        <v>7</v>
      </c>
      <c r="AB19" s="28">
        <v>1380.5900000000001</v>
      </c>
      <c r="AC19" s="28">
        <v>248.51</v>
      </c>
      <c r="AD19" s="28">
        <v>1629.1000000000001</v>
      </c>
      <c r="AF19"/>
      <c r="AG19"/>
      <c r="AH19"/>
      <c r="AI19"/>
      <c r="AJ19"/>
    </row>
    <row r="20" spans="5:36" ht="15">
      <c r="E20" s="19" t="s">
        <v>52</v>
      </c>
      <c r="F20" s="28">
        <v>65106.269999999968</v>
      </c>
      <c r="K20" s="19" t="s">
        <v>323</v>
      </c>
      <c r="L20" s="28">
        <v>8</v>
      </c>
      <c r="M20" s="28">
        <v>13481.380000000001</v>
      </c>
      <c r="N20" s="28">
        <v>2426.6499999999996</v>
      </c>
      <c r="O20" s="28">
        <v>15908.030000000002</v>
      </c>
      <c r="T20" s="23">
        <v>45687</v>
      </c>
      <c r="U20" s="28">
        <v>7</v>
      </c>
      <c r="V20" s="28">
        <v>1380.5900000000001</v>
      </c>
      <c r="W20" s="28">
        <v>248.51</v>
      </c>
      <c r="X20" s="28">
        <v>1629.1000000000001</v>
      </c>
      <c r="Z20" s="20">
        <v>45688</v>
      </c>
      <c r="AA20" s="28">
        <v>6</v>
      </c>
      <c r="AB20" s="28">
        <v>603.13</v>
      </c>
      <c r="AC20" s="28">
        <v>108.56</v>
      </c>
      <c r="AD20" s="28">
        <v>711.68999999999994</v>
      </c>
      <c r="AF20"/>
      <c r="AG20"/>
      <c r="AH20"/>
      <c r="AI20"/>
      <c r="AJ20"/>
    </row>
    <row r="21" spans="5:36" ht="15">
      <c r="E21"/>
      <c r="F21"/>
      <c r="K21" s="19" t="s">
        <v>335</v>
      </c>
      <c r="L21" s="28">
        <v>2</v>
      </c>
      <c r="M21" s="28">
        <v>4250.8500000000004</v>
      </c>
      <c r="N21" s="28">
        <v>765.15000000000009</v>
      </c>
      <c r="O21" s="28">
        <v>5016</v>
      </c>
      <c r="T21" s="23">
        <v>45688</v>
      </c>
      <c r="U21" s="28">
        <v>6</v>
      </c>
      <c r="V21" s="28">
        <v>603.13</v>
      </c>
      <c r="W21" s="28">
        <v>108.56</v>
      </c>
      <c r="X21" s="28">
        <v>711.68999999999994</v>
      </c>
      <c r="Z21" s="20">
        <v>45691</v>
      </c>
      <c r="AA21" s="28">
        <v>1</v>
      </c>
      <c r="AB21" s="28">
        <v>830</v>
      </c>
      <c r="AC21" s="28">
        <v>149.4</v>
      </c>
      <c r="AD21" s="28">
        <v>979.4</v>
      </c>
      <c r="AF21"/>
      <c r="AG21"/>
      <c r="AH21"/>
      <c r="AI21"/>
      <c r="AJ21"/>
    </row>
    <row r="22" spans="5:36" ht="15">
      <c r="K22" s="19" t="s">
        <v>342</v>
      </c>
      <c r="L22" s="28">
        <v>17</v>
      </c>
      <c r="M22" s="28">
        <v>11764.460000000001</v>
      </c>
      <c r="N22" s="28">
        <v>2117.6099999999997</v>
      </c>
      <c r="O22" s="28">
        <v>13882.07</v>
      </c>
      <c r="T22" s="19" t="s">
        <v>56</v>
      </c>
      <c r="U22" s="28">
        <v>95</v>
      </c>
      <c r="V22" s="28">
        <v>43573.29</v>
      </c>
      <c r="W22" s="28">
        <v>7843.2000000000016</v>
      </c>
      <c r="X22" s="28">
        <v>51416.489999999991</v>
      </c>
      <c r="Z22" s="20">
        <v>45692</v>
      </c>
      <c r="AA22" s="28">
        <v>1</v>
      </c>
      <c r="AB22" s="28">
        <v>20</v>
      </c>
      <c r="AC22" s="28">
        <v>3.6</v>
      </c>
      <c r="AD22" s="28">
        <v>23.6</v>
      </c>
      <c r="AF22"/>
      <c r="AG22"/>
      <c r="AH22"/>
      <c r="AI22"/>
      <c r="AJ22"/>
    </row>
    <row r="23" spans="5:36" ht="15">
      <c r="K23" s="19" t="s">
        <v>345</v>
      </c>
      <c r="L23" s="28">
        <v>2</v>
      </c>
      <c r="M23" s="28">
        <v>1207.97</v>
      </c>
      <c r="N23" s="28">
        <v>217.44</v>
      </c>
      <c r="O23" s="28">
        <v>1425.4099999999999</v>
      </c>
      <c r="T23" s="23">
        <v>45691</v>
      </c>
      <c r="U23" s="28">
        <v>1</v>
      </c>
      <c r="V23" s="28">
        <v>830</v>
      </c>
      <c r="W23" s="28">
        <v>149.4</v>
      </c>
      <c r="X23" s="28">
        <v>979.4</v>
      </c>
      <c r="Z23" s="20">
        <v>45693</v>
      </c>
      <c r="AA23" s="28">
        <v>85</v>
      </c>
      <c r="AB23" s="28">
        <v>39583.19999999999</v>
      </c>
      <c r="AC23" s="28">
        <v>7124.9800000000014</v>
      </c>
      <c r="AD23" s="28">
        <v>46708.179999999993</v>
      </c>
      <c r="AF23"/>
      <c r="AG23"/>
      <c r="AH23"/>
      <c r="AI23"/>
      <c r="AJ23"/>
    </row>
    <row r="24" spans="5:36" ht="15">
      <c r="K24" s="19" t="s">
        <v>349</v>
      </c>
      <c r="L24" s="28">
        <v>6</v>
      </c>
      <c r="M24" s="28">
        <v>12614.539999999999</v>
      </c>
      <c r="N24" s="28">
        <v>2270.61</v>
      </c>
      <c r="O24" s="28">
        <v>14885.15</v>
      </c>
      <c r="T24" s="23">
        <v>45692</v>
      </c>
      <c r="U24" s="28">
        <v>1</v>
      </c>
      <c r="V24" s="28">
        <v>20</v>
      </c>
      <c r="W24" s="28">
        <v>3.6</v>
      </c>
      <c r="X24" s="28">
        <v>23.6</v>
      </c>
      <c r="Z24" s="20">
        <v>45695</v>
      </c>
      <c r="AA24" s="28">
        <v>5</v>
      </c>
      <c r="AB24" s="28">
        <v>269.09000000000003</v>
      </c>
      <c r="AC24" s="28">
        <v>48.44</v>
      </c>
      <c r="AD24" s="28">
        <v>317.53000000000003</v>
      </c>
      <c r="AF24"/>
      <c r="AG24"/>
      <c r="AH24"/>
      <c r="AI24"/>
      <c r="AJ24"/>
    </row>
    <row r="25" spans="5:36" ht="15">
      <c r="K25" s="19" t="s">
        <v>366</v>
      </c>
      <c r="L25" s="28">
        <v>5</v>
      </c>
      <c r="M25" s="28">
        <v>1048.3</v>
      </c>
      <c r="N25" s="28">
        <v>188.70000000000002</v>
      </c>
      <c r="O25" s="28">
        <v>1237</v>
      </c>
      <c r="T25" s="23">
        <v>45693</v>
      </c>
      <c r="U25" s="28">
        <v>85</v>
      </c>
      <c r="V25" s="28">
        <v>39583.19999999999</v>
      </c>
      <c r="W25" s="28">
        <v>7124.9800000000014</v>
      </c>
      <c r="X25" s="28">
        <v>46708.179999999993</v>
      </c>
      <c r="Z25" s="20">
        <v>45698</v>
      </c>
      <c r="AA25" s="28">
        <v>3</v>
      </c>
      <c r="AB25" s="28">
        <v>2871</v>
      </c>
      <c r="AC25" s="28">
        <v>516.78</v>
      </c>
      <c r="AD25" s="28">
        <v>3387.78</v>
      </c>
      <c r="AF25"/>
      <c r="AG25"/>
      <c r="AH25"/>
      <c r="AI25"/>
      <c r="AJ25"/>
    </row>
    <row r="26" spans="5:36" ht="15">
      <c r="K26" s="19" t="s">
        <v>373</v>
      </c>
      <c r="L26" s="28">
        <v>2</v>
      </c>
      <c r="M26" s="28">
        <v>153.22</v>
      </c>
      <c r="N26" s="28">
        <v>27.58</v>
      </c>
      <c r="O26" s="28">
        <v>180.8</v>
      </c>
      <c r="T26" s="23">
        <v>45695</v>
      </c>
      <c r="U26" s="28">
        <v>5</v>
      </c>
      <c r="V26" s="28">
        <v>269.09000000000003</v>
      </c>
      <c r="W26" s="28">
        <v>48.44</v>
      </c>
      <c r="X26" s="28">
        <v>317.53000000000003</v>
      </c>
      <c r="Z26" s="20">
        <v>45937</v>
      </c>
      <c r="AA26" s="28">
        <v>2</v>
      </c>
      <c r="AB26" s="28">
        <v>9727.56</v>
      </c>
      <c r="AC26" s="28">
        <v>1750.96</v>
      </c>
      <c r="AD26" s="28">
        <v>11478.52</v>
      </c>
      <c r="AF26"/>
      <c r="AG26"/>
      <c r="AH26"/>
      <c r="AI26"/>
      <c r="AJ26"/>
    </row>
    <row r="27" spans="5:36" ht="15">
      <c r="E27" s="16" t="s">
        <v>111</v>
      </c>
      <c r="K27" s="19" t="s">
        <v>380</v>
      </c>
      <c r="L27" s="28">
        <v>1</v>
      </c>
      <c r="M27" s="28">
        <v>4123.66</v>
      </c>
      <c r="N27" s="28">
        <v>742.26</v>
      </c>
      <c r="O27" s="28">
        <v>4865.92</v>
      </c>
      <c r="T27" s="23">
        <v>45698</v>
      </c>
      <c r="U27" s="28">
        <v>3</v>
      </c>
      <c r="V27" s="28">
        <v>2871</v>
      </c>
      <c r="W27" s="28">
        <v>516.78</v>
      </c>
      <c r="X27" s="28">
        <v>3387.78</v>
      </c>
      <c r="Z27" s="20">
        <v>45939</v>
      </c>
      <c r="AA27" s="28">
        <v>1</v>
      </c>
      <c r="AB27" s="28">
        <v>317.5</v>
      </c>
      <c r="AC27" s="28">
        <v>57.15</v>
      </c>
      <c r="AD27" s="28">
        <v>374.65</v>
      </c>
      <c r="AF27"/>
      <c r="AG27"/>
      <c r="AH27"/>
      <c r="AI27"/>
      <c r="AJ27"/>
    </row>
    <row r="28" spans="5:36" ht="15">
      <c r="K28" s="19" t="s">
        <v>383</v>
      </c>
      <c r="L28" s="28">
        <v>3</v>
      </c>
      <c r="M28" s="28">
        <v>4140</v>
      </c>
      <c r="N28" s="28">
        <v>745.2</v>
      </c>
      <c r="O28" s="28">
        <v>4885.2000000000007</v>
      </c>
      <c r="T28" s="19" t="s">
        <v>245</v>
      </c>
      <c r="U28" s="28">
        <v>73</v>
      </c>
      <c r="V28" s="28">
        <v>83058.830000000016</v>
      </c>
      <c r="W28" s="28">
        <v>14950.620000000003</v>
      </c>
      <c r="X28" s="28">
        <v>98009.450000000012</v>
      </c>
      <c r="Z28" s="20">
        <v>45940</v>
      </c>
      <c r="AA28" s="28">
        <v>2</v>
      </c>
      <c r="AB28" s="28">
        <v>556.01</v>
      </c>
      <c r="AC28" s="28">
        <v>100.08</v>
      </c>
      <c r="AD28" s="28">
        <v>656.08999999999992</v>
      </c>
      <c r="AF28"/>
      <c r="AG28"/>
      <c r="AH28"/>
      <c r="AI28"/>
      <c r="AJ28"/>
    </row>
    <row r="29" spans="5:36" ht="15">
      <c r="E29" s="18" t="s">
        <v>51</v>
      </c>
      <c r="F29" s="17" t="s">
        <v>109</v>
      </c>
      <c r="K29" s="19" t="s">
        <v>396</v>
      </c>
      <c r="L29" s="28">
        <v>2</v>
      </c>
      <c r="M29" s="28">
        <v>110.85</v>
      </c>
      <c r="N29" s="28">
        <v>19.950000000000003</v>
      </c>
      <c r="O29" s="28">
        <v>130.80000000000001</v>
      </c>
      <c r="T29" s="23">
        <v>45937</v>
      </c>
      <c r="U29" s="28">
        <v>2</v>
      </c>
      <c r="V29" s="28">
        <v>9727.56</v>
      </c>
      <c r="W29" s="28">
        <v>1750.96</v>
      </c>
      <c r="X29" s="28">
        <v>11478.52</v>
      </c>
      <c r="Z29" s="20">
        <v>45941</v>
      </c>
      <c r="AA29" s="28">
        <v>1</v>
      </c>
      <c r="AB29" s="28">
        <v>79.75</v>
      </c>
      <c r="AC29" s="28">
        <v>14.36</v>
      </c>
      <c r="AD29" s="28">
        <v>94.11</v>
      </c>
      <c r="AF29"/>
      <c r="AG29"/>
      <c r="AH29"/>
      <c r="AI29"/>
      <c r="AJ29"/>
    </row>
    <row r="30" spans="5:36" ht="15">
      <c r="E30" s="19" t="s">
        <v>31</v>
      </c>
      <c r="F30" s="28">
        <v>426808.06000000011</v>
      </c>
      <c r="K30" s="19" t="s">
        <v>401</v>
      </c>
      <c r="L30" s="28">
        <v>19</v>
      </c>
      <c r="M30" s="28">
        <v>32104.039999999997</v>
      </c>
      <c r="N30" s="28">
        <v>5778.7300000000005</v>
      </c>
      <c r="O30" s="28">
        <v>37882.769999999997</v>
      </c>
      <c r="T30" s="23">
        <v>45939</v>
      </c>
      <c r="U30" s="28">
        <v>1</v>
      </c>
      <c r="V30" s="28">
        <v>317.5</v>
      </c>
      <c r="W30" s="28">
        <v>57.15</v>
      </c>
      <c r="X30" s="28">
        <v>374.65</v>
      </c>
      <c r="Z30" s="20">
        <v>45943</v>
      </c>
      <c r="AA30" s="28">
        <v>13</v>
      </c>
      <c r="AB30" s="28">
        <v>9789.74</v>
      </c>
      <c r="AC30" s="28">
        <v>1762.1699999999996</v>
      </c>
      <c r="AD30" s="28">
        <v>11551.91</v>
      </c>
      <c r="AF30"/>
      <c r="AG30"/>
      <c r="AH30"/>
      <c r="AI30"/>
      <c r="AJ30"/>
    </row>
    <row r="31" spans="5:36" ht="15">
      <c r="E31" s="19" t="s">
        <v>52</v>
      </c>
      <c r="F31" s="28">
        <v>426808.06000000011</v>
      </c>
      <c r="K31" s="19" t="s">
        <v>408</v>
      </c>
      <c r="L31" s="28">
        <v>2</v>
      </c>
      <c r="M31" s="28">
        <v>330.51</v>
      </c>
      <c r="N31" s="28">
        <v>59.489999999999995</v>
      </c>
      <c r="O31" s="28">
        <v>390</v>
      </c>
      <c r="T31" s="23">
        <v>45940</v>
      </c>
      <c r="U31" s="28">
        <v>2</v>
      </c>
      <c r="V31" s="28">
        <v>556.01</v>
      </c>
      <c r="W31" s="28">
        <v>100.08</v>
      </c>
      <c r="X31" s="28">
        <v>656.08999999999992</v>
      </c>
      <c r="Z31" s="20">
        <v>45944</v>
      </c>
      <c r="AA31" s="28">
        <v>8</v>
      </c>
      <c r="AB31" s="28">
        <v>8278.61</v>
      </c>
      <c r="AC31" s="28">
        <v>1490.15</v>
      </c>
      <c r="AD31" s="28">
        <v>9768.76</v>
      </c>
      <c r="AF31"/>
      <c r="AG31"/>
      <c r="AH31"/>
      <c r="AI31"/>
      <c r="AJ31"/>
    </row>
    <row r="32" spans="5:36" ht="15">
      <c r="E32"/>
      <c r="F32"/>
      <c r="K32" s="19" t="s">
        <v>413</v>
      </c>
      <c r="L32" s="28">
        <v>4</v>
      </c>
      <c r="M32" s="28">
        <v>42.88</v>
      </c>
      <c r="N32" s="28">
        <v>7.7200000000000006</v>
      </c>
      <c r="O32" s="28">
        <v>50.6</v>
      </c>
      <c r="T32" s="23">
        <v>45941</v>
      </c>
      <c r="U32" s="28">
        <v>1</v>
      </c>
      <c r="V32" s="28">
        <v>79.75</v>
      </c>
      <c r="W32" s="28">
        <v>14.36</v>
      </c>
      <c r="X32" s="28">
        <v>94.11</v>
      </c>
      <c r="Z32" s="20">
        <v>45945</v>
      </c>
      <c r="AA32" s="28">
        <v>45</v>
      </c>
      <c r="AB32" s="28">
        <v>54302.16</v>
      </c>
      <c r="AC32" s="28">
        <v>9774.4</v>
      </c>
      <c r="AD32" s="28">
        <v>64076.56</v>
      </c>
      <c r="AF32"/>
      <c r="AG32"/>
      <c r="AH32"/>
      <c r="AI32"/>
      <c r="AJ32"/>
    </row>
    <row r="33" spans="11:36" ht="15">
      <c r="K33" s="19" t="s">
        <v>422</v>
      </c>
      <c r="L33" s="28">
        <v>56</v>
      </c>
      <c r="M33" s="28">
        <v>72447.199999999997</v>
      </c>
      <c r="N33" s="28">
        <v>13040.469999999998</v>
      </c>
      <c r="O33" s="28">
        <v>85487.67</v>
      </c>
      <c r="T33" s="23">
        <v>45943</v>
      </c>
      <c r="U33" s="28">
        <v>13</v>
      </c>
      <c r="V33" s="28">
        <v>9789.74</v>
      </c>
      <c r="W33" s="28">
        <v>1762.1699999999996</v>
      </c>
      <c r="X33" s="28">
        <v>11551.91</v>
      </c>
      <c r="Z33" s="20" t="s">
        <v>53</v>
      </c>
      <c r="AA33" s="28">
        <v>1</v>
      </c>
      <c r="AB33" s="28">
        <v>7.5</v>
      </c>
      <c r="AC33" s="28">
        <v>1.35</v>
      </c>
      <c r="AD33" s="28">
        <v>8.85</v>
      </c>
      <c r="AF33"/>
      <c r="AG33"/>
      <c r="AH33"/>
      <c r="AI33"/>
      <c r="AJ33"/>
    </row>
    <row r="34" spans="11:36" ht="15">
      <c r="K34" s="19" t="s">
        <v>431</v>
      </c>
      <c r="L34" s="28">
        <v>27</v>
      </c>
      <c r="M34" s="28">
        <v>31539.78</v>
      </c>
      <c r="N34" s="28">
        <v>5677.15</v>
      </c>
      <c r="O34" s="28">
        <v>37216.929999999993</v>
      </c>
      <c r="T34" s="23">
        <v>45944</v>
      </c>
      <c r="U34" s="28">
        <v>8</v>
      </c>
      <c r="V34" s="28">
        <v>8278.61</v>
      </c>
      <c r="W34" s="28">
        <v>1490.15</v>
      </c>
      <c r="X34" s="28">
        <v>9768.76</v>
      </c>
      <c r="Z34" s="20" t="s">
        <v>52</v>
      </c>
      <c r="AA34" s="28">
        <v>457</v>
      </c>
      <c r="AB34" s="28">
        <v>361701.79000000015</v>
      </c>
      <c r="AC34" s="28">
        <v>65106.26999999999</v>
      </c>
      <c r="AD34" s="28">
        <v>426808.05999999965</v>
      </c>
      <c r="AF34"/>
      <c r="AG34"/>
      <c r="AH34"/>
      <c r="AI34"/>
      <c r="AJ34"/>
    </row>
    <row r="35" spans="11:36" ht="15">
      <c r="K35" s="19" t="s">
        <v>442</v>
      </c>
      <c r="L35" s="28">
        <v>3</v>
      </c>
      <c r="M35" s="28">
        <v>789.89</v>
      </c>
      <c r="N35" s="28">
        <v>142.18</v>
      </c>
      <c r="O35" s="28">
        <v>932.07</v>
      </c>
      <c r="T35" s="23">
        <v>45945</v>
      </c>
      <c r="U35" s="28">
        <v>46</v>
      </c>
      <c r="V35" s="28">
        <v>54309.66</v>
      </c>
      <c r="W35" s="28">
        <v>9775.75</v>
      </c>
      <c r="X35" s="28">
        <v>64085.409999999996</v>
      </c>
      <c r="AF35"/>
      <c r="AG35"/>
      <c r="AH35"/>
      <c r="AI35"/>
      <c r="AJ35"/>
    </row>
    <row r="36" spans="11:36" ht="15">
      <c r="K36" s="19" t="s">
        <v>449</v>
      </c>
      <c r="L36" s="28">
        <v>4</v>
      </c>
      <c r="M36" s="28">
        <v>257.2</v>
      </c>
      <c r="N36" s="28">
        <v>46.3</v>
      </c>
      <c r="O36" s="28">
        <v>303.5</v>
      </c>
      <c r="T36" s="19" t="s">
        <v>52</v>
      </c>
      <c r="U36" s="28">
        <v>457</v>
      </c>
      <c r="V36" s="28">
        <v>361701.79000000015</v>
      </c>
      <c r="W36" s="28">
        <v>65106.26999999999</v>
      </c>
      <c r="X36" s="28">
        <v>426808.05999999965</v>
      </c>
      <c r="AF36"/>
      <c r="AG36"/>
      <c r="AH36"/>
      <c r="AI36"/>
      <c r="AJ36"/>
    </row>
    <row r="37" spans="11:36" ht="15">
      <c r="K37" s="19" t="s">
        <v>454</v>
      </c>
      <c r="L37" s="28">
        <v>2</v>
      </c>
      <c r="M37" s="28">
        <v>34.49</v>
      </c>
      <c r="N37" s="28">
        <v>6.21</v>
      </c>
      <c r="O37" s="28">
        <v>40.700000000000003</v>
      </c>
      <c r="T37"/>
      <c r="U37"/>
      <c r="V37"/>
      <c r="W37"/>
      <c r="X37"/>
      <c r="AF37"/>
      <c r="AG37"/>
      <c r="AH37"/>
      <c r="AI37"/>
      <c r="AJ37"/>
    </row>
    <row r="38" spans="11:36" ht="15">
      <c r="K38" s="19" t="s">
        <v>459</v>
      </c>
      <c r="L38" s="28">
        <v>11</v>
      </c>
      <c r="M38" s="28">
        <v>715.12999999999988</v>
      </c>
      <c r="N38" s="28">
        <v>128.72</v>
      </c>
      <c r="O38" s="28">
        <v>843.85</v>
      </c>
      <c r="T38"/>
      <c r="U38"/>
      <c r="V38"/>
      <c r="W38"/>
      <c r="X38"/>
      <c r="AF38"/>
      <c r="AG38"/>
      <c r="AH38"/>
      <c r="AI38"/>
      <c r="AJ38"/>
    </row>
    <row r="39" spans="11:36" ht="15">
      <c r="K39" s="19" t="s">
        <v>464</v>
      </c>
      <c r="L39" s="28">
        <v>2</v>
      </c>
      <c r="M39" s="28">
        <v>23.67</v>
      </c>
      <c r="N39" s="28">
        <v>4.2699999999999996</v>
      </c>
      <c r="O39" s="28">
        <v>27.939999999999998</v>
      </c>
      <c r="T39"/>
      <c r="U39"/>
      <c r="V39"/>
      <c r="W39"/>
      <c r="X39"/>
      <c r="AF39"/>
      <c r="AG39"/>
      <c r="AH39"/>
      <c r="AI39"/>
      <c r="AJ39"/>
    </row>
    <row r="40" spans="11:36" ht="15">
      <c r="K40" s="19" t="s">
        <v>469</v>
      </c>
      <c r="L40" s="28">
        <v>7</v>
      </c>
      <c r="M40" s="28">
        <v>3497.96</v>
      </c>
      <c r="N40" s="28">
        <v>629.64</v>
      </c>
      <c r="O40" s="28">
        <v>4127.6000000000004</v>
      </c>
      <c r="T40"/>
      <c r="U40"/>
      <c r="V40"/>
      <c r="W40"/>
      <c r="X40"/>
      <c r="AF40"/>
      <c r="AG40"/>
      <c r="AH40"/>
      <c r="AI40"/>
      <c r="AJ40"/>
    </row>
    <row r="41" spans="11:36" ht="15">
      <c r="K41" s="19" t="s">
        <v>492</v>
      </c>
      <c r="L41" s="28">
        <v>6</v>
      </c>
      <c r="M41" s="28">
        <v>121.5</v>
      </c>
      <c r="N41" s="28">
        <v>21.87</v>
      </c>
      <c r="O41" s="28">
        <v>143.37</v>
      </c>
      <c r="T41"/>
      <c r="U41"/>
      <c r="V41"/>
      <c r="W41"/>
      <c r="X41"/>
      <c r="AF41"/>
      <c r="AG41"/>
      <c r="AH41"/>
      <c r="AI41"/>
      <c r="AJ41"/>
    </row>
    <row r="42" spans="11:36" ht="15">
      <c r="K42" s="19" t="s">
        <v>497</v>
      </c>
      <c r="L42" s="28">
        <v>10</v>
      </c>
      <c r="M42" s="28">
        <v>290.33999999999997</v>
      </c>
      <c r="N42" s="28">
        <v>52.260000000000005</v>
      </c>
      <c r="O42" s="28">
        <v>342.59999999999997</v>
      </c>
      <c r="T42"/>
      <c r="U42"/>
      <c r="V42"/>
      <c r="W42"/>
      <c r="X42"/>
      <c r="AF42"/>
      <c r="AG42"/>
      <c r="AH42"/>
      <c r="AI42"/>
      <c r="AJ42"/>
    </row>
    <row r="43" spans="11:36" ht="15">
      <c r="K43" s="19" t="s">
        <v>508</v>
      </c>
      <c r="L43" s="28">
        <v>2</v>
      </c>
      <c r="M43" s="28">
        <v>9.9499999999999993</v>
      </c>
      <c r="N43" s="28">
        <v>1.79</v>
      </c>
      <c r="O43" s="28">
        <v>11.74</v>
      </c>
      <c r="T43"/>
      <c r="U43"/>
      <c r="V43"/>
      <c r="W43"/>
      <c r="X43"/>
      <c r="AF43"/>
      <c r="AG43"/>
      <c r="AH43"/>
      <c r="AI43"/>
      <c r="AJ43"/>
    </row>
    <row r="44" spans="11:36" ht="15">
      <c r="K44" s="19" t="s">
        <v>521</v>
      </c>
      <c r="L44" s="28">
        <v>4</v>
      </c>
      <c r="M44" s="28">
        <v>626.88</v>
      </c>
      <c r="N44" s="28">
        <v>112.83</v>
      </c>
      <c r="O44" s="28">
        <v>739.71</v>
      </c>
      <c r="T44"/>
      <c r="U44"/>
      <c r="V44"/>
      <c r="W44"/>
      <c r="X44"/>
      <c r="AF44"/>
      <c r="AG44"/>
      <c r="AH44"/>
      <c r="AI44"/>
      <c r="AJ44"/>
    </row>
    <row r="45" spans="11:36" ht="15">
      <c r="K45" s="19" t="s">
        <v>526</v>
      </c>
      <c r="L45" s="28">
        <v>9</v>
      </c>
      <c r="M45" s="28">
        <v>6476.42</v>
      </c>
      <c r="N45" s="28">
        <v>1165.73</v>
      </c>
      <c r="O45" s="28">
        <v>7642.1500000000005</v>
      </c>
      <c r="T45"/>
      <c r="U45"/>
      <c r="V45"/>
      <c r="W45"/>
      <c r="X45"/>
      <c r="AF45"/>
      <c r="AG45"/>
      <c r="AH45"/>
      <c r="AI45"/>
      <c r="AJ45"/>
    </row>
    <row r="46" spans="11:36" ht="15">
      <c r="K46" s="19" t="s">
        <v>533</v>
      </c>
      <c r="L46" s="28">
        <v>9</v>
      </c>
      <c r="M46" s="28">
        <v>3304.2900000000004</v>
      </c>
      <c r="N46" s="28">
        <v>594.7700000000001</v>
      </c>
      <c r="O46" s="28">
        <v>3899.0600000000004</v>
      </c>
      <c r="T46"/>
      <c r="U46"/>
      <c r="V46"/>
      <c r="W46"/>
      <c r="X46"/>
      <c r="AF46"/>
      <c r="AG46"/>
      <c r="AH46"/>
      <c r="AI46"/>
      <c r="AJ46"/>
    </row>
    <row r="47" spans="11:36" ht="15">
      <c r="K47" s="19" t="s">
        <v>540</v>
      </c>
      <c r="L47" s="28">
        <v>9</v>
      </c>
      <c r="M47" s="28">
        <v>3304.2900000000004</v>
      </c>
      <c r="N47" s="28">
        <v>594.7700000000001</v>
      </c>
      <c r="O47" s="28">
        <v>3899.0600000000004</v>
      </c>
      <c r="T47"/>
      <c r="U47"/>
      <c r="V47"/>
      <c r="W47"/>
      <c r="X47"/>
      <c r="AF47"/>
      <c r="AG47"/>
      <c r="AH47"/>
      <c r="AI47"/>
      <c r="AJ47"/>
    </row>
    <row r="48" spans="11:36" ht="15">
      <c r="K48" s="19" t="s">
        <v>547</v>
      </c>
      <c r="L48" s="28">
        <v>3</v>
      </c>
      <c r="M48" s="28">
        <v>514.4</v>
      </c>
      <c r="N48" s="28">
        <v>92.6</v>
      </c>
      <c r="O48" s="28">
        <v>607</v>
      </c>
      <c r="T48"/>
      <c r="U48"/>
      <c r="V48"/>
      <c r="W48"/>
      <c r="X48"/>
      <c r="AF48"/>
      <c r="AG48"/>
      <c r="AH48"/>
      <c r="AI48"/>
      <c r="AJ48"/>
    </row>
    <row r="49" spans="11:36" ht="15">
      <c r="K49" s="19" t="s">
        <v>554</v>
      </c>
      <c r="L49" s="28">
        <v>3</v>
      </c>
      <c r="M49" s="28">
        <v>445.82</v>
      </c>
      <c r="N49" s="28">
        <v>80.25</v>
      </c>
      <c r="O49" s="28">
        <v>526.06999999999994</v>
      </c>
      <c r="T49"/>
      <c r="U49"/>
      <c r="V49"/>
      <c r="W49"/>
      <c r="X49"/>
      <c r="AF49"/>
      <c r="AG49"/>
      <c r="AH49"/>
      <c r="AI49"/>
      <c r="AJ49"/>
    </row>
    <row r="50" spans="11:36" ht="15">
      <c r="K50" s="19" t="s">
        <v>561</v>
      </c>
      <c r="L50" s="28">
        <v>9</v>
      </c>
      <c r="M50" s="28">
        <v>132.16999999999999</v>
      </c>
      <c r="N50" s="28">
        <v>23.8</v>
      </c>
      <c r="O50" s="28">
        <v>155.96999999999997</v>
      </c>
      <c r="T50"/>
      <c r="U50"/>
      <c r="V50"/>
      <c r="W50"/>
      <c r="X50"/>
      <c r="AF50"/>
      <c r="AG50"/>
      <c r="AH50"/>
      <c r="AI50"/>
      <c r="AJ50"/>
    </row>
    <row r="51" spans="11:36" ht="15">
      <c r="K51" s="19" t="s">
        <v>568</v>
      </c>
      <c r="L51" s="28">
        <v>2</v>
      </c>
      <c r="M51" s="28">
        <v>6.48</v>
      </c>
      <c r="N51" s="28">
        <v>1.17</v>
      </c>
      <c r="O51" s="28">
        <v>7.65</v>
      </c>
      <c r="T51"/>
      <c r="U51"/>
      <c r="V51"/>
      <c r="W51"/>
      <c r="X51"/>
      <c r="AF51"/>
      <c r="AG51"/>
      <c r="AH51"/>
      <c r="AI51"/>
      <c r="AJ51"/>
    </row>
    <row r="52" spans="11:36" ht="15">
      <c r="K52" s="19" t="s">
        <v>573</v>
      </c>
      <c r="L52" s="28">
        <v>8</v>
      </c>
      <c r="M52" s="28">
        <v>3592.9700000000003</v>
      </c>
      <c r="N52" s="28">
        <v>646.73</v>
      </c>
      <c r="O52" s="28">
        <v>4239.7000000000007</v>
      </c>
      <c r="T52"/>
      <c r="U52"/>
      <c r="V52"/>
      <c r="W52"/>
      <c r="X52"/>
      <c r="AF52"/>
      <c r="AG52"/>
      <c r="AH52"/>
      <c r="AI52"/>
      <c r="AJ52"/>
    </row>
    <row r="53" spans="11:36" ht="15">
      <c r="K53" s="19" t="s">
        <v>598</v>
      </c>
      <c r="L53" s="28">
        <v>2</v>
      </c>
      <c r="M53" s="28">
        <v>338.05</v>
      </c>
      <c r="N53" s="28">
        <v>60.849999999999994</v>
      </c>
      <c r="O53" s="28">
        <v>398.9</v>
      </c>
      <c r="T53"/>
      <c r="U53"/>
      <c r="V53"/>
      <c r="W53"/>
      <c r="X53"/>
      <c r="AF53"/>
      <c r="AG53"/>
      <c r="AH53"/>
      <c r="AI53"/>
      <c r="AJ53"/>
    </row>
    <row r="54" spans="11:36" ht="15">
      <c r="K54" s="19" t="s">
        <v>603</v>
      </c>
      <c r="L54" s="28">
        <v>2</v>
      </c>
      <c r="M54" s="28">
        <v>51.01</v>
      </c>
      <c r="N54" s="28">
        <v>9.18</v>
      </c>
      <c r="O54" s="28">
        <v>60.19</v>
      </c>
      <c r="T54"/>
      <c r="U54"/>
      <c r="V54"/>
      <c r="W54"/>
      <c r="X54"/>
      <c r="AF54"/>
      <c r="AG54"/>
      <c r="AH54"/>
      <c r="AI54"/>
      <c r="AJ54"/>
    </row>
    <row r="55" spans="11:36" ht="15">
      <c r="K55" s="19" t="s">
        <v>608</v>
      </c>
      <c r="L55" s="28">
        <v>4</v>
      </c>
      <c r="M55" s="28">
        <v>1648.8000000000002</v>
      </c>
      <c r="N55" s="28">
        <v>296.78999999999996</v>
      </c>
      <c r="O55" s="28">
        <v>1945.59</v>
      </c>
      <c r="T55"/>
      <c r="U55"/>
      <c r="V55"/>
      <c r="W55"/>
      <c r="X55"/>
      <c r="AF55"/>
      <c r="AG55"/>
      <c r="AH55"/>
      <c r="AI55"/>
      <c r="AJ55"/>
    </row>
    <row r="56" spans="11:36" ht="15">
      <c r="K56" s="19" t="s">
        <v>617</v>
      </c>
      <c r="L56" s="28">
        <v>3</v>
      </c>
      <c r="M56" s="28">
        <v>72.88</v>
      </c>
      <c r="N56" s="28">
        <v>13.120000000000001</v>
      </c>
      <c r="O56" s="28">
        <v>86</v>
      </c>
      <c r="T56"/>
      <c r="U56"/>
      <c r="V56"/>
      <c r="W56"/>
      <c r="X56"/>
      <c r="AF56"/>
      <c r="AG56"/>
      <c r="AH56"/>
      <c r="AI56"/>
      <c r="AJ56"/>
    </row>
    <row r="57" spans="11:36" ht="15">
      <c r="K57" s="19" t="s">
        <v>624</v>
      </c>
      <c r="L57" s="28">
        <v>2</v>
      </c>
      <c r="M57" s="28">
        <v>653.80999999999995</v>
      </c>
      <c r="N57" s="28">
        <v>117.69</v>
      </c>
      <c r="O57" s="28">
        <v>771.5</v>
      </c>
      <c r="T57"/>
      <c r="U57"/>
      <c r="V57"/>
      <c r="W57"/>
      <c r="X57"/>
      <c r="AF57"/>
      <c r="AG57"/>
      <c r="AH57"/>
      <c r="AI57"/>
      <c r="AJ57"/>
    </row>
    <row r="58" spans="11:36" ht="15">
      <c r="K58" s="19" t="s">
        <v>629</v>
      </c>
      <c r="L58" s="28">
        <v>2</v>
      </c>
      <c r="M58" s="28">
        <v>88.31</v>
      </c>
      <c r="N58" s="28">
        <v>15.89</v>
      </c>
      <c r="O58" s="28">
        <v>104.2</v>
      </c>
      <c r="T58"/>
      <c r="U58"/>
      <c r="V58"/>
      <c r="W58"/>
      <c r="X58"/>
      <c r="AF58"/>
      <c r="AG58"/>
      <c r="AH58"/>
      <c r="AI58"/>
      <c r="AJ58"/>
    </row>
    <row r="59" spans="11:36" ht="15">
      <c r="K59" s="19" t="s">
        <v>634</v>
      </c>
      <c r="L59" s="28">
        <v>23</v>
      </c>
      <c r="M59" s="28">
        <v>17369.179999999997</v>
      </c>
      <c r="N59" s="28">
        <v>3126.4399999999996</v>
      </c>
      <c r="O59" s="28">
        <v>20495.619999999995</v>
      </c>
      <c r="T59"/>
      <c r="U59"/>
      <c r="V59"/>
      <c r="W59"/>
      <c r="X59"/>
      <c r="AF59"/>
      <c r="AG59"/>
      <c r="AH59"/>
      <c r="AI59"/>
      <c r="AJ59"/>
    </row>
    <row r="60" spans="11:36" ht="15">
      <c r="K60" s="19" t="s">
        <v>681</v>
      </c>
      <c r="L60" s="28">
        <v>4</v>
      </c>
      <c r="M60" s="28">
        <v>13431.189999999999</v>
      </c>
      <c r="N60" s="28">
        <v>2417.6099999999997</v>
      </c>
      <c r="O60" s="28">
        <v>15848.800000000001</v>
      </c>
      <c r="T60"/>
      <c r="U60"/>
      <c r="V60"/>
      <c r="W60"/>
      <c r="X60"/>
      <c r="AF60"/>
      <c r="AG60"/>
      <c r="AH60"/>
      <c r="AI60"/>
      <c r="AJ60"/>
    </row>
    <row r="61" spans="11:36" ht="15">
      <c r="K61" s="19" t="s">
        <v>722</v>
      </c>
      <c r="L61" s="28">
        <v>2</v>
      </c>
      <c r="M61" s="28">
        <v>434.21000000000004</v>
      </c>
      <c r="N61" s="28">
        <v>78.150000000000006</v>
      </c>
      <c r="O61" s="28">
        <v>512.36</v>
      </c>
      <c r="AF61"/>
      <c r="AG61"/>
      <c r="AH61"/>
      <c r="AI61"/>
      <c r="AJ61"/>
    </row>
    <row r="62" spans="11:36" ht="15">
      <c r="K62" s="19" t="s">
        <v>727</v>
      </c>
      <c r="L62" s="28">
        <v>2</v>
      </c>
      <c r="M62" s="28">
        <v>1744.3200000000002</v>
      </c>
      <c r="N62" s="28">
        <v>313.98</v>
      </c>
      <c r="O62" s="28">
        <v>2058.3000000000002</v>
      </c>
      <c r="AF62"/>
      <c r="AG62"/>
      <c r="AH62"/>
      <c r="AI62"/>
      <c r="AJ62"/>
    </row>
    <row r="63" spans="11:36" ht="15">
      <c r="K63" s="19" t="s">
        <v>732</v>
      </c>
      <c r="L63" s="28">
        <v>3</v>
      </c>
      <c r="M63" s="28">
        <v>456.15999999999997</v>
      </c>
      <c r="N63" s="28">
        <v>82.1</v>
      </c>
      <c r="O63" s="28">
        <v>538.26</v>
      </c>
      <c r="AF63"/>
      <c r="AG63"/>
      <c r="AH63"/>
      <c r="AI63"/>
      <c r="AJ63"/>
    </row>
    <row r="64" spans="11:36" ht="15">
      <c r="K64" s="19" t="s">
        <v>739</v>
      </c>
      <c r="L64" s="28">
        <v>2</v>
      </c>
      <c r="M64" s="28">
        <v>53.39</v>
      </c>
      <c r="N64" s="28">
        <v>9.61</v>
      </c>
      <c r="O64" s="28">
        <v>63</v>
      </c>
      <c r="AF64"/>
      <c r="AG64"/>
      <c r="AH64"/>
      <c r="AI64"/>
      <c r="AJ64"/>
    </row>
    <row r="65" spans="11:36" ht="15">
      <c r="K65" s="19" t="s">
        <v>744</v>
      </c>
      <c r="L65" s="28">
        <v>2</v>
      </c>
      <c r="M65" s="28">
        <v>373.72</v>
      </c>
      <c r="N65" s="28">
        <v>67.28</v>
      </c>
      <c r="O65" s="28">
        <v>441</v>
      </c>
      <c r="AF65"/>
      <c r="AG65"/>
      <c r="AH65"/>
      <c r="AI65"/>
      <c r="AJ65"/>
    </row>
    <row r="66" spans="11:36" ht="15">
      <c r="K66" s="19" t="s">
        <v>749</v>
      </c>
      <c r="L66" s="28">
        <v>2</v>
      </c>
      <c r="M66" s="28">
        <v>2171.0700000000002</v>
      </c>
      <c r="N66" s="28">
        <v>390.79999999999995</v>
      </c>
      <c r="O66" s="28">
        <v>2561.87</v>
      </c>
      <c r="AF66"/>
      <c r="AG66"/>
      <c r="AH66"/>
      <c r="AI66"/>
      <c r="AJ66"/>
    </row>
    <row r="67" spans="11:36" ht="15">
      <c r="K67" s="19" t="s">
        <v>754</v>
      </c>
      <c r="L67" s="28">
        <v>2</v>
      </c>
      <c r="M67" s="28">
        <v>192.07</v>
      </c>
      <c r="N67" s="28">
        <v>34.57</v>
      </c>
      <c r="O67" s="28">
        <v>226.64</v>
      </c>
      <c r="AF67"/>
      <c r="AG67"/>
      <c r="AH67"/>
      <c r="AI67"/>
      <c r="AJ67"/>
    </row>
    <row r="68" spans="11:36" ht="15">
      <c r="K68" s="19" t="s">
        <v>763</v>
      </c>
      <c r="L68" s="28">
        <v>5</v>
      </c>
      <c r="M68" s="28">
        <v>12374.59</v>
      </c>
      <c r="N68" s="28">
        <v>2227.42</v>
      </c>
      <c r="O68" s="28">
        <v>14602.009999999998</v>
      </c>
      <c r="AF68"/>
      <c r="AG68"/>
      <c r="AH68"/>
      <c r="AI68"/>
      <c r="AJ68"/>
    </row>
    <row r="69" spans="11:36" ht="15">
      <c r="K69" s="19" t="s">
        <v>792</v>
      </c>
      <c r="L69" s="28">
        <v>2</v>
      </c>
      <c r="M69" s="28">
        <v>156.44</v>
      </c>
      <c r="N69" s="28">
        <v>28.160000000000004</v>
      </c>
      <c r="O69" s="28">
        <v>184.60000000000002</v>
      </c>
      <c r="AF69"/>
      <c r="AG69"/>
      <c r="AH69"/>
      <c r="AI69"/>
      <c r="AJ69"/>
    </row>
    <row r="70" spans="11:36" ht="15">
      <c r="K70" s="19" t="s">
        <v>855</v>
      </c>
      <c r="L70" s="28">
        <v>2</v>
      </c>
      <c r="M70" s="28">
        <v>84.490000000000009</v>
      </c>
      <c r="N70" s="28">
        <v>15.21</v>
      </c>
      <c r="O70" s="28">
        <v>99.7</v>
      </c>
      <c r="AF70"/>
      <c r="AG70"/>
      <c r="AH70"/>
      <c r="AI70"/>
      <c r="AJ70"/>
    </row>
    <row r="71" spans="11:36" ht="15">
      <c r="K71" s="19" t="s">
        <v>908</v>
      </c>
      <c r="L71" s="28">
        <v>2</v>
      </c>
      <c r="M71" s="28">
        <v>79.66</v>
      </c>
      <c r="N71" s="28">
        <v>14.34</v>
      </c>
      <c r="O71" s="28">
        <v>94</v>
      </c>
      <c r="AF71"/>
      <c r="AG71"/>
      <c r="AH71"/>
      <c r="AI71"/>
      <c r="AJ71"/>
    </row>
    <row r="72" spans="11:36" ht="15">
      <c r="K72" s="19" t="s">
        <v>923</v>
      </c>
      <c r="L72" s="28">
        <v>2</v>
      </c>
      <c r="M72" s="28">
        <v>31.61</v>
      </c>
      <c r="N72" s="28">
        <v>5.69</v>
      </c>
      <c r="O72" s="28">
        <v>37.299999999999997</v>
      </c>
      <c r="AF72"/>
      <c r="AG72"/>
      <c r="AH72"/>
      <c r="AI72"/>
      <c r="AJ72"/>
    </row>
    <row r="73" spans="11:36" ht="15">
      <c r="K73" s="19" t="s">
        <v>928</v>
      </c>
      <c r="L73" s="28">
        <v>3</v>
      </c>
      <c r="M73" s="28">
        <v>1722.02</v>
      </c>
      <c r="N73" s="28">
        <v>309.96000000000004</v>
      </c>
      <c r="O73" s="28">
        <v>2031.98</v>
      </c>
      <c r="AF73"/>
      <c r="AG73"/>
      <c r="AH73"/>
      <c r="AI73"/>
      <c r="AJ73"/>
    </row>
    <row r="74" spans="11:36" ht="15">
      <c r="K74" s="19" t="s">
        <v>949</v>
      </c>
      <c r="L74" s="28">
        <v>2</v>
      </c>
      <c r="M74" s="28">
        <v>170.85</v>
      </c>
      <c r="N74" s="28">
        <v>30.75</v>
      </c>
      <c r="O74" s="28">
        <v>201.6</v>
      </c>
      <c r="AF74"/>
      <c r="AG74"/>
      <c r="AH74"/>
      <c r="AI74"/>
      <c r="AJ74"/>
    </row>
    <row r="75" spans="11:36" ht="15">
      <c r="K75" s="19" t="s">
        <v>978</v>
      </c>
      <c r="L75" s="28">
        <v>2</v>
      </c>
      <c r="M75" s="28">
        <v>1250.51</v>
      </c>
      <c r="N75" s="28">
        <v>225.09</v>
      </c>
      <c r="O75" s="28">
        <v>1475.6</v>
      </c>
      <c r="AF75"/>
      <c r="AG75"/>
      <c r="AH75"/>
      <c r="AI75"/>
      <c r="AJ75"/>
    </row>
    <row r="76" spans="11:36" ht="15">
      <c r="K76" s="19" t="s">
        <v>1029</v>
      </c>
      <c r="L76" s="28">
        <v>4</v>
      </c>
      <c r="M76" s="28">
        <v>3433</v>
      </c>
      <c r="N76" s="28">
        <v>617.94000000000005</v>
      </c>
      <c r="O76" s="28">
        <v>4050.9399999999996</v>
      </c>
      <c r="AF76"/>
      <c r="AG76"/>
      <c r="AH76"/>
      <c r="AI76"/>
      <c r="AJ76"/>
    </row>
    <row r="77" spans="11:36" ht="15">
      <c r="K77" s="19" t="s">
        <v>1038</v>
      </c>
      <c r="L77" s="28">
        <v>2</v>
      </c>
      <c r="M77" s="28">
        <v>2546.7800000000002</v>
      </c>
      <c r="N77" s="28">
        <v>458.41999999999996</v>
      </c>
      <c r="O77" s="28">
        <v>3005.2</v>
      </c>
      <c r="AF77"/>
      <c r="AG77"/>
      <c r="AH77"/>
      <c r="AI77"/>
      <c r="AJ77"/>
    </row>
    <row r="78" spans="11:36" ht="15">
      <c r="K78" s="19" t="s">
        <v>1043</v>
      </c>
      <c r="L78" s="28">
        <v>3</v>
      </c>
      <c r="M78" s="28">
        <v>884.06999999999994</v>
      </c>
      <c r="N78" s="28">
        <v>159.13</v>
      </c>
      <c r="O78" s="28">
        <v>1043.2</v>
      </c>
      <c r="AF78"/>
      <c r="AG78"/>
      <c r="AH78"/>
      <c r="AI78"/>
      <c r="AJ78"/>
    </row>
    <row r="79" spans="11:36" ht="15">
      <c r="K79" s="19" t="s">
        <v>1050</v>
      </c>
      <c r="L79" s="28">
        <v>2</v>
      </c>
      <c r="M79" s="28">
        <v>2.46</v>
      </c>
      <c r="N79" s="28">
        <v>0.44</v>
      </c>
      <c r="O79" s="28">
        <v>2.9</v>
      </c>
      <c r="AF79"/>
      <c r="AG79"/>
      <c r="AH79"/>
      <c r="AI79"/>
      <c r="AJ79"/>
    </row>
    <row r="80" spans="11:36" ht="15">
      <c r="K80" s="19" t="s">
        <v>1055</v>
      </c>
      <c r="L80" s="28">
        <v>3</v>
      </c>
      <c r="M80" s="28">
        <v>3096.4</v>
      </c>
      <c r="N80" s="28">
        <v>557.35</v>
      </c>
      <c r="O80" s="28">
        <v>3653.75</v>
      </c>
      <c r="AF80"/>
      <c r="AG80"/>
      <c r="AH80"/>
      <c r="AI80"/>
      <c r="AJ80"/>
    </row>
    <row r="81" spans="11:36" ht="15">
      <c r="K81" s="19" t="s">
        <v>1072</v>
      </c>
      <c r="L81" s="28">
        <v>2</v>
      </c>
      <c r="M81" s="28">
        <v>220.69</v>
      </c>
      <c r="N81" s="28">
        <v>39.729999999999997</v>
      </c>
      <c r="O81" s="28">
        <v>260.42</v>
      </c>
      <c r="AF81"/>
      <c r="AG81"/>
      <c r="AH81"/>
      <c r="AI81"/>
      <c r="AJ81"/>
    </row>
    <row r="82" spans="11:36" ht="15">
      <c r="K82" s="19" t="s">
        <v>1077</v>
      </c>
      <c r="L82" s="28">
        <v>2</v>
      </c>
      <c r="M82" s="28">
        <v>313.91000000000003</v>
      </c>
      <c r="N82" s="28">
        <v>56.5</v>
      </c>
      <c r="O82" s="28">
        <v>370.41</v>
      </c>
      <c r="AF82"/>
      <c r="AG82"/>
      <c r="AH82"/>
      <c r="AI82"/>
      <c r="AJ82"/>
    </row>
    <row r="83" spans="11:36" ht="15">
      <c r="K83" s="19" t="s">
        <v>1082</v>
      </c>
      <c r="L83" s="28">
        <v>2</v>
      </c>
      <c r="M83" s="28">
        <v>680.25</v>
      </c>
      <c r="N83" s="28">
        <v>122.44</v>
      </c>
      <c r="O83" s="28">
        <v>802.69</v>
      </c>
      <c r="AF83"/>
      <c r="AG83"/>
      <c r="AH83"/>
      <c r="AI83"/>
      <c r="AJ83"/>
    </row>
    <row r="84" spans="11:36" ht="15">
      <c r="K84" s="19" t="s">
        <v>1087</v>
      </c>
      <c r="L84" s="28">
        <v>3</v>
      </c>
      <c r="M84" s="28">
        <v>4969.33</v>
      </c>
      <c r="N84" s="28">
        <v>894.48</v>
      </c>
      <c r="O84" s="28">
        <v>5863.8099999999995</v>
      </c>
      <c r="AF84"/>
      <c r="AG84"/>
      <c r="AH84"/>
      <c r="AI84"/>
      <c r="AJ84"/>
    </row>
    <row r="85" spans="11:36" ht="15">
      <c r="K85" s="19" t="s">
        <v>1098</v>
      </c>
      <c r="L85" s="28">
        <v>2</v>
      </c>
      <c r="M85" s="28">
        <v>36.86</v>
      </c>
      <c r="N85" s="28">
        <v>6.6400000000000006</v>
      </c>
      <c r="O85" s="28">
        <v>43.5</v>
      </c>
      <c r="AF85"/>
      <c r="AG85"/>
      <c r="AH85"/>
      <c r="AI85"/>
      <c r="AJ85"/>
    </row>
    <row r="86" spans="11:36" ht="15">
      <c r="K86" s="19" t="s">
        <v>1103</v>
      </c>
      <c r="L86" s="28">
        <v>2</v>
      </c>
      <c r="M86" s="28">
        <v>291.81</v>
      </c>
      <c r="N86" s="28">
        <v>52.519999999999996</v>
      </c>
      <c r="O86" s="28">
        <v>344.33</v>
      </c>
      <c r="AF86"/>
      <c r="AG86"/>
      <c r="AH86"/>
      <c r="AI86"/>
      <c r="AJ86"/>
    </row>
    <row r="87" spans="11:36" ht="15">
      <c r="K87" s="19" t="s">
        <v>1124</v>
      </c>
      <c r="L87" s="28">
        <v>2</v>
      </c>
      <c r="M87" s="28">
        <v>118.9</v>
      </c>
      <c r="N87" s="28">
        <v>21.4</v>
      </c>
      <c r="O87" s="28">
        <v>140.30000000000001</v>
      </c>
      <c r="AF87"/>
      <c r="AG87"/>
      <c r="AH87"/>
      <c r="AI87"/>
      <c r="AJ87"/>
    </row>
    <row r="88" spans="11:36" ht="15">
      <c r="K88" s="19" t="s">
        <v>1133</v>
      </c>
      <c r="L88" s="28">
        <v>2</v>
      </c>
      <c r="M88" s="28">
        <v>19.670000000000002</v>
      </c>
      <c r="N88" s="28">
        <v>3.53</v>
      </c>
      <c r="O88" s="28">
        <v>23.2</v>
      </c>
      <c r="AF88"/>
      <c r="AG88"/>
      <c r="AH88"/>
      <c r="AI88"/>
      <c r="AJ88"/>
    </row>
    <row r="89" spans="11:36" ht="15">
      <c r="K89" s="19" t="s">
        <v>1138</v>
      </c>
      <c r="L89" s="28">
        <v>2</v>
      </c>
      <c r="M89" s="28">
        <v>172.54</v>
      </c>
      <c r="N89" s="28">
        <v>31.060000000000002</v>
      </c>
      <c r="O89" s="28">
        <v>203.60000000000002</v>
      </c>
      <c r="AF89"/>
      <c r="AG89"/>
      <c r="AH89"/>
      <c r="AI89"/>
      <c r="AJ89"/>
    </row>
    <row r="90" spans="11:36" ht="15">
      <c r="K90" s="19" t="s">
        <v>1143</v>
      </c>
      <c r="L90" s="28">
        <v>2</v>
      </c>
      <c r="M90" s="28">
        <v>102.66</v>
      </c>
      <c r="N90" s="28">
        <v>18.48</v>
      </c>
      <c r="O90" s="28">
        <v>121.14000000000001</v>
      </c>
      <c r="AF90"/>
      <c r="AG90"/>
      <c r="AH90"/>
      <c r="AI90"/>
      <c r="AJ90"/>
    </row>
    <row r="91" spans="11:36" ht="15">
      <c r="K91" s="19" t="s">
        <v>1148</v>
      </c>
      <c r="L91" s="28">
        <v>2</v>
      </c>
      <c r="M91" s="28">
        <v>107.92</v>
      </c>
      <c r="N91" s="28">
        <v>19.43</v>
      </c>
      <c r="O91" s="28">
        <v>127.35</v>
      </c>
      <c r="AF91"/>
      <c r="AG91"/>
      <c r="AH91"/>
      <c r="AI91"/>
      <c r="AJ91"/>
    </row>
    <row r="92" spans="11:36" ht="15">
      <c r="K92" s="19" t="s">
        <v>1153</v>
      </c>
      <c r="L92" s="28">
        <v>2</v>
      </c>
      <c r="M92" s="28">
        <v>291.81</v>
      </c>
      <c r="N92" s="28">
        <v>52.519999999999996</v>
      </c>
      <c r="O92" s="28">
        <v>344.33</v>
      </c>
      <c r="AF92"/>
      <c r="AG92"/>
      <c r="AH92"/>
      <c r="AI92"/>
      <c r="AJ92"/>
    </row>
    <row r="93" spans="11:36">
      <c r="K93" s="19" t="s">
        <v>1158</v>
      </c>
      <c r="L93" s="28">
        <v>5</v>
      </c>
      <c r="M93" s="28">
        <v>8149.15</v>
      </c>
      <c r="N93" s="28">
        <v>1466.8500000000001</v>
      </c>
      <c r="O93" s="28">
        <v>9616</v>
      </c>
    </row>
    <row r="94" spans="11:36">
      <c r="K94" s="19" t="s">
        <v>1167</v>
      </c>
      <c r="L94" s="28">
        <v>2</v>
      </c>
      <c r="M94" s="28">
        <v>64.31</v>
      </c>
      <c r="N94" s="28">
        <v>11.57</v>
      </c>
      <c r="O94" s="28">
        <v>75.88</v>
      </c>
    </row>
    <row r="95" spans="11:36">
      <c r="K95" s="19" t="s">
        <v>1198</v>
      </c>
      <c r="L95" s="28">
        <v>3</v>
      </c>
      <c r="M95" s="28">
        <v>952.2</v>
      </c>
      <c r="N95" s="28">
        <v>171.39999999999998</v>
      </c>
      <c r="O95" s="28">
        <v>1123.5999999999999</v>
      </c>
    </row>
    <row r="96" spans="11:36">
      <c r="K96" s="19" t="s">
        <v>1205</v>
      </c>
      <c r="L96" s="28">
        <v>2</v>
      </c>
      <c r="M96" s="28">
        <v>501.27</v>
      </c>
      <c r="N96" s="28">
        <v>90.22999999999999</v>
      </c>
      <c r="O96" s="28">
        <v>591.5</v>
      </c>
    </row>
    <row r="97" spans="11:15">
      <c r="K97" s="19" t="s">
        <v>1216</v>
      </c>
      <c r="L97" s="28">
        <v>2</v>
      </c>
      <c r="M97" s="28">
        <v>213.22</v>
      </c>
      <c r="N97" s="28">
        <v>38.380000000000003</v>
      </c>
      <c r="O97" s="28">
        <v>251.60000000000002</v>
      </c>
    </row>
    <row r="98" spans="11:15">
      <c r="K98" s="19" t="s">
        <v>52</v>
      </c>
      <c r="L98" s="28">
        <v>457</v>
      </c>
      <c r="M98" s="28">
        <v>361701.78999999986</v>
      </c>
      <c r="N98" s="28">
        <v>65106.270000000011</v>
      </c>
      <c r="O98" s="28">
        <v>426808.06000000011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S458"/>
  <sheetViews>
    <sheetView workbookViewId="0">
      <selection activeCell="L8" sqref="L8"/>
    </sheetView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  <col min="35" max="35" width="25.42578125" bestFit="1" customWidth="1"/>
    <col min="36" max="36" width="27.7109375" bestFit="1" customWidth="1"/>
    <col min="37" max="37" width="224.85546875" bestFit="1" customWidth="1"/>
  </cols>
  <sheetData>
    <row r="1" spans="1:45">
      <c r="A1" t="s">
        <v>113</v>
      </c>
      <c r="B1" t="s">
        <v>114</v>
      </c>
      <c r="C1" t="s">
        <v>240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  <c r="AN1" t="s">
        <v>151</v>
      </c>
      <c r="AO1" t="s">
        <v>152</v>
      </c>
      <c r="AP1" t="s">
        <v>153</v>
      </c>
      <c r="AQ1" t="s">
        <v>154</v>
      </c>
      <c r="AR1" t="s">
        <v>155</v>
      </c>
      <c r="AS1" t="s">
        <v>232</v>
      </c>
    </row>
    <row r="2" spans="1:45" ht="15" customHeight="1">
      <c r="A2" t="s">
        <v>1221</v>
      </c>
      <c r="B2" s="21" t="s">
        <v>184</v>
      </c>
      <c r="C2" t="s">
        <v>27</v>
      </c>
      <c r="D2" s="8">
        <v>45945</v>
      </c>
      <c r="E2" s="22">
        <v>45946.786851851852</v>
      </c>
      <c r="F2" t="s">
        <v>273</v>
      </c>
      <c r="H2">
        <v>1</v>
      </c>
      <c r="I2">
        <v>75241793</v>
      </c>
      <c r="J2" t="s">
        <v>1222</v>
      </c>
      <c r="K2" s="8">
        <v>45945</v>
      </c>
      <c r="Q2">
        <v>1</v>
      </c>
      <c r="R2" s="21" t="s">
        <v>1223</v>
      </c>
      <c r="S2" t="s">
        <v>197</v>
      </c>
      <c r="T2" t="s">
        <v>163</v>
      </c>
      <c r="U2">
        <v>1</v>
      </c>
      <c r="V2">
        <v>12.2</v>
      </c>
      <c r="W2">
        <v>14.4</v>
      </c>
      <c r="X2">
        <v>0</v>
      </c>
      <c r="Y2">
        <v>12.2</v>
      </c>
      <c r="Z2">
        <v>18.03</v>
      </c>
      <c r="AA2">
        <v>2.2000000000000002</v>
      </c>
      <c r="AB2">
        <v>14.4</v>
      </c>
      <c r="AC2">
        <v>1</v>
      </c>
      <c r="AE2" t="s">
        <v>1224</v>
      </c>
      <c r="AF2" t="s">
        <v>274</v>
      </c>
      <c r="AG2">
        <v>2</v>
      </c>
      <c r="AH2" t="s">
        <v>25</v>
      </c>
      <c r="AI2">
        <v>1106</v>
      </c>
      <c r="AJ2" t="s">
        <v>246</v>
      </c>
      <c r="AK2" t="s">
        <v>170</v>
      </c>
      <c r="AL2">
        <v>3100</v>
      </c>
      <c r="AM2" t="s">
        <v>271</v>
      </c>
      <c r="AN2" s="8">
        <v>45757</v>
      </c>
      <c r="AO2" s="8">
        <v>45757</v>
      </c>
      <c r="AQ2" t="s">
        <v>273</v>
      </c>
      <c r="AS2" t="str">
        <f>+CONCATENATE(A2,B2)</f>
        <v>(03) Boleta BOB100000030</v>
      </c>
    </row>
    <row r="3" spans="1:45" ht="15" customHeight="1">
      <c r="A3" t="s">
        <v>1221</v>
      </c>
      <c r="B3" s="21" t="s">
        <v>185</v>
      </c>
      <c r="C3" t="s">
        <v>27</v>
      </c>
      <c r="D3" s="8">
        <v>45945</v>
      </c>
      <c r="E3" s="22">
        <v>45946.784988425927</v>
      </c>
      <c r="F3" t="s">
        <v>273</v>
      </c>
      <c r="H3">
        <v>1</v>
      </c>
      <c r="I3">
        <v>75241793</v>
      </c>
      <c r="J3" t="s">
        <v>1225</v>
      </c>
      <c r="K3" s="8">
        <v>45945</v>
      </c>
      <c r="Q3">
        <v>1</v>
      </c>
      <c r="R3" s="21" t="s">
        <v>1226</v>
      </c>
      <c r="S3" t="s">
        <v>1227</v>
      </c>
      <c r="T3" t="s">
        <v>163</v>
      </c>
      <c r="U3">
        <v>1</v>
      </c>
      <c r="V3">
        <v>41.14</v>
      </c>
      <c r="W3">
        <v>48.55</v>
      </c>
      <c r="X3">
        <v>0</v>
      </c>
      <c r="Y3">
        <v>41.14</v>
      </c>
      <c r="Z3">
        <v>18.010000000000002</v>
      </c>
      <c r="AA3">
        <v>7.41</v>
      </c>
      <c r="AB3">
        <v>48.55</v>
      </c>
      <c r="AC3">
        <v>1</v>
      </c>
      <c r="AE3" t="s">
        <v>239</v>
      </c>
      <c r="AF3" t="s">
        <v>29</v>
      </c>
      <c r="AG3">
        <v>2</v>
      </c>
      <c r="AH3" t="s">
        <v>25</v>
      </c>
      <c r="AI3">
        <v>1106</v>
      </c>
      <c r="AJ3" t="s">
        <v>246</v>
      </c>
      <c r="AK3" t="s">
        <v>170</v>
      </c>
      <c r="AL3">
        <v>3100</v>
      </c>
      <c r="AM3" t="s">
        <v>271</v>
      </c>
      <c r="AN3" s="8">
        <v>45757</v>
      </c>
      <c r="AO3" s="8">
        <v>45757</v>
      </c>
      <c r="AQ3" t="s">
        <v>273</v>
      </c>
      <c r="AS3" t="str">
        <f t="shared" ref="AS3:AS66" si="0">+CONCATENATE(A3,B3)</f>
        <v>(03) Boleta BOB100000029</v>
      </c>
    </row>
    <row r="4" spans="1:45" ht="15" customHeight="1">
      <c r="A4" t="s">
        <v>1228</v>
      </c>
      <c r="B4" s="21" t="s">
        <v>169</v>
      </c>
      <c r="C4" t="s">
        <v>27</v>
      </c>
      <c r="D4" s="8">
        <v>45945</v>
      </c>
      <c r="E4" s="22">
        <v>45946.783217592594</v>
      </c>
      <c r="F4" t="s">
        <v>32</v>
      </c>
      <c r="G4" t="s">
        <v>158</v>
      </c>
      <c r="H4">
        <v>6</v>
      </c>
      <c r="I4">
        <v>20608361074</v>
      </c>
      <c r="J4" t="s">
        <v>1229</v>
      </c>
      <c r="K4" s="8">
        <v>45945</v>
      </c>
      <c r="Q4">
        <v>1</v>
      </c>
      <c r="R4" s="21" t="s">
        <v>1230</v>
      </c>
      <c r="S4" t="s">
        <v>1231</v>
      </c>
      <c r="T4" t="s">
        <v>163</v>
      </c>
      <c r="U4">
        <v>1</v>
      </c>
      <c r="V4">
        <v>14.5</v>
      </c>
      <c r="W4">
        <v>17.11</v>
      </c>
      <c r="X4">
        <v>0</v>
      </c>
      <c r="Y4">
        <v>14.5</v>
      </c>
      <c r="Z4">
        <v>18</v>
      </c>
      <c r="AA4">
        <v>2.61</v>
      </c>
      <c r="AB4">
        <v>17.11</v>
      </c>
      <c r="AC4">
        <v>1</v>
      </c>
      <c r="AE4" t="s">
        <v>239</v>
      </c>
      <c r="AF4" t="s">
        <v>29</v>
      </c>
      <c r="AG4">
        <v>2</v>
      </c>
      <c r="AH4" t="s">
        <v>25</v>
      </c>
      <c r="AI4">
        <v>1106</v>
      </c>
      <c r="AJ4" t="s">
        <v>246</v>
      </c>
      <c r="AK4" t="s">
        <v>170</v>
      </c>
      <c r="AL4">
        <v>3081</v>
      </c>
      <c r="AM4" t="s">
        <v>1232</v>
      </c>
      <c r="AN4" s="8">
        <v>45757</v>
      </c>
      <c r="AO4" s="8">
        <v>45757</v>
      </c>
      <c r="AQ4" t="s">
        <v>32</v>
      </c>
      <c r="AS4" t="str">
        <f t="shared" si="0"/>
        <v>(01) Factura FOF100000046</v>
      </c>
    </row>
    <row r="5" spans="1:45" ht="15" customHeight="1">
      <c r="A5" t="s">
        <v>1228</v>
      </c>
      <c r="B5" s="21" t="s">
        <v>171</v>
      </c>
      <c r="C5" t="s">
        <v>27</v>
      </c>
      <c r="D5" s="8">
        <v>45945</v>
      </c>
      <c r="E5" s="22">
        <v>45946.782777777778</v>
      </c>
      <c r="F5" t="s">
        <v>32</v>
      </c>
      <c r="G5" t="s">
        <v>158</v>
      </c>
      <c r="H5">
        <v>6</v>
      </c>
      <c r="I5">
        <v>20608361074</v>
      </c>
      <c r="J5" t="s">
        <v>1233</v>
      </c>
      <c r="K5" s="8">
        <v>45945</v>
      </c>
      <c r="Q5">
        <v>1</v>
      </c>
      <c r="R5" s="21" t="s">
        <v>1234</v>
      </c>
      <c r="S5" t="s">
        <v>1235</v>
      </c>
      <c r="T5" t="s">
        <v>163</v>
      </c>
      <c r="U5">
        <v>1</v>
      </c>
      <c r="V5">
        <v>84.5</v>
      </c>
      <c r="W5">
        <v>99.71</v>
      </c>
      <c r="X5">
        <v>0</v>
      </c>
      <c r="Y5">
        <v>84.5</v>
      </c>
      <c r="Z5">
        <v>18</v>
      </c>
      <c r="AA5">
        <v>15.21</v>
      </c>
      <c r="AB5">
        <v>99.71</v>
      </c>
      <c r="AC5">
        <v>1</v>
      </c>
      <c r="AE5" t="s">
        <v>239</v>
      </c>
      <c r="AF5" t="s">
        <v>29</v>
      </c>
      <c r="AG5">
        <v>2</v>
      </c>
      <c r="AH5" t="s">
        <v>25</v>
      </c>
      <c r="AI5">
        <v>1106</v>
      </c>
      <c r="AJ5" t="s">
        <v>246</v>
      </c>
      <c r="AK5" t="s">
        <v>170</v>
      </c>
      <c r="AL5">
        <v>3081</v>
      </c>
      <c r="AM5" t="s">
        <v>1232</v>
      </c>
      <c r="AN5" s="8">
        <v>45757</v>
      </c>
      <c r="AO5" s="8">
        <v>45757</v>
      </c>
      <c r="AQ5" t="s">
        <v>32</v>
      </c>
      <c r="AS5" t="str">
        <f t="shared" si="0"/>
        <v>(01) Factura FOF100000045</v>
      </c>
    </row>
    <row r="6" spans="1:45" ht="15" customHeight="1">
      <c r="A6" t="s">
        <v>1228</v>
      </c>
      <c r="B6" s="21" t="s">
        <v>172</v>
      </c>
      <c r="C6" t="s">
        <v>27</v>
      </c>
      <c r="D6" s="8">
        <v>45945</v>
      </c>
      <c r="E6" s="22">
        <v>45946.782384259262</v>
      </c>
      <c r="F6" t="s">
        <v>32</v>
      </c>
      <c r="G6" t="s">
        <v>158</v>
      </c>
      <c r="H6">
        <v>6</v>
      </c>
      <c r="I6">
        <v>20608361074</v>
      </c>
      <c r="J6" t="s">
        <v>1236</v>
      </c>
      <c r="K6" s="8">
        <v>45945</v>
      </c>
      <c r="Q6">
        <v>1</v>
      </c>
      <c r="R6" s="21" t="s">
        <v>1237</v>
      </c>
      <c r="S6" t="s">
        <v>1238</v>
      </c>
      <c r="T6" t="s">
        <v>163</v>
      </c>
      <c r="U6">
        <v>1</v>
      </c>
      <c r="V6">
        <v>150</v>
      </c>
      <c r="W6">
        <v>177</v>
      </c>
      <c r="X6">
        <v>0</v>
      </c>
      <c r="Y6">
        <v>150</v>
      </c>
      <c r="Z6">
        <v>18</v>
      </c>
      <c r="AA6">
        <v>27</v>
      </c>
      <c r="AB6">
        <v>177</v>
      </c>
      <c r="AC6">
        <v>1</v>
      </c>
      <c r="AE6" t="s">
        <v>239</v>
      </c>
      <c r="AF6" t="s">
        <v>29</v>
      </c>
      <c r="AG6">
        <v>2</v>
      </c>
      <c r="AH6" t="s">
        <v>25</v>
      </c>
      <c r="AI6">
        <v>1106</v>
      </c>
      <c r="AJ6" t="s">
        <v>246</v>
      </c>
      <c r="AK6" t="s">
        <v>170</v>
      </c>
      <c r="AL6">
        <v>3081</v>
      </c>
      <c r="AM6" t="s">
        <v>1232</v>
      </c>
      <c r="AN6" s="8">
        <v>45757</v>
      </c>
      <c r="AO6" s="8">
        <v>45757</v>
      </c>
      <c r="AQ6" t="s">
        <v>32</v>
      </c>
      <c r="AS6" t="str">
        <f t="shared" si="0"/>
        <v>(01) Factura FOF100000044</v>
      </c>
    </row>
    <row r="7" spans="1:45" ht="15" customHeight="1">
      <c r="A7" t="s">
        <v>1228</v>
      </c>
      <c r="B7" s="21" t="s">
        <v>173</v>
      </c>
      <c r="C7" t="s">
        <v>27</v>
      </c>
      <c r="D7" s="8">
        <v>45945</v>
      </c>
      <c r="E7" s="22">
        <v>45946.781724537039</v>
      </c>
      <c r="F7" t="s">
        <v>32</v>
      </c>
      <c r="G7" t="s">
        <v>158</v>
      </c>
      <c r="H7">
        <v>6</v>
      </c>
      <c r="I7">
        <v>20608361074</v>
      </c>
      <c r="J7" t="s">
        <v>1239</v>
      </c>
      <c r="K7" s="8">
        <v>45945</v>
      </c>
      <c r="Q7">
        <v>1</v>
      </c>
      <c r="R7" s="21" t="s">
        <v>1240</v>
      </c>
      <c r="S7" t="s">
        <v>1241</v>
      </c>
      <c r="T7" t="s">
        <v>219</v>
      </c>
      <c r="U7">
        <v>1</v>
      </c>
      <c r="V7">
        <v>1600</v>
      </c>
      <c r="W7">
        <v>1888</v>
      </c>
      <c r="X7">
        <v>0</v>
      </c>
      <c r="Y7">
        <v>1600</v>
      </c>
      <c r="Z7">
        <v>18</v>
      </c>
      <c r="AA7">
        <v>288</v>
      </c>
      <c r="AB7">
        <v>1888</v>
      </c>
      <c r="AC7">
        <v>1</v>
      </c>
      <c r="AE7" t="s">
        <v>239</v>
      </c>
      <c r="AF7" t="s">
        <v>29</v>
      </c>
      <c r="AG7">
        <v>2</v>
      </c>
      <c r="AH7" t="s">
        <v>25</v>
      </c>
      <c r="AI7">
        <v>1106</v>
      </c>
      <c r="AJ7" t="s">
        <v>246</v>
      </c>
      <c r="AK7" t="s">
        <v>170</v>
      </c>
      <c r="AL7">
        <v>3081</v>
      </c>
      <c r="AM7" t="s">
        <v>1232</v>
      </c>
      <c r="AN7" s="8">
        <v>45757</v>
      </c>
      <c r="AO7" s="8">
        <v>45757</v>
      </c>
      <c r="AQ7" t="s">
        <v>32</v>
      </c>
      <c r="AS7" t="str">
        <f t="shared" si="0"/>
        <v>(01) Factura FOF100000043</v>
      </c>
    </row>
    <row r="8" spans="1:45" ht="15" customHeight="1">
      <c r="A8" t="s">
        <v>1228</v>
      </c>
      <c r="B8" s="21" t="s">
        <v>174</v>
      </c>
      <c r="C8" t="s">
        <v>27</v>
      </c>
      <c r="D8" s="8">
        <v>45945</v>
      </c>
      <c r="E8" s="22">
        <v>45946.780960648146</v>
      </c>
      <c r="F8" t="s">
        <v>32</v>
      </c>
      <c r="G8" t="s">
        <v>158</v>
      </c>
      <c r="H8">
        <v>6</v>
      </c>
      <c r="I8">
        <v>20608361074</v>
      </c>
      <c r="J8" t="s">
        <v>1242</v>
      </c>
      <c r="K8" s="8">
        <v>45945</v>
      </c>
      <c r="Q8">
        <v>1</v>
      </c>
      <c r="R8" s="21" t="s">
        <v>1240</v>
      </c>
      <c r="S8" t="s">
        <v>1243</v>
      </c>
      <c r="T8" t="s">
        <v>219</v>
      </c>
      <c r="U8">
        <v>1</v>
      </c>
      <c r="V8">
        <v>1000</v>
      </c>
      <c r="W8">
        <v>1180</v>
      </c>
      <c r="X8">
        <v>0</v>
      </c>
      <c r="Y8">
        <v>1000</v>
      </c>
      <c r="Z8">
        <v>18</v>
      </c>
      <c r="AA8">
        <v>180</v>
      </c>
      <c r="AB8">
        <v>1180</v>
      </c>
      <c r="AC8">
        <v>1</v>
      </c>
      <c r="AE8" t="s">
        <v>239</v>
      </c>
      <c r="AF8" t="s">
        <v>29</v>
      </c>
      <c r="AG8">
        <v>2</v>
      </c>
      <c r="AH8" t="s">
        <v>25</v>
      </c>
      <c r="AI8">
        <v>1106</v>
      </c>
      <c r="AJ8" t="s">
        <v>246</v>
      </c>
      <c r="AK8" t="s">
        <v>170</v>
      </c>
      <c r="AL8">
        <v>3081</v>
      </c>
      <c r="AM8" t="s">
        <v>1232</v>
      </c>
      <c r="AN8" s="8">
        <v>45757</v>
      </c>
      <c r="AO8" s="8">
        <v>45757</v>
      </c>
      <c r="AQ8" t="s">
        <v>32</v>
      </c>
      <c r="AS8" t="str">
        <f t="shared" si="0"/>
        <v>(01) Factura FOF100000042</v>
      </c>
    </row>
    <row r="9" spans="1:45" ht="15" customHeight="1">
      <c r="A9" t="s">
        <v>1228</v>
      </c>
      <c r="B9" s="21" t="s">
        <v>175</v>
      </c>
      <c r="C9" t="s">
        <v>27</v>
      </c>
      <c r="D9" s="8">
        <v>45945</v>
      </c>
      <c r="E9" s="22">
        <v>45946.780671296299</v>
      </c>
      <c r="F9" t="s">
        <v>32</v>
      </c>
      <c r="G9" t="s">
        <v>158</v>
      </c>
      <c r="H9">
        <v>6</v>
      </c>
      <c r="I9">
        <v>20608361074</v>
      </c>
      <c r="J9" t="s">
        <v>1244</v>
      </c>
      <c r="K9" s="8">
        <v>45945</v>
      </c>
      <c r="Q9">
        <v>1</v>
      </c>
      <c r="R9" s="21" t="s">
        <v>1223</v>
      </c>
      <c r="S9" t="s">
        <v>197</v>
      </c>
      <c r="T9" t="s">
        <v>163</v>
      </c>
      <c r="U9">
        <v>1</v>
      </c>
      <c r="V9">
        <v>6305.08</v>
      </c>
      <c r="W9">
        <v>7439.99</v>
      </c>
      <c r="X9">
        <v>0</v>
      </c>
      <c r="Y9">
        <v>6305.08</v>
      </c>
      <c r="Z9">
        <v>18</v>
      </c>
      <c r="AA9">
        <v>1134.9100000000001</v>
      </c>
      <c r="AB9">
        <v>7439.99</v>
      </c>
      <c r="AC9">
        <v>1</v>
      </c>
      <c r="AE9" t="s">
        <v>239</v>
      </c>
      <c r="AF9" t="s">
        <v>29</v>
      </c>
      <c r="AG9">
        <v>2</v>
      </c>
      <c r="AH9" t="s">
        <v>25</v>
      </c>
      <c r="AI9">
        <v>1106</v>
      </c>
      <c r="AJ9" t="s">
        <v>246</v>
      </c>
      <c r="AK9" t="s">
        <v>170</v>
      </c>
      <c r="AL9">
        <v>3081</v>
      </c>
      <c r="AM9" t="s">
        <v>1232</v>
      </c>
      <c r="AN9" s="8">
        <v>45757</v>
      </c>
      <c r="AO9" s="8">
        <v>45757</v>
      </c>
      <c r="AQ9" t="s">
        <v>32</v>
      </c>
      <c r="AS9" t="str">
        <f t="shared" si="0"/>
        <v>(01) Factura FOF100000041</v>
      </c>
    </row>
    <row r="10" spans="1:45" ht="15" customHeight="1">
      <c r="A10" t="s">
        <v>1228</v>
      </c>
      <c r="B10" s="21" t="s">
        <v>176</v>
      </c>
      <c r="C10" t="s">
        <v>27</v>
      </c>
      <c r="D10" s="8">
        <v>45945</v>
      </c>
      <c r="E10" s="22">
        <v>45946.780405092592</v>
      </c>
      <c r="F10" t="s">
        <v>32</v>
      </c>
      <c r="G10" t="s">
        <v>158</v>
      </c>
      <c r="H10">
        <v>6</v>
      </c>
      <c r="I10">
        <v>20608361074</v>
      </c>
      <c r="J10" t="s">
        <v>1245</v>
      </c>
      <c r="K10" s="8">
        <v>45945</v>
      </c>
      <c r="Q10">
        <v>1</v>
      </c>
      <c r="R10" s="21" t="s">
        <v>1226</v>
      </c>
      <c r="S10" t="s">
        <v>1227</v>
      </c>
      <c r="T10" t="s">
        <v>163</v>
      </c>
      <c r="U10">
        <v>1</v>
      </c>
      <c r="V10">
        <v>2880.59</v>
      </c>
      <c r="W10">
        <v>3399.1</v>
      </c>
      <c r="X10">
        <v>0</v>
      </c>
      <c r="Y10">
        <v>2880.59</v>
      </c>
      <c r="Z10">
        <v>18</v>
      </c>
      <c r="AA10">
        <v>518.51</v>
      </c>
      <c r="AB10">
        <v>3399.1</v>
      </c>
      <c r="AC10">
        <v>1</v>
      </c>
      <c r="AE10" t="s">
        <v>239</v>
      </c>
      <c r="AF10" t="s">
        <v>29</v>
      </c>
      <c r="AG10">
        <v>2</v>
      </c>
      <c r="AH10" t="s">
        <v>25</v>
      </c>
      <c r="AI10">
        <v>1106</v>
      </c>
      <c r="AJ10" t="s">
        <v>246</v>
      </c>
      <c r="AK10" t="s">
        <v>170</v>
      </c>
      <c r="AL10">
        <v>3081</v>
      </c>
      <c r="AM10" t="s">
        <v>1232</v>
      </c>
      <c r="AN10" s="8">
        <v>45757</v>
      </c>
      <c r="AO10" s="8">
        <v>45757</v>
      </c>
      <c r="AQ10" t="s">
        <v>32</v>
      </c>
      <c r="AS10" t="str">
        <f t="shared" si="0"/>
        <v>(01) Factura FOF100000040</v>
      </c>
    </row>
    <row r="11" spans="1:45" ht="15" customHeight="1">
      <c r="A11" t="s">
        <v>1221</v>
      </c>
      <c r="B11" s="21" t="s">
        <v>186</v>
      </c>
      <c r="C11" t="s">
        <v>27</v>
      </c>
      <c r="D11" s="8">
        <v>45945</v>
      </c>
      <c r="E11" s="22">
        <v>45946.768726851849</v>
      </c>
      <c r="F11" t="s">
        <v>278</v>
      </c>
      <c r="G11" t="s">
        <v>158</v>
      </c>
      <c r="H11">
        <v>1</v>
      </c>
      <c r="I11">
        <v>48595560</v>
      </c>
      <c r="J11" t="s">
        <v>1246</v>
      </c>
      <c r="K11" s="8">
        <v>45945</v>
      </c>
      <c r="Q11">
        <v>1</v>
      </c>
      <c r="R11" s="21" t="s">
        <v>1247</v>
      </c>
      <c r="S11" t="s">
        <v>1248</v>
      </c>
      <c r="T11" t="s">
        <v>163</v>
      </c>
      <c r="U11">
        <v>1</v>
      </c>
      <c r="V11">
        <v>2701</v>
      </c>
      <c r="W11">
        <v>3187.18</v>
      </c>
      <c r="X11">
        <v>0</v>
      </c>
      <c r="Y11">
        <v>2701</v>
      </c>
      <c r="Z11">
        <v>18</v>
      </c>
      <c r="AA11">
        <v>486.18</v>
      </c>
      <c r="AB11">
        <v>3187.18</v>
      </c>
      <c r="AC11">
        <v>1</v>
      </c>
      <c r="AE11" t="s">
        <v>239</v>
      </c>
      <c r="AF11" t="s">
        <v>29</v>
      </c>
      <c r="AG11">
        <v>2</v>
      </c>
      <c r="AH11" t="s">
        <v>25</v>
      </c>
      <c r="AI11">
        <v>1106</v>
      </c>
      <c r="AJ11" t="s">
        <v>246</v>
      </c>
      <c r="AK11" t="s">
        <v>170</v>
      </c>
      <c r="AL11">
        <v>3066</v>
      </c>
      <c r="AM11" t="s">
        <v>1249</v>
      </c>
      <c r="AN11" s="8">
        <v>45757</v>
      </c>
      <c r="AO11" s="8">
        <v>45757</v>
      </c>
      <c r="AQ11" t="s">
        <v>278</v>
      </c>
      <c r="AS11" t="str">
        <f t="shared" si="0"/>
        <v>(03) Boleta BOB100000028</v>
      </c>
    </row>
    <row r="12" spans="1:45" ht="15" customHeight="1">
      <c r="A12" t="s">
        <v>1221</v>
      </c>
      <c r="B12" s="21" t="s">
        <v>187</v>
      </c>
      <c r="C12" t="s">
        <v>27</v>
      </c>
      <c r="D12" s="8">
        <v>45945</v>
      </c>
      <c r="E12" s="22">
        <v>45946.768136574072</v>
      </c>
      <c r="F12" t="s">
        <v>278</v>
      </c>
      <c r="G12" t="s">
        <v>158</v>
      </c>
      <c r="H12">
        <v>1</v>
      </c>
      <c r="I12">
        <v>48595560</v>
      </c>
      <c r="J12" t="s">
        <v>1250</v>
      </c>
      <c r="K12" s="8">
        <v>45945</v>
      </c>
      <c r="Q12">
        <v>1</v>
      </c>
      <c r="R12" s="21" t="s">
        <v>1251</v>
      </c>
      <c r="S12" t="s">
        <v>1252</v>
      </c>
      <c r="T12" t="s">
        <v>163</v>
      </c>
      <c r="U12">
        <v>1</v>
      </c>
      <c r="V12">
        <v>100</v>
      </c>
      <c r="W12">
        <v>118</v>
      </c>
      <c r="X12">
        <v>0</v>
      </c>
      <c r="Y12">
        <v>100</v>
      </c>
      <c r="Z12">
        <v>18</v>
      </c>
      <c r="AA12">
        <v>18</v>
      </c>
      <c r="AB12">
        <v>118</v>
      </c>
      <c r="AC12">
        <v>1</v>
      </c>
      <c r="AE12" t="s">
        <v>239</v>
      </c>
      <c r="AF12" t="s">
        <v>29</v>
      </c>
      <c r="AG12">
        <v>2</v>
      </c>
      <c r="AH12" t="s">
        <v>25</v>
      </c>
      <c r="AI12">
        <v>1106</v>
      </c>
      <c r="AJ12" t="s">
        <v>246</v>
      </c>
      <c r="AK12" t="s">
        <v>170</v>
      </c>
      <c r="AL12">
        <v>3066</v>
      </c>
      <c r="AM12" t="s">
        <v>1249</v>
      </c>
      <c r="AN12" s="8">
        <v>45757</v>
      </c>
      <c r="AO12" s="8">
        <v>45757</v>
      </c>
      <c r="AQ12" t="s">
        <v>278</v>
      </c>
      <c r="AS12" t="str">
        <f t="shared" si="0"/>
        <v>(03) Boleta BOB100000027</v>
      </c>
    </row>
    <row r="13" spans="1:45" ht="15" customHeight="1">
      <c r="A13" t="s">
        <v>1221</v>
      </c>
      <c r="B13" s="21" t="s">
        <v>188</v>
      </c>
      <c r="C13" t="s">
        <v>27</v>
      </c>
      <c r="D13" s="8">
        <v>45945</v>
      </c>
      <c r="E13" s="22">
        <v>45946.767928240741</v>
      </c>
      <c r="F13" t="s">
        <v>278</v>
      </c>
      <c r="G13" t="s">
        <v>158</v>
      </c>
      <c r="H13">
        <v>1</v>
      </c>
      <c r="I13">
        <v>48595560</v>
      </c>
      <c r="J13" t="s">
        <v>1253</v>
      </c>
      <c r="K13" s="8">
        <v>45945</v>
      </c>
      <c r="Q13">
        <v>1</v>
      </c>
      <c r="R13" s="21" t="s">
        <v>1223</v>
      </c>
      <c r="S13" t="s">
        <v>197</v>
      </c>
      <c r="T13" t="s">
        <v>163</v>
      </c>
      <c r="U13">
        <v>1</v>
      </c>
      <c r="V13">
        <v>1688.56</v>
      </c>
      <c r="W13">
        <v>1992.5</v>
      </c>
      <c r="X13">
        <v>0</v>
      </c>
      <c r="Y13">
        <v>1688.56</v>
      </c>
      <c r="Z13">
        <v>18</v>
      </c>
      <c r="AA13">
        <v>303.94</v>
      </c>
      <c r="AB13">
        <v>1992.5</v>
      </c>
      <c r="AC13">
        <v>1</v>
      </c>
      <c r="AE13" t="s">
        <v>239</v>
      </c>
      <c r="AF13" t="s">
        <v>29</v>
      </c>
      <c r="AG13">
        <v>2</v>
      </c>
      <c r="AH13" t="s">
        <v>25</v>
      </c>
      <c r="AI13">
        <v>1106</v>
      </c>
      <c r="AJ13" t="s">
        <v>246</v>
      </c>
      <c r="AK13" t="s">
        <v>170</v>
      </c>
      <c r="AL13">
        <v>3066</v>
      </c>
      <c r="AM13" t="s">
        <v>1249</v>
      </c>
      <c r="AN13" s="8">
        <v>45757</v>
      </c>
      <c r="AO13" s="8">
        <v>45757</v>
      </c>
      <c r="AQ13" t="s">
        <v>278</v>
      </c>
      <c r="AS13" t="str">
        <f t="shared" si="0"/>
        <v>(03) Boleta BOB100000026</v>
      </c>
    </row>
    <row r="14" spans="1:45" ht="15" customHeight="1">
      <c r="A14" t="s">
        <v>1221</v>
      </c>
      <c r="B14" s="21" t="s">
        <v>189</v>
      </c>
      <c r="C14" t="s">
        <v>27</v>
      </c>
      <c r="D14" s="8">
        <v>45945</v>
      </c>
      <c r="E14" s="22">
        <v>45946.76771990741</v>
      </c>
      <c r="F14" t="s">
        <v>278</v>
      </c>
      <c r="G14" t="s">
        <v>158</v>
      </c>
      <c r="H14">
        <v>1</v>
      </c>
      <c r="I14">
        <v>48595560</v>
      </c>
      <c r="J14" t="s">
        <v>1254</v>
      </c>
      <c r="K14" s="8">
        <v>45945</v>
      </c>
      <c r="Q14">
        <v>1</v>
      </c>
      <c r="R14" s="21" t="s">
        <v>1226</v>
      </c>
      <c r="S14" t="s">
        <v>1227</v>
      </c>
      <c r="T14" t="s">
        <v>163</v>
      </c>
      <c r="U14">
        <v>1</v>
      </c>
      <c r="V14">
        <v>1340.25</v>
      </c>
      <c r="W14">
        <v>1581.5</v>
      </c>
      <c r="X14">
        <v>0</v>
      </c>
      <c r="Y14">
        <v>1340.25</v>
      </c>
      <c r="Z14">
        <v>18</v>
      </c>
      <c r="AA14">
        <v>241.25</v>
      </c>
      <c r="AB14">
        <v>1581.5</v>
      </c>
      <c r="AC14">
        <v>1</v>
      </c>
      <c r="AE14" t="s">
        <v>239</v>
      </c>
      <c r="AF14" t="s">
        <v>29</v>
      </c>
      <c r="AG14">
        <v>2</v>
      </c>
      <c r="AH14" t="s">
        <v>25</v>
      </c>
      <c r="AI14">
        <v>1106</v>
      </c>
      <c r="AJ14" t="s">
        <v>246</v>
      </c>
      <c r="AK14" t="s">
        <v>170</v>
      </c>
      <c r="AL14">
        <v>3066</v>
      </c>
      <c r="AM14" t="s">
        <v>1249</v>
      </c>
      <c r="AN14" s="8">
        <v>45757</v>
      </c>
      <c r="AO14" s="8">
        <v>45757</v>
      </c>
      <c r="AQ14" t="s">
        <v>278</v>
      </c>
      <c r="AS14" t="str">
        <f t="shared" si="0"/>
        <v>(03) Boleta BOB100000025</v>
      </c>
    </row>
    <row r="15" spans="1:45" ht="15" customHeight="1">
      <c r="A15" t="s">
        <v>1221</v>
      </c>
      <c r="B15" s="21" t="s">
        <v>190</v>
      </c>
      <c r="C15" t="s">
        <v>27</v>
      </c>
      <c r="D15" s="8">
        <v>45945</v>
      </c>
      <c r="E15" s="22">
        <v>45946.766296296293</v>
      </c>
      <c r="F15" t="s">
        <v>1255</v>
      </c>
      <c r="H15">
        <v>1</v>
      </c>
      <c r="I15" s="21" t="s">
        <v>1256</v>
      </c>
      <c r="J15" t="s">
        <v>1257</v>
      </c>
      <c r="K15" s="8">
        <v>45945</v>
      </c>
      <c r="Q15">
        <v>1</v>
      </c>
      <c r="R15" s="21" t="s">
        <v>1223</v>
      </c>
      <c r="S15" t="s">
        <v>197</v>
      </c>
      <c r="T15" t="s">
        <v>163</v>
      </c>
      <c r="U15">
        <v>1</v>
      </c>
      <c r="V15">
        <v>25.93</v>
      </c>
      <c r="W15">
        <v>30.6</v>
      </c>
      <c r="X15">
        <v>0</v>
      </c>
      <c r="Y15">
        <v>25.93</v>
      </c>
      <c r="Z15">
        <v>18.010000000000002</v>
      </c>
      <c r="AA15">
        <v>4.67</v>
      </c>
      <c r="AB15">
        <v>30.6</v>
      </c>
      <c r="AC15">
        <v>1</v>
      </c>
      <c r="AE15" t="s">
        <v>239</v>
      </c>
      <c r="AF15" t="s">
        <v>29</v>
      </c>
      <c r="AG15">
        <v>2</v>
      </c>
      <c r="AH15" t="s">
        <v>25</v>
      </c>
      <c r="AI15">
        <v>1106</v>
      </c>
      <c r="AJ15" t="s">
        <v>246</v>
      </c>
      <c r="AK15" t="s">
        <v>170</v>
      </c>
      <c r="AL15">
        <v>3029</v>
      </c>
      <c r="AM15" t="s">
        <v>1258</v>
      </c>
      <c r="AN15" s="8">
        <v>45757</v>
      </c>
      <c r="AO15" s="8">
        <v>45757</v>
      </c>
      <c r="AQ15" t="s">
        <v>1255</v>
      </c>
      <c r="AS15" t="str">
        <f t="shared" si="0"/>
        <v>(03) Boleta BOB100000024</v>
      </c>
    </row>
    <row r="16" spans="1:45" ht="15" customHeight="1">
      <c r="A16" t="s">
        <v>1221</v>
      </c>
      <c r="B16" s="21" t="s">
        <v>191</v>
      </c>
      <c r="C16" t="s">
        <v>27</v>
      </c>
      <c r="D16" s="8">
        <v>45945</v>
      </c>
      <c r="E16" s="22">
        <v>45946.766099537039</v>
      </c>
      <c r="F16" t="s">
        <v>1255</v>
      </c>
      <c r="H16">
        <v>1</v>
      </c>
      <c r="I16" s="21" t="s">
        <v>1256</v>
      </c>
      <c r="J16" t="s">
        <v>1259</v>
      </c>
      <c r="K16" s="8">
        <v>45945</v>
      </c>
      <c r="Q16">
        <v>1</v>
      </c>
      <c r="R16" s="21" t="s">
        <v>1226</v>
      </c>
      <c r="S16" t="s">
        <v>1227</v>
      </c>
      <c r="T16" t="s">
        <v>163</v>
      </c>
      <c r="U16">
        <v>1</v>
      </c>
      <c r="V16">
        <v>18.309999999999999</v>
      </c>
      <c r="W16">
        <v>21.61</v>
      </c>
      <c r="X16">
        <v>0</v>
      </c>
      <c r="Y16">
        <v>18.309999999999999</v>
      </c>
      <c r="Z16">
        <v>18.02</v>
      </c>
      <c r="AA16">
        <v>3.3</v>
      </c>
      <c r="AB16">
        <v>21.61</v>
      </c>
      <c r="AC16">
        <v>1</v>
      </c>
      <c r="AE16" t="s">
        <v>239</v>
      </c>
      <c r="AF16" t="s">
        <v>29</v>
      </c>
      <c r="AG16">
        <v>2</v>
      </c>
      <c r="AH16" t="s">
        <v>25</v>
      </c>
      <c r="AI16">
        <v>1106</v>
      </c>
      <c r="AJ16" t="s">
        <v>246</v>
      </c>
      <c r="AK16" t="s">
        <v>170</v>
      </c>
      <c r="AL16">
        <v>3029</v>
      </c>
      <c r="AM16" t="s">
        <v>1258</v>
      </c>
      <c r="AN16" s="8">
        <v>45757</v>
      </c>
      <c r="AO16" s="8">
        <v>45757</v>
      </c>
      <c r="AQ16" t="s">
        <v>1255</v>
      </c>
      <c r="AS16" t="str">
        <f t="shared" si="0"/>
        <v>(03) Boleta BOB100000023</v>
      </c>
    </row>
    <row r="17" spans="1:45" ht="15" customHeight="1">
      <c r="A17" t="s">
        <v>1228</v>
      </c>
      <c r="B17" s="21" t="s">
        <v>177</v>
      </c>
      <c r="C17" t="s">
        <v>27</v>
      </c>
      <c r="D17" s="8">
        <v>45945</v>
      </c>
      <c r="E17" s="22">
        <v>45946.764953703707</v>
      </c>
      <c r="F17" t="s">
        <v>314</v>
      </c>
      <c r="H17">
        <v>6</v>
      </c>
      <c r="I17">
        <v>20509594903</v>
      </c>
      <c r="J17" t="s">
        <v>1260</v>
      </c>
      <c r="K17" s="8">
        <v>45945</v>
      </c>
      <c r="Q17">
        <v>1</v>
      </c>
      <c r="R17" s="21" t="s">
        <v>1223</v>
      </c>
      <c r="S17" t="s">
        <v>197</v>
      </c>
      <c r="T17" t="s">
        <v>163</v>
      </c>
      <c r="U17">
        <v>1</v>
      </c>
      <c r="V17">
        <v>369.41</v>
      </c>
      <c r="W17">
        <v>435.9</v>
      </c>
      <c r="X17">
        <v>0</v>
      </c>
      <c r="Y17">
        <v>369.41</v>
      </c>
      <c r="Z17">
        <v>18</v>
      </c>
      <c r="AA17">
        <v>66.489999999999995</v>
      </c>
      <c r="AB17">
        <v>435.9</v>
      </c>
      <c r="AC17">
        <v>1</v>
      </c>
      <c r="AE17" t="s">
        <v>239</v>
      </c>
      <c r="AF17" t="s">
        <v>29</v>
      </c>
      <c r="AG17">
        <v>2</v>
      </c>
      <c r="AH17" t="s">
        <v>25</v>
      </c>
      <c r="AI17">
        <v>1106</v>
      </c>
      <c r="AJ17" t="s">
        <v>246</v>
      </c>
      <c r="AK17" t="s">
        <v>170</v>
      </c>
      <c r="AL17">
        <v>3188</v>
      </c>
      <c r="AM17" t="s">
        <v>1261</v>
      </c>
      <c r="AN17" s="8">
        <v>45726</v>
      </c>
      <c r="AO17" s="8">
        <v>45726</v>
      </c>
      <c r="AQ17" t="s">
        <v>314</v>
      </c>
      <c r="AS17" t="str">
        <f t="shared" si="0"/>
        <v>(01) Factura FOF100000039</v>
      </c>
    </row>
    <row r="18" spans="1:45" ht="15" customHeight="1">
      <c r="A18" t="s">
        <v>1228</v>
      </c>
      <c r="B18" s="21" t="s">
        <v>178</v>
      </c>
      <c r="C18" t="s">
        <v>27</v>
      </c>
      <c r="D18" s="8">
        <v>45945</v>
      </c>
      <c r="E18" s="22">
        <v>45946.764733796299</v>
      </c>
      <c r="F18" t="s">
        <v>314</v>
      </c>
      <c r="H18">
        <v>6</v>
      </c>
      <c r="I18">
        <v>20509594903</v>
      </c>
      <c r="J18" t="s">
        <v>1262</v>
      </c>
      <c r="K18" s="8">
        <v>45945</v>
      </c>
      <c r="Q18">
        <v>1</v>
      </c>
      <c r="R18" s="21" t="s">
        <v>1226</v>
      </c>
      <c r="S18" t="s">
        <v>1227</v>
      </c>
      <c r="T18" t="s">
        <v>163</v>
      </c>
      <c r="U18">
        <v>1</v>
      </c>
      <c r="V18">
        <v>256.61</v>
      </c>
      <c r="W18">
        <v>302.8</v>
      </c>
      <c r="X18">
        <v>0</v>
      </c>
      <c r="Y18">
        <v>256.61</v>
      </c>
      <c r="Z18">
        <v>18</v>
      </c>
      <c r="AA18">
        <v>46.19</v>
      </c>
      <c r="AB18">
        <v>302.8</v>
      </c>
      <c r="AC18">
        <v>1</v>
      </c>
      <c r="AE18" t="s">
        <v>239</v>
      </c>
      <c r="AF18" t="s">
        <v>29</v>
      </c>
      <c r="AG18">
        <v>2</v>
      </c>
      <c r="AH18" t="s">
        <v>25</v>
      </c>
      <c r="AI18">
        <v>1106</v>
      </c>
      <c r="AJ18" t="s">
        <v>246</v>
      </c>
      <c r="AK18" t="s">
        <v>170</v>
      </c>
      <c r="AL18">
        <v>3188</v>
      </c>
      <c r="AM18" t="s">
        <v>1261</v>
      </c>
      <c r="AN18" s="8">
        <v>45726</v>
      </c>
      <c r="AO18" s="8">
        <v>45726</v>
      </c>
      <c r="AQ18" t="s">
        <v>314</v>
      </c>
      <c r="AS18" t="str">
        <f t="shared" si="0"/>
        <v>(01) Factura FOF100000038</v>
      </c>
    </row>
    <row r="19" spans="1:45" ht="15" customHeight="1">
      <c r="A19" t="s">
        <v>1228</v>
      </c>
      <c r="B19" s="21" t="s">
        <v>1263</v>
      </c>
      <c r="C19" t="s">
        <v>27</v>
      </c>
      <c r="D19" s="8">
        <v>45945</v>
      </c>
      <c r="E19" s="22">
        <v>45946.763032407405</v>
      </c>
      <c r="F19" t="s">
        <v>32</v>
      </c>
      <c r="G19" t="s">
        <v>158</v>
      </c>
      <c r="H19">
        <v>6</v>
      </c>
      <c r="I19">
        <v>20608361074</v>
      </c>
      <c r="J19" t="s">
        <v>1264</v>
      </c>
      <c r="K19" s="8">
        <v>45945</v>
      </c>
      <c r="Q19">
        <v>1</v>
      </c>
      <c r="R19" s="21" t="s">
        <v>1234</v>
      </c>
      <c r="S19" t="s">
        <v>1265</v>
      </c>
      <c r="T19" t="s">
        <v>163</v>
      </c>
      <c r="U19">
        <v>1</v>
      </c>
      <c r="V19">
        <v>33.9</v>
      </c>
      <c r="W19">
        <v>40</v>
      </c>
      <c r="X19">
        <v>0</v>
      </c>
      <c r="Y19">
        <v>33.9</v>
      </c>
      <c r="Z19">
        <v>17.989999999999998</v>
      </c>
      <c r="AA19">
        <v>6.1</v>
      </c>
      <c r="AB19">
        <v>40</v>
      </c>
      <c r="AC19">
        <v>1</v>
      </c>
      <c r="AE19" t="s">
        <v>239</v>
      </c>
      <c r="AF19" t="s">
        <v>29</v>
      </c>
      <c r="AG19">
        <v>2</v>
      </c>
      <c r="AH19" t="s">
        <v>25</v>
      </c>
      <c r="AI19">
        <v>1106</v>
      </c>
      <c r="AJ19" t="s">
        <v>246</v>
      </c>
      <c r="AK19" t="s">
        <v>170</v>
      </c>
      <c r="AL19">
        <v>3051</v>
      </c>
      <c r="AM19" t="s">
        <v>317</v>
      </c>
      <c r="AN19" s="8">
        <v>45726</v>
      </c>
      <c r="AO19" s="8">
        <v>45726</v>
      </c>
      <c r="AQ19" t="s">
        <v>32</v>
      </c>
      <c r="AS19" t="str">
        <f t="shared" si="0"/>
        <v>(01) Factura FOF100000037</v>
      </c>
    </row>
    <row r="20" spans="1:45" ht="15" customHeight="1">
      <c r="A20" t="s">
        <v>1228</v>
      </c>
      <c r="B20" s="21" t="s">
        <v>179</v>
      </c>
      <c r="C20" t="s">
        <v>27</v>
      </c>
      <c r="D20" s="8">
        <v>45945</v>
      </c>
      <c r="E20" s="22">
        <v>45946.760555555556</v>
      </c>
      <c r="F20" t="s">
        <v>32</v>
      </c>
      <c r="G20" t="s">
        <v>158</v>
      </c>
      <c r="H20">
        <v>6</v>
      </c>
      <c r="I20">
        <v>20608361074</v>
      </c>
      <c r="J20" t="s">
        <v>1266</v>
      </c>
      <c r="K20" s="8">
        <v>45945</v>
      </c>
      <c r="Q20">
        <v>1</v>
      </c>
      <c r="R20" s="21" t="s">
        <v>1240</v>
      </c>
      <c r="S20" t="s">
        <v>1267</v>
      </c>
      <c r="T20" t="s">
        <v>219</v>
      </c>
      <c r="U20">
        <v>1</v>
      </c>
      <c r="V20">
        <v>1400</v>
      </c>
      <c r="W20">
        <v>1652</v>
      </c>
      <c r="X20">
        <v>0</v>
      </c>
      <c r="Y20">
        <v>1400</v>
      </c>
      <c r="Z20">
        <v>18</v>
      </c>
      <c r="AA20">
        <v>252</v>
      </c>
      <c r="AB20">
        <v>1652</v>
      </c>
      <c r="AC20">
        <v>1</v>
      </c>
      <c r="AE20" t="s">
        <v>239</v>
      </c>
      <c r="AF20" t="s">
        <v>29</v>
      </c>
      <c r="AG20">
        <v>2</v>
      </c>
      <c r="AH20" t="s">
        <v>25</v>
      </c>
      <c r="AI20">
        <v>1106</v>
      </c>
      <c r="AJ20" t="s">
        <v>246</v>
      </c>
      <c r="AK20" t="s">
        <v>170</v>
      </c>
      <c r="AL20">
        <v>3051</v>
      </c>
      <c r="AM20" t="s">
        <v>317</v>
      </c>
      <c r="AN20" s="8">
        <v>45726</v>
      </c>
      <c r="AO20" s="8">
        <v>45726</v>
      </c>
      <c r="AQ20" t="s">
        <v>32</v>
      </c>
      <c r="AS20" t="str">
        <f t="shared" si="0"/>
        <v>(01) Factura FOF100000036</v>
      </c>
    </row>
    <row r="21" spans="1:45" ht="15" customHeight="1">
      <c r="A21" t="s">
        <v>1228</v>
      </c>
      <c r="B21" s="21" t="s">
        <v>180</v>
      </c>
      <c r="C21" t="s">
        <v>27</v>
      </c>
      <c r="D21" s="8">
        <v>45945</v>
      </c>
      <c r="E21" s="22">
        <v>45946.760104166664</v>
      </c>
      <c r="F21" t="s">
        <v>32</v>
      </c>
      <c r="G21" t="s">
        <v>158</v>
      </c>
      <c r="H21">
        <v>6</v>
      </c>
      <c r="I21">
        <v>20608361074</v>
      </c>
      <c r="J21" t="s">
        <v>1268</v>
      </c>
      <c r="K21" s="8">
        <v>45945</v>
      </c>
      <c r="Q21">
        <v>1</v>
      </c>
      <c r="R21" s="21" t="s">
        <v>1223</v>
      </c>
      <c r="S21" t="s">
        <v>197</v>
      </c>
      <c r="T21" t="s">
        <v>163</v>
      </c>
      <c r="U21">
        <v>1</v>
      </c>
      <c r="V21">
        <v>3741.1</v>
      </c>
      <c r="W21">
        <v>4414.5</v>
      </c>
      <c r="X21">
        <v>0</v>
      </c>
      <c r="Y21">
        <v>3741.1</v>
      </c>
      <c r="Z21">
        <v>18</v>
      </c>
      <c r="AA21">
        <v>673.4</v>
      </c>
      <c r="AB21">
        <v>4414.5</v>
      </c>
      <c r="AC21">
        <v>1</v>
      </c>
      <c r="AE21" t="s">
        <v>239</v>
      </c>
      <c r="AF21" t="s">
        <v>29</v>
      </c>
      <c r="AG21">
        <v>2</v>
      </c>
      <c r="AH21" t="s">
        <v>25</v>
      </c>
      <c r="AI21">
        <v>1106</v>
      </c>
      <c r="AJ21" t="s">
        <v>246</v>
      </c>
      <c r="AK21" t="s">
        <v>170</v>
      </c>
      <c r="AL21">
        <v>3051</v>
      </c>
      <c r="AM21" t="s">
        <v>317</v>
      </c>
      <c r="AN21" s="8">
        <v>45726</v>
      </c>
      <c r="AO21" s="8">
        <v>45726</v>
      </c>
      <c r="AQ21" t="s">
        <v>32</v>
      </c>
      <c r="AS21" t="str">
        <f t="shared" si="0"/>
        <v>(01) Factura FOF100000035</v>
      </c>
    </row>
    <row r="22" spans="1:45" ht="15" customHeight="1">
      <c r="A22" t="s">
        <v>1228</v>
      </c>
      <c r="B22" s="21" t="s">
        <v>208</v>
      </c>
      <c r="C22" t="s">
        <v>27</v>
      </c>
      <c r="D22" s="8">
        <v>45945</v>
      </c>
      <c r="E22" s="22">
        <v>45946.759814814817</v>
      </c>
      <c r="F22" t="s">
        <v>32</v>
      </c>
      <c r="G22" t="s">
        <v>158</v>
      </c>
      <c r="H22">
        <v>6</v>
      </c>
      <c r="I22">
        <v>20608361074</v>
      </c>
      <c r="J22" t="s">
        <v>1269</v>
      </c>
      <c r="K22" s="8">
        <v>45945</v>
      </c>
      <c r="Q22">
        <v>1</v>
      </c>
      <c r="R22" s="21" t="s">
        <v>1226</v>
      </c>
      <c r="S22" t="s">
        <v>1227</v>
      </c>
      <c r="T22" t="s">
        <v>163</v>
      </c>
      <c r="U22">
        <v>1</v>
      </c>
      <c r="V22">
        <v>1571.02</v>
      </c>
      <c r="W22">
        <v>1853.8</v>
      </c>
      <c r="X22">
        <v>0</v>
      </c>
      <c r="Y22">
        <v>1571.02</v>
      </c>
      <c r="Z22">
        <v>18</v>
      </c>
      <c r="AA22">
        <v>282.77999999999997</v>
      </c>
      <c r="AB22">
        <v>1853.8</v>
      </c>
      <c r="AC22">
        <v>1</v>
      </c>
      <c r="AE22" t="s">
        <v>239</v>
      </c>
      <c r="AF22" t="s">
        <v>29</v>
      </c>
      <c r="AG22">
        <v>2</v>
      </c>
      <c r="AH22" t="s">
        <v>25</v>
      </c>
      <c r="AI22">
        <v>1106</v>
      </c>
      <c r="AJ22" t="s">
        <v>246</v>
      </c>
      <c r="AK22" t="s">
        <v>170</v>
      </c>
      <c r="AL22">
        <v>3051</v>
      </c>
      <c r="AM22" t="s">
        <v>317</v>
      </c>
      <c r="AN22" s="8">
        <v>45726</v>
      </c>
      <c r="AO22" s="8">
        <v>45726</v>
      </c>
      <c r="AQ22" t="s">
        <v>32</v>
      </c>
      <c r="AS22" t="str">
        <f t="shared" si="0"/>
        <v>(01) Factura FOF100000034</v>
      </c>
    </row>
    <row r="23" spans="1:45" ht="15" customHeight="1">
      <c r="A23" t="s">
        <v>1221</v>
      </c>
      <c r="B23" s="21" t="s">
        <v>192</v>
      </c>
      <c r="C23" t="s">
        <v>27</v>
      </c>
      <c r="D23" s="8">
        <v>45945</v>
      </c>
      <c r="E23" s="22">
        <v>45946.757743055554</v>
      </c>
      <c r="F23" t="s">
        <v>288</v>
      </c>
      <c r="H23">
        <v>1</v>
      </c>
      <c r="I23">
        <v>73252959</v>
      </c>
      <c r="J23" t="s">
        <v>1270</v>
      </c>
      <c r="K23" s="8">
        <v>45945</v>
      </c>
      <c r="Q23">
        <v>1</v>
      </c>
      <c r="R23" s="21" t="s">
        <v>1234</v>
      </c>
      <c r="S23" t="s">
        <v>1235</v>
      </c>
      <c r="T23" t="s">
        <v>163</v>
      </c>
      <c r="U23">
        <v>1</v>
      </c>
      <c r="V23">
        <v>63</v>
      </c>
      <c r="W23">
        <v>74.34</v>
      </c>
      <c r="X23">
        <v>0</v>
      </c>
      <c r="Y23">
        <v>63</v>
      </c>
      <c r="Z23">
        <v>18</v>
      </c>
      <c r="AA23">
        <v>11.34</v>
      </c>
      <c r="AB23">
        <v>74.34</v>
      </c>
      <c r="AC23">
        <v>1</v>
      </c>
      <c r="AE23" t="s">
        <v>239</v>
      </c>
      <c r="AF23" t="s">
        <v>29</v>
      </c>
      <c r="AG23">
        <v>2</v>
      </c>
      <c r="AH23" t="s">
        <v>25</v>
      </c>
      <c r="AI23">
        <v>1106</v>
      </c>
      <c r="AJ23" t="s">
        <v>246</v>
      </c>
      <c r="AK23" t="s">
        <v>170</v>
      </c>
      <c r="AL23">
        <v>3030</v>
      </c>
      <c r="AM23" t="s">
        <v>1271</v>
      </c>
      <c r="AN23" s="8">
        <v>45757</v>
      </c>
      <c r="AO23" s="8">
        <v>45757</v>
      </c>
      <c r="AQ23" t="s">
        <v>288</v>
      </c>
      <c r="AS23" t="str">
        <f t="shared" si="0"/>
        <v>(03) Boleta BOB100000022</v>
      </c>
    </row>
    <row r="24" spans="1:45" ht="15" customHeight="1">
      <c r="A24" t="s">
        <v>1221</v>
      </c>
      <c r="B24" s="21" t="s">
        <v>193</v>
      </c>
      <c r="C24" t="s">
        <v>27</v>
      </c>
      <c r="D24" s="8">
        <v>45945</v>
      </c>
      <c r="E24" s="22">
        <v>45946.757534722223</v>
      </c>
      <c r="F24" t="s">
        <v>288</v>
      </c>
      <c r="H24">
        <v>1</v>
      </c>
      <c r="I24">
        <v>73252959</v>
      </c>
      <c r="J24" t="s">
        <v>1272</v>
      </c>
      <c r="K24" s="8">
        <v>45945</v>
      </c>
      <c r="Q24">
        <v>1</v>
      </c>
      <c r="R24" s="21" t="s">
        <v>1237</v>
      </c>
      <c r="S24" t="s">
        <v>1273</v>
      </c>
      <c r="T24" t="s">
        <v>163</v>
      </c>
      <c r="U24">
        <v>1</v>
      </c>
      <c r="V24">
        <v>300</v>
      </c>
      <c r="W24">
        <v>354</v>
      </c>
      <c r="X24">
        <v>0</v>
      </c>
      <c r="Y24">
        <v>300</v>
      </c>
      <c r="Z24">
        <v>18</v>
      </c>
      <c r="AA24">
        <v>54</v>
      </c>
      <c r="AB24">
        <v>354</v>
      </c>
      <c r="AC24">
        <v>1</v>
      </c>
      <c r="AE24" t="s">
        <v>239</v>
      </c>
      <c r="AF24" t="s">
        <v>29</v>
      </c>
      <c r="AG24">
        <v>2</v>
      </c>
      <c r="AH24" t="s">
        <v>25</v>
      </c>
      <c r="AI24">
        <v>1106</v>
      </c>
      <c r="AJ24" t="s">
        <v>246</v>
      </c>
      <c r="AK24" t="s">
        <v>170</v>
      </c>
      <c r="AL24">
        <v>3030</v>
      </c>
      <c r="AM24" t="s">
        <v>1271</v>
      </c>
      <c r="AN24" s="8">
        <v>45757</v>
      </c>
      <c r="AO24" s="8">
        <v>45757</v>
      </c>
      <c r="AQ24" t="s">
        <v>288</v>
      </c>
      <c r="AS24" t="str">
        <f t="shared" si="0"/>
        <v>(03) Boleta BOB100000021</v>
      </c>
    </row>
    <row r="25" spans="1:45" ht="15" customHeight="1">
      <c r="A25" t="s">
        <v>1221</v>
      </c>
      <c r="B25" s="21" t="s">
        <v>210</v>
      </c>
      <c r="C25" t="s">
        <v>27</v>
      </c>
      <c r="D25" s="8">
        <v>45945</v>
      </c>
      <c r="E25" s="22">
        <v>45946.757326388892</v>
      </c>
      <c r="F25" t="s">
        <v>288</v>
      </c>
      <c r="H25">
        <v>1</v>
      </c>
      <c r="I25">
        <v>73252959</v>
      </c>
      <c r="J25" t="s">
        <v>1274</v>
      </c>
      <c r="K25" s="8">
        <v>45945</v>
      </c>
      <c r="Q25">
        <v>1</v>
      </c>
      <c r="R25" s="21" t="s">
        <v>1223</v>
      </c>
      <c r="S25" t="s">
        <v>197</v>
      </c>
      <c r="T25" t="s">
        <v>163</v>
      </c>
      <c r="U25">
        <v>1</v>
      </c>
      <c r="V25">
        <v>785.59</v>
      </c>
      <c r="W25">
        <v>927</v>
      </c>
      <c r="X25">
        <v>0</v>
      </c>
      <c r="Y25">
        <v>785.59</v>
      </c>
      <c r="Z25">
        <v>18</v>
      </c>
      <c r="AA25">
        <v>141.41</v>
      </c>
      <c r="AB25">
        <v>927</v>
      </c>
      <c r="AC25">
        <v>1</v>
      </c>
      <c r="AE25" t="s">
        <v>239</v>
      </c>
      <c r="AF25" t="s">
        <v>29</v>
      </c>
      <c r="AG25">
        <v>2</v>
      </c>
      <c r="AH25" t="s">
        <v>25</v>
      </c>
      <c r="AI25">
        <v>1106</v>
      </c>
      <c r="AJ25" t="s">
        <v>246</v>
      </c>
      <c r="AK25" t="s">
        <v>170</v>
      </c>
      <c r="AL25">
        <v>3030</v>
      </c>
      <c r="AM25" t="s">
        <v>1271</v>
      </c>
      <c r="AN25" s="8">
        <v>45757</v>
      </c>
      <c r="AO25" s="8">
        <v>45757</v>
      </c>
      <c r="AQ25" t="s">
        <v>288</v>
      </c>
      <c r="AS25" t="str">
        <f t="shared" si="0"/>
        <v>(03) Boleta BOB100000020</v>
      </c>
    </row>
    <row r="26" spans="1:45" ht="15" customHeight="1">
      <c r="A26" t="s">
        <v>1221</v>
      </c>
      <c r="B26" s="21" t="s">
        <v>211</v>
      </c>
      <c r="C26" t="s">
        <v>27</v>
      </c>
      <c r="D26" s="8">
        <v>45945</v>
      </c>
      <c r="E26" s="22">
        <v>45946.75712962963</v>
      </c>
      <c r="F26" t="s">
        <v>288</v>
      </c>
      <c r="H26">
        <v>1</v>
      </c>
      <c r="I26">
        <v>73252959</v>
      </c>
      <c r="J26" t="s">
        <v>1275</v>
      </c>
      <c r="K26" s="8">
        <v>45945</v>
      </c>
      <c r="Q26">
        <v>1</v>
      </c>
      <c r="R26" s="21" t="s">
        <v>1226</v>
      </c>
      <c r="S26" t="s">
        <v>1227</v>
      </c>
      <c r="T26" t="s">
        <v>163</v>
      </c>
      <c r="U26">
        <v>1</v>
      </c>
      <c r="V26">
        <v>943.14</v>
      </c>
      <c r="W26">
        <v>1112.9100000000001</v>
      </c>
      <c r="X26">
        <v>0</v>
      </c>
      <c r="Y26">
        <v>943.14</v>
      </c>
      <c r="Z26">
        <v>18</v>
      </c>
      <c r="AA26">
        <v>169.77</v>
      </c>
      <c r="AB26">
        <v>1112.9100000000001</v>
      </c>
      <c r="AC26">
        <v>1</v>
      </c>
      <c r="AE26" t="s">
        <v>239</v>
      </c>
      <c r="AF26" t="s">
        <v>29</v>
      </c>
      <c r="AG26">
        <v>2</v>
      </c>
      <c r="AH26" t="s">
        <v>25</v>
      </c>
      <c r="AI26">
        <v>1106</v>
      </c>
      <c r="AJ26" t="s">
        <v>246</v>
      </c>
      <c r="AK26" t="s">
        <v>170</v>
      </c>
      <c r="AL26">
        <v>3030</v>
      </c>
      <c r="AM26" t="s">
        <v>1271</v>
      </c>
      <c r="AN26" s="8">
        <v>45757</v>
      </c>
      <c r="AO26" s="8">
        <v>45757</v>
      </c>
      <c r="AQ26" t="s">
        <v>288</v>
      </c>
      <c r="AS26" t="str">
        <f t="shared" si="0"/>
        <v>(03) Boleta BOB100000019</v>
      </c>
    </row>
    <row r="27" spans="1:45" ht="15" customHeight="1">
      <c r="A27" t="s">
        <v>1228</v>
      </c>
      <c r="B27" s="21" t="s">
        <v>181</v>
      </c>
      <c r="C27" t="s">
        <v>27</v>
      </c>
      <c r="D27" s="8">
        <v>45945</v>
      </c>
      <c r="E27" s="22">
        <v>45946.755601851852</v>
      </c>
      <c r="F27" t="s">
        <v>323</v>
      </c>
      <c r="H27">
        <v>6</v>
      </c>
      <c r="I27">
        <v>20610320261</v>
      </c>
      <c r="J27" t="s">
        <v>1276</v>
      </c>
      <c r="K27" s="8">
        <v>45945</v>
      </c>
      <c r="Q27">
        <v>1</v>
      </c>
      <c r="R27" s="21" t="s">
        <v>1223</v>
      </c>
      <c r="S27" t="s">
        <v>197</v>
      </c>
      <c r="T27" t="s">
        <v>163</v>
      </c>
      <c r="U27">
        <v>1</v>
      </c>
      <c r="V27">
        <v>1820</v>
      </c>
      <c r="W27">
        <v>2147.6</v>
      </c>
      <c r="X27">
        <v>0</v>
      </c>
      <c r="Y27">
        <v>1820</v>
      </c>
      <c r="Z27">
        <v>18</v>
      </c>
      <c r="AA27">
        <v>327.60000000000002</v>
      </c>
      <c r="AB27">
        <v>2147.6</v>
      </c>
      <c r="AC27">
        <v>1</v>
      </c>
      <c r="AE27" t="s">
        <v>239</v>
      </c>
      <c r="AF27" t="s">
        <v>29</v>
      </c>
      <c r="AG27">
        <v>2</v>
      </c>
      <c r="AH27" t="s">
        <v>25</v>
      </c>
      <c r="AI27">
        <v>1106</v>
      </c>
      <c r="AJ27" t="s">
        <v>246</v>
      </c>
      <c r="AK27" t="s">
        <v>170</v>
      </c>
      <c r="AL27">
        <v>2897</v>
      </c>
      <c r="AM27" t="s">
        <v>322</v>
      </c>
      <c r="AN27" s="8">
        <v>45698</v>
      </c>
      <c r="AO27" s="8">
        <v>45698</v>
      </c>
      <c r="AQ27" t="s">
        <v>323</v>
      </c>
      <c r="AS27" t="str">
        <f t="shared" si="0"/>
        <v>(01) Factura FOF100000033</v>
      </c>
    </row>
    <row r="28" spans="1:45" ht="15" customHeight="1">
      <c r="A28" t="s">
        <v>1228</v>
      </c>
      <c r="B28" s="21" t="s">
        <v>183</v>
      </c>
      <c r="C28" t="s">
        <v>27</v>
      </c>
      <c r="D28" s="8">
        <v>45945</v>
      </c>
      <c r="E28" s="22">
        <v>45946.755358796298</v>
      </c>
      <c r="F28" t="s">
        <v>323</v>
      </c>
      <c r="H28">
        <v>6</v>
      </c>
      <c r="I28">
        <v>20610320261</v>
      </c>
      <c r="J28" t="s">
        <v>1277</v>
      </c>
      <c r="K28" s="8">
        <v>45945</v>
      </c>
      <c r="Q28">
        <v>1</v>
      </c>
      <c r="R28" s="21" t="s">
        <v>1226</v>
      </c>
      <c r="S28" t="s">
        <v>1227</v>
      </c>
      <c r="T28" t="s">
        <v>163</v>
      </c>
      <c r="U28">
        <v>1</v>
      </c>
      <c r="V28">
        <v>2213.98</v>
      </c>
      <c r="W28">
        <v>2612.5</v>
      </c>
      <c r="X28">
        <v>0</v>
      </c>
      <c r="Y28">
        <v>2213.98</v>
      </c>
      <c r="Z28">
        <v>18</v>
      </c>
      <c r="AA28">
        <v>398.52</v>
      </c>
      <c r="AB28">
        <v>2612.5</v>
      </c>
      <c r="AC28">
        <v>1</v>
      </c>
      <c r="AE28" t="s">
        <v>239</v>
      </c>
      <c r="AF28" t="s">
        <v>29</v>
      </c>
      <c r="AG28">
        <v>2</v>
      </c>
      <c r="AH28" t="s">
        <v>25</v>
      </c>
      <c r="AI28">
        <v>1106</v>
      </c>
      <c r="AJ28" t="s">
        <v>246</v>
      </c>
      <c r="AK28" t="s">
        <v>170</v>
      </c>
      <c r="AL28">
        <v>2897</v>
      </c>
      <c r="AM28" t="s">
        <v>322</v>
      </c>
      <c r="AN28" s="8">
        <v>45698</v>
      </c>
      <c r="AO28" s="8">
        <v>45698</v>
      </c>
      <c r="AQ28" t="s">
        <v>323</v>
      </c>
      <c r="AS28" t="str">
        <f t="shared" si="0"/>
        <v>(01) Factura FOF100000032</v>
      </c>
    </row>
    <row r="29" spans="1:45" ht="15" customHeight="1">
      <c r="A29" t="s">
        <v>1228</v>
      </c>
      <c r="B29" s="21" t="s">
        <v>209</v>
      </c>
      <c r="C29" t="s">
        <v>27</v>
      </c>
      <c r="D29" s="8">
        <v>45945</v>
      </c>
      <c r="E29" s="22">
        <v>45946.75403935185</v>
      </c>
      <c r="F29" t="s">
        <v>323</v>
      </c>
      <c r="H29">
        <v>6</v>
      </c>
      <c r="I29">
        <v>20610320261</v>
      </c>
      <c r="J29" t="s">
        <v>1278</v>
      </c>
      <c r="K29" s="8">
        <v>45945</v>
      </c>
      <c r="Q29">
        <v>1</v>
      </c>
      <c r="R29" s="21" t="s">
        <v>1234</v>
      </c>
      <c r="S29" t="s">
        <v>1235</v>
      </c>
      <c r="T29" t="s">
        <v>163</v>
      </c>
      <c r="U29">
        <v>1</v>
      </c>
      <c r="V29">
        <v>7.5</v>
      </c>
      <c r="W29">
        <v>8.85</v>
      </c>
      <c r="X29">
        <v>0</v>
      </c>
      <c r="Y29">
        <v>7.5</v>
      </c>
      <c r="Z29">
        <v>18</v>
      </c>
      <c r="AA29">
        <v>1.35</v>
      </c>
      <c r="AB29">
        <v>8.85</v>
      </c>
      <c r="AC29">
        <v>1</v>
      </c>
      <c r="AE29" t="s">
        <v>239</v>
      </c>
      <c r="AF29" t="s">
        <v>29</v>
      </c>
      <c r="AG29">
        <v>2</v>
      </c>
      <c r="AH29" t="s">
        <v>25</v>
      </c>
      <c r="AI29">
        <v>1106</v>
      </c>
      <c r="AJ29" t="s">
        <v>246</v>
      </c>
      <c r="AK29" t="s">
        <v>170</v>
      </c>
      <c r="AL29">
        <v>2899</v>
      </c>
      <c r="AM29" t="s">
        <v>326</v>
      </c>
      <c r="AN29" s="8">
        <v>45726</v>
      </c>
      <c r="AO29" s="8">
        <v>45726</v>
      </c>
      <c r="AQ29" t="s">
        <v>323</v>
      </c>
      <c r="AS29" t="str">
        <f t="shared" si="0"/>
        <v>(01) Factura FOF100000031</v>
      </c>
    </row>
    <row r="30" spans="1:45" ht="15" customHeight="1">
      <c r="A30" t="s">
        <v>1228</v>
      </c>
      <c r="B30" s="21" t="s">
        <v>184</v>
      </c>
      <c r="C30" t="s">
        <v>27</v>
      </c>
      <c r="D30" s="8">
        <v>45945</v>
      </c>
      <c r="E30" s="22">
        <v>45946.753819444442</v>
      </c>
      <c r="F30" t="s">
        <v>323</v>
      </c>
      <c r="H30">
        <v>6</v>
      </c>
      <c r="I30">
        <v>20610320261</v>
      </c>
      <c r="J30" t="s">
        <v>1279</v>
      </c>
      <c r="K30" s="8">
        <v>45945</v>
      </c>
      <c r="Q30">
        <v>1</v>
      </c>
      <c r="R30" s="21" t="s">
        <v>1223</v>
      </c>
      <c r="S30" t="s">
        <v>197</v>
      </c>
      <c r="T30" t="s">
        <v>163</v>
      </c>
      <c r="U30">
        <v>1</v>
      </c>
      <c r="V30">
        <v>1174.24</v>
      </c>
      <c r="W30">
        <v>1385.6</v>
      </c>
      <c r="X30">
        <v>0</v>
      </c>
      <c r="Y30">
        <v>1174.24</v>
      </c>
      <c r="Z30">
        <v>18</v>
      </c>
      <c r="AA30">
        <v>211.36</v>
      </c>
      <c r="AB30">
        <v>1385.6</v>
      </c>
      <c r="AC30">
        <v>1</v>
      </c>
      <c r="AE30" t="s">
        <v>239</v>
      </c>
      <c r="AF30" t="s">
        <v>29</v>
      </c>
      <c r="AG30">
        <v>2</v>
      </c>
      <c r="AH30" t="s">
        <v>25</v>
      </c>
      <c r="AI30">
        <v>1106</v>
      </c>
      <c r="AJ30" t="s">
        <v>246</v>
      </c>
      <c r="AK30" t="s">
        <v>170</v>
      </c>
      <c r="AL30">
        <v>2899</v>
      </c>
      <c r="AM30" t="s">
        <v>326</v>
      </c>
      <c r="AN30" s="8">
        <v>45726</v>
      </c>
      <c r="AO30" s="8">
        <v>45726</v>
      </c>
      <c r="AQ30" t="s">
        <v>323</v>
      </c>
      <c r="AS30" t="str">
        <f t="shared" si="0"/>
        <v>(01) Factura FOF100000030</v>
      </c>
    </row>
    <row r="31" spans="1:45" ht="15" customHeight="1">
      <c r="A31" t="s">
        <v>1228</v>
      </c>
      <c r="B31" s="21" t="s">
        <v>185</v>
      </c>
      <c r="C31" t="s">
        <v>27</v>
      </c>
      <c r="D31" s="8">
        <v>45945</v>
      </c>
      <c r="E31" s="22">
        <v>45946.753576388888</v>
      </c>
      <c r="F31" t="s">
        <v>323</v>
      </c>
      <c r="H31">
        <v>6</v>
      </c>
      <c r="I31">
        <v>20610320261</v>
      </c>
      <c r="J31" t="s">
        <v>1280</v>
      </c>
      <c r="K31" s="8">
        <v>45945</v>
      </c>
      <c r="Q31">
        <v>1</v>
      </c>
      <c r="R31" s="21" t="s">
        <v>1226</v>
      </c>
      <c r="S31" t="s">
        <v>1227</v>
      </c>
      <c r="T31" t="s">
        <v>163</v>
      </c>
      <c r="U31">
        <v>1</v>
      </c>
      <c r="V31">
        <v>1463.05</v>
      </c>
      <c r="W31">
        <v>1726.4</v>
      </c>
      <c r="X31">
        <v>0</v>
      </c>
      <c r="Y31">
        <v>1463.05</v>
      </c>
      <c r="Z31">
        <v>18</v>
      </c>
      <c r="AA31">
        <v>263.35000000000002</v>
      </c>
      <c r="AB31">
        <v>1726.4</v>
      </c>
      <c r="AC31">
        <v>1</v>
      </c>
      <c r="AE31" t="s">
        <v>239</v>
      </c>
      <c r="AF31" t="s">
        <v>29</v>
      </c>
      <c r="AG31">
        <v>2</v>
      </c>
      <c r="AH31" t="s">
        <v>25</v>
      </c>
      <c r="AI31">
        <v>1106</v>
      </c>
      <c r="AJ31" t="s">
        <v>246</v>
      </c>
      <c r="AK31" t="s">
        <v>170</v>
      </c>
      <c r="AL31">
        <v>2899</v>
      </c>
      <c r="AM31" t="s">
        <v>326</v>
      </c>
      <c r="AN31" s="8">
        <v>45726</v>
      </c>
      <c r="AO31" s="8">
        <v>45726</v>
      </c>
      <c r="AQ31" t="s">
        <v>323</v>
      </c>
      <c r="AS31" t="str">
        <f t="shared" si="0"/>
        <v>(01) Factura FOF100000029</v>
      </c>
    </row>
    <row r="32" spans="1:45" ht="15" customHeight="1">
      <c r="A32" t="s">
        <v>1228</v>
      </c>
      <c r="B32" s="21" t="s">
        <v>186</v>
      </c>
      <c r="C32" t="s">
        <v>27</v>
      </c>
      <c r="D32" s="8">
        <v>45945</v>
      </c>
      <c r="E32" s="22">
        <v>45946.751898148148</v>
      </c>
      <c r="F32" t="s">
        <v>323</v>
      </c>
      <c r="H32">
        <v>6</v>
      </c>
      <c r="I32">
        <v>20610320261</v>
      </c>
      <c r="J32" t="s">
        <v>1281</v>
      </c>
      <c r="K32" s="8">
        <v>45945</v>
      </c>
      <c r="Q32">
        <v>1</v>
      </c>
      <c r="R32" s="21" t="s">
        <v>1234</v>
      </c>
      <c r="S32" t="s">
        <v>1235</v>
      </c>
      <c r="T32" t="s">
        <v>163</v>
      </c>
      <c r="U32">
        <v>1</v>
      </c>
      <c r="V32">
        <v>6</v>
      </c>
      <c r="W32">
        <v>7.08</v>
      </c>
      <c r="X32">
        <v>0</v>
      </c>
      <c r="Y32">
        <v>6</v>
      </c>
      <c r="Z32">
        <v>18</v>
      </c>
      <c r="AA32">
        <v>1.08</v>
      </c>
      <c r="AB32">
        <v>7.08</v>
      </c>
      <c r="AC32">
        <v>1</v>
      </c>
      <c r="AE32" t="s">
        <v>239</v>
      </c>
      <c r="AF32" t="s">
        <v>29</v>
      </c>
      <c r="AG32">
        <v>2</v>
      </c>
      <c r="AH32" t="s">
        <v>25</v>
      </c>
      <c r="AI32">
        <v>1106</v>
      </c>
      <c r="AJ32" t="s">
        <v>246</v>
      </c>
      <c r="AK32" t="s">
        <v>170</v>
      </c>
      <c r="AL32">
        <v>2898</v>
      </c>
      <c r="AM32" t="s">
        <v>330</v>
      </c>
      <c r="AN32" s="8">
        <v>45757</v>
      </c>
      <c r="AO32" s="8">
        <v>45757</v>
      </c>
      <c r="AQ32" t="s">
        <v>323</v>
      </c>
      <c r="AS32" t="str">
        <f t="shared" si="0"/>
        <v>(01) Factura FOF100000028</v>
      </c>
    </row>
    <row r="33" spans="1:45" ht="15" customHeight="1">
      <c r="A33" t="s">
        <v>1228</v>
      </c>
      <c r="B33" s="21" t="s">
        <v>187</v>
      </c>
      <c r="C33" t="s">
        <v>27</v>
      </c>
      <c r="D33" s="8">
        <v>45945</v>
      </c>
      <c r="E33" s="22">
        <v>45946.751701388886</v>
      </c>
      <c r="F33" t="s">
        <v>323</v>
      </c>
      <c r="H33">
        <v>6</v>
      </c>
      <c r="I33">
        <v>20610320261</v>
      </c>
      <c r="J33" t="s">
        <v>1282</v>
      </c>
      <c r="K33" s="8">
        <v>45945</v>
      </c>
      <c r="Q33">
        <v>1</v>
      </c>
      <c r="R33" s="21" t="s">
        <v>1223</v>
      </c>
      <c r="S33" t="s">
        <v>197</v>
      </c>
      <c r="T33" t="s">
        <v>163</v>
      </c>
      <c r="U33">
        <v>1</v>
      </c>
      <c r="V33">
        <v>3056.19</v>
      </c>
      <c r="W33">
        <v>3606.3</v>
      </c>
      <c r="X33">
        <v>0</v>
      </c>
      <c r="Y33">
        <v>3056.19</v>
      </c>
      <c r="Z33">
        <v>18</v>
      </c>
      <c r="AA33">
        <v>550.11</v>
      </c>
      <c r="AB33">
        <v>3606.3</v>
      </c>
      <c r="AC33">
        <v>1</v>
      </c>
      <c r="AE33" t="s">
        <v>239</v>
      </c>
      <c r="AF33" t="s">
        <v>29</v>
      </c>
      <c r="AG33">
        <v>2</v>
      </c>
      <c r="AH33" t="s">
        <v>25</v>
      </c>
      <c r="AI33">
        <v>1106</v>
      </c>
      <c r="AJ33" t="s">
        <v>246</v>
      </c>
      <c r="AK33" t="s">
        <v>170</v>
      </c>
      <c r="AL33">
        <v>2898</v>
      </c>
      <c r="AM33" t="s">
        <v>330</v>
      </c>
      <c r="AN33" s="8">
        <v>45757</v>
      </c>
      <c r="AO33" s="8">
        <v>45757</v>
      </c>
      <c r="AQ33" t="s">
        <v>323</v>
      </c>
      <c r="AS33" t="str">
        <f t="shared" si="0"/>
        <v>(01) Factura FOF100000027</v>
      </c>
    </row>
    <row r="34" spans="1:45" ht="15" customHeight="1">
      <c r="A34" t="s">
        <v>1228</v>
      </c>
      <c r="B34" s="21" t="s">
        <v>188</v>
      </c>
      <c r="C34" t="s">
        <v>27</v>
      </c>
      <c r="D34" s="8">
        <v>45945</v>
      </c>
      <c r="E34" s="22">
        <v>45946.751469907409</v>
      </c>
      <c r="F34" t="s">
        <v>323</v>
      </c>
      <c r="H34">
        <v>6</v>
      </c>
      <c r="I34">
        <v>20610320261</v>
      </c>
      <c r="J34" t="s">
        <v>1283</v>
      </c>
      <c r="K34" s="8">
        <v>45945</v>
      </c>
      <c r="Q34">
        <v>1</v>
      </c>
      <c r="R34" s="21" t="s">
        <v>1226</v>
      </c>
      <c r="S34" t="s">
        <v>1227</v>
      </c>
      <c r="T34" t="s">
        <v>163</v>
      </c>
      <c r="U34">
        <v>1</v>
      </c>
      <c r="V34">
        <v>3740.42</v>
      </c>
      <c r="W34">
        <v>4413.7</v>
      </c>
      <c r="X34">
        <v>0</v>
      </c>
      <c r="Y34">
        <v>3740.42</v>
      </c>
      <c r="Z34">
        <v>18</v>
      </c>
      <c r="AA34">
        <v>673.28</v>
      </c>
      <c r="AB34">
        <v>4413.7</v>
      </c>
      <c r="AC34">
        <v>1</v>
      </c>
      <c r="AE34" t="s">
        <v>239</v>
      </c>
      <c r="AF34" t="s">
        <v>29</v>
      </c>
      <c r="AG34">
        <v>2</v>
      </c>
      <c r="AH34" t="s">
        <v>25</v>
      </c>
      <c r="AI34">
        <v>1106</v>
      </c>
      <c r="AJ34" t="s">
        <v>246</v>
      </c>
      <c r="AK34" t="s">
        <v>170</v>
      </c>
      <c r="AL34">
        <v>2898</v>
      </c>
      <c r="AM34" t="s">
        <v>330</v>
      </c>
      <c r="AN34" s="8">
        <v>45757</v>
      </c>
      <c r="AO34" s="8">
        <v>45757</v>
      </c>
      <c r="AQ34" t="s">
        <v>323</v>
      </c>
      <c r="AS34" t="str">
        <f t="shared" si="0"/>
        <v>(01) Factura FOF100000026</v>
      </c>
    </row>
    <row r="35" spans="1:45" ht="15" customHeight="1">
      <c r="A35" t="s">
        <v>1221</v>
      </c>
      <c r="B35" s="21" t="s">
        <v>212</v>
      </c>
      <c r="C35" t="s">
        <v>27</v>
      </c>
      <c r="D35" s="8">
        <v>45945</v>
      </c>
      <c r="E35" s="22">
        <v>45946.749386574076</v>
      </c>
      <c r="F35" t="s">
        <v>294</v>
      </c>
      <c r="H35">
        <v>1</v>
      </c>
      <c r="I35">
        <v>46168918</v>
      </c>
      <c r="J35" t="s">
        <v>1284</v>
      </c>
      <c r="K35" s="8">
        <v>45945</v>
      </c>
      <c r="Q35">
        <v>1</v>
      </c>
      <c r="R35" s="21" t="s">
        <v>1230</v>
      </c>
      <c r="S35" t="s">
        <v>1231</v>
      </c>
      <c r="T35" t="s">
        <v>163</v>
      </c>
      <c r="U35">
        <v>1</v>
      </c>
      <c r="V35">
        <v>30</v>
      </c>
      <c r="W35">
        <v>35.4</v>
      </c>
      <c r="X35">
        <v>0</v>
      </c>
      <c r="Y35">
        <v>30</v>
      </c>
      <c r="Z35">
        <v>18</v>
      </c>
      <c r="AA35">
        <v>5.4</v>
      </c>
      <c r="AB35">
        <v>35.4</v>
      </c>
      <c r="AC35">
        <v>1</v>
      </c>
      <c r="AE35" t="s">
        <v>239</v>
      </c>
      <c r="AF35" t="s">
        <v>29</v>
      </c>
      <c r="AG35">
        <v>2</v>
      </c>
      <c r="AH35" t="s">
        <v>25</v>
      </c>
      <c r="AI35">
        <v>1106</v>
      </c>
      <c r="AJ35" t="s">
        <v>246</v>
      </c>
      <c r="AK35" t="s">
        <v>170</v>
      </c>
      <c r="AL35">
        <v>2953</v>
      </c>
      <c r="AM35" t="s">
        <v>1285</v>
      </c>
      <c r="AN35" s="8">
        <v>45757</v>
      </c>
      <c r="AO35" s="8">
        <v>45757</v>
      </c>
      <c r="AQ35" t="s">
        <v>294</v>
      </c>
      <c r="AS35" t="str">
        <f t="shared" si="0"/>
        <v>(03) Boleta BOB100000018</v>
      </c>
    </row>
    <row r="36" spans="1:45" ht="15" customHeight="1">
      <c r="A36" t="s">
        <v>1221</v>
      </c>
      <c r="B36" s="21" t="s">
        <v>213</v>
      </c>
      <c r="C36" t="s">
        <v>27</v>
      </c>
      <c r="D36" s="8">
        <v>45945</v>
      </c>
      <c r="E36" s="22">
        <v>45946.749178240738</v>
      </c>
      <c r="F36" t="s">
        <v>294</v>
      </c>
      <c r="H36">
        <v>1</v>
      </c>
      <c r="I36">
        <v>46168918</v>
      </c>
      <c r="J36" t="s">
        <v>1286</v>
      </c>
      <c r="K36" s="8">
        <v>45945</v>
      </c>
      <c r="Q36">
        <v>1</v>
      </c>
      <c r="R36" s="21" t="s">
        <v>1234</v>
      </c>
      <c r="S36" t="s">
        <v>1235</v>
      </c>
      <c r="T36" t="s">
        <v>163</v>
      </c>
      <c r="U36">
        <v>1</v>
      </c>
      <c r="V36">
        <v>6</v>
      </c>
      <c r="W36">
        <v>7.08</v>
      </c>
      <c r="X36">
        <v>0</v>
      </c>
      <c r="Y36">
        <v>6</v>
      </c>
      <c r="Z36">
        <v>18</v>
      </c>
      <c r="AA36">
        <v>1.08</v>
      </c>
      <c r="AB36">
        <v>7.08</v>
      </c>
      <c r="AC36">
        <v>1</v>
      </c>
      <c r="AE36" t="s">
        <v>239</v>
      </c>
      <c r="AF36" t="s">
        <v>29</v>
      </c>
      <c r="AG36">
        <v>2</v>
      </c>
      <c r="AH36" t="s">
        <v>25</v>
      </c>
      <c r="AI36">
        <v>1106</v>
      </c>
      <c r="AJ36" t="s">
        <v>246</v>
      </c>
      <c r="AK36" t="s">
        <v>170</v>
      </c>
      <c r="AL36">
        <v>2953</v>
      </c>
      <c r="AM36" t="s">
        <v>1285</v>
      </c>
      <c r="AN36" s="8">
        <v>45757</v>
      </c>
      <c r="AO36" s="8">
        <v>45757</v>
      </c>
      <c r="AQ36" t="s">
        <v>294</v>
      </c>
      <c r="AS36" t="str">
        <f t="shared" si="0"/>
        <v>(03) Boleta BOB100000017</v>
      </c>
    </row>
    <row r="37" spans="1:45" ht="15" customHeight="1">
      <c r="A37" t="s">
        <v>1221</v>
      </c>
      <c r="B37" s="21" t="s">
        <v>214</v>
      </c>
      <c r="C37" t="s">
        <v>27</v>
      </c>
      <c r="D37" s="8">
        <v>45945</v>
      </c>
      <c r="E37" s="22">
        <v>45946.746678240743</v>
      </c>
      <c r="F37" t="s">
        <v>294</v>
      </c>
      <c r="H37">
        <v>1</v>
      </c>
      <c r="I37">
        <v>46168918</v>
      </c>
      <c r="J37" t="s">
        <v>1287</v>
      </c>
      <c r="K37" s="8">
        <v>45945</v>
      </c>
      <c r="Q37">
        <v>1</v>
      </c>
      <c r="R37" s="21" t="s">
        <v>1247</v>
      </c>
      <c r="S37" t="s">
        <v>1288</v>
      </c>
      <c r="T37" t="s">
        <v>163</v>
      </c>
      <c r="U37">
        <v>1</v>
      </c>
      <c r="V37">
        <v>2687.46</v>
      </c>
      <c r="W37">
        <v>3171.2</v>
      </c>
      <c r="X37">
        <v>0</v>
      </c>
      <c r="Y37">
        <v>2687.46</v>
      </c>
      <c r="Z37">
        <v>18</v>
      </c>
      <c r="AA37">
        <v>483.74</v>
      </c>
      <c r="AB37">
        <v>3171.2</v>
      </c>
      <c r="AC37">
        <v>1</v>
      </c>
      <c r="AE37" t="s">
        <v>239</v>
      </c>
      <c r="AF37" t="s">
        <v>29</v>
      </c>
      <c r="AG37">
        <v>2</v>
      </c>
      <c r="AH37" t="s">
        <v>25</v>
      </c>
      <c r="AI37">
        <v>1106</v>
      </c>
      <c r="AJ37" t="s">
        <v>246</v>
      </c>
      <c r="AK37" t="s">
        <v>170</v>
      </c>
      <c r="AL37">
        <v>2953</v>
      </c>
      <c r="AM37" t="s">
        <v>1285</v>
      </c>
      <c r="AN37" s="8">
        <v>45757</v>
      </c>
      <c r="AO37" s="8">
        <v>45757</v>
      </c>
      <c r="AQ37" t="s">
        <v>294</v>
      </c>
      <c r="AS37" t="str">
        <f t="shared" si="0"/>
        <v>(03) Boleta BOB100000016</v>
      </c>
    </row>
    <row r="38" spans="1:45" ht="15" customHeight="1">
      <c r="A38" t="s">
        <v>1221</v>
      </c>
      <c r="B38" s="21" t="s">
        <v>198</v>
      </c>
      <c r="C38" t="s">
        <v>27</v>
      </c>
      <c r="D38" s="8">
        <v>45945</v>
      </c>
      <c r="E38" s="22">
        <v>45946.746446759258</v>
      </c>
      <c r="F38" t="s">
        <v>294</v>
      </c>
      <c r="H38">
        <v>1</v>
      </c>
      <c r="I38">
        <v>46168918</v>
      </c>
      <c r="J38" t="s">
        <v>1289</v>
      </c>
      <c r="K38" s="8">
        <v>45945</v>
      </c>
      <c r="Q38">
        <v>1</v>
      </c>
      <c r="R38" s="21" t="s">
        <v>1251</v>
      </c>
      <c r="S38" t="s">
        <v>1252</v>
      </c>
      <c r="T38" t="s">
        <v>163</v>
      </c>
      <c r="U38">
        <v>1</v>
      </c>
      <c r="V38">
        <v>100</v>
      </c>
      <c r="W38">
        <v>118</v>
      </c>
      <c r="X38">
        <v>0</v>
      </c>
      <c r="Y38">
        <v>100</v>
      </c>
      <c r="Z38">
        <v>18</v>
      </c>
      <c r="AA38">
        <v>18</v>
      </c>
      <c r="AB38">
        <v>118</v>
      </c>
      <c r="AC38">
        <v>1</v>
      </c>
      <c r="AE38" t="s">
        <v>239</v>
      </c>
      <c r="AF38" t="s">
        <v>29</v>
      </c>
      <c r="AG38">
        <v>2</v>
      </c>
      <c r="AH38" t="s">
        <v>25</v>
      </c>
      <c r="AI38">
        <v>1106</v>
      </c>
      <c r="AJ38" t="s">
        <v>246</v>
      </c>
      <c r="AK38" t="s">
        <v>170</v>
      </c>
      <c r="AL38">
        <v>2953</v>
      </c>
      <c r="AM38" t="s">
        <v>1285</v>
      </c>
      <c r="AN38" s="8">
        <v>45757</v>
      </c>
      <c r="AO38" s="8">
        <v>45757</v>
      </c>
      <c r="AQ38" t="s">
        <v>294</v>
      </c>
      <c r="AS38" t="str">
        <f t="shared" si="0"/>
        <v>(03) Boleta BOB100000015</v>
      </c>
    </row>
    <row r="39" spans="1:45" ht="15" customHeight="1">
      <c r="A39" t="s">
        <v>1221</v>
      </c>
      <c r="B39" s="21" t="s">
        <v>194</v>
      </c>
      <c r="C39" t="s">
        <v>27</v>
      </c>
      <c r="D39" s="8">
        <v>45945</v>
      </c>
      <c r="E39" s="22">
        <v>45946.74622685185</v>
      </c>
      <c r="F39" t="s">
        <v>294</v>
      </c>
      <c r="H39">
        <v>1</v>
      </c>
      <c r="I39">
        <v>46168918</v>
      </c>
      <c r="J39" t="s">
        <v>1289</v>
      </c>
      <c r="K39" s="8">
        <v>45945</v>
      </c>
      <c r="Q39">
        <v>1</v>
      </c>
      <c r="R39" s="21" t="s">
        <v>1251</v>
      </c>
      <c r="S39" t="s">
        <v>1252</v>
      </c>
      <c r="T39" t="s">
        <v>163</v>
      </c>
      <c r="U39">
        <v>1</v>
      </c>
      <c r="V39">
        <v>100</v>
      </c>
      <c r="W39">
        <v>118</v>
      </c>
      <c r="X39">
        <v>0</v>
      </c>
      <c r="Y39">
        <v>100</v>
      </c>
      <c r="Z39">
        <v>18</v>
      </c>
      <c r="AA39">
        <v>18</v>
      </c>
      <c r="AB39">
        <v>118</v>
      </c>
      <c r="AC39">
        <v>1</v>
      </c>
      <c r="AE39" t="s">
        <v>239</v>
      </c>
      <c r="AF39" t="s">
        <v>29</v>
      </c>
      <c r="AG39">
        <v>2</v>
      </c>
      <c r="AH39" t="s">
        <v>25</v>
      </c>
      <c r="AI39">
        <v>1106</v>
      </c>
      <c r="AJ39" t="s">
        <v>246</v>
      </c>
      <c r="AK39" t="s">
        <v>170</v>
      </c>
      <c r="AL39">
        <v>2953</v>
      </c>
      <c r="AM39" t="s">
        <v>1285</v>
      </c>
      <c r="AN39" s="8">
        <v>45757</v>
      </c>
      <c r="AO39" s="8">
        <v>45757</v>
      </c>
      <c r="AQ39" t="s">
        <v>294</v>
      </c>
      <c r="AS39" t="str">
        <f t="shared" si="0"/>
        <v>(03) Boleta BOB100000014</v>
      </c>
    </row>
    <row r="40" spans="1:45" ht="15" customHeight="1">
      <c r="A40" t="s">
        <v>1221</v>
      </c>
      <c r="B40" s="21" t="s">
        <v>195</v>
      </c>
      <c r="C40" t="s">
        <v>27</v>
      </c>
      <c r="D40" s="8">
        <v>45945</v>
      </c>
      <c r="E40" s="22">
        <v>45946.745532407411</v>
      </c>
      <c r="F40" t="s">
        <v>294</v>
      </c>
      <c r="H40">
        <v>1</v>
      </c>
      <c r="I40">
        <v>46168918</v>
      </c>
      <c r="J40" t="s">
        <v>1290</v>
      </c>
      <c r="K40" s="8">
        <v>45945</v>
      </c>
      <c r="Q40">
        <v>1</v>
      </c>
      <c r="R40" s="21" t="s">
        <v>1237</v>
      </c>
      <c r="S40" t="s">
        <v>1291</v>
      </c>
      <c r="T40" t="s">
        <v>163</v>
      </c>
      <c r="U40">
        <v>1</v>
      </c>
      <c r="V40">
        <v>300</v>
      </c>
      <c r="W40">
        <v>354</v>
      </c>
      <c r="X40">
        <v>0</v>
      </c>
      <c r="Y40">
        <v>300</v>
      </c>
      <c r="Z40">
        <v>18</v>
      </c>
      <c r="AA40">
        <v>54</v>
      </c>
      <c r="AB40">
        <v>354</v>
      </c>
      <c r="AC40">
        <v>1</v>
      </c>
      <c r="AE40" t="s">
        <v>239</v>
      </c>
      <c r="AF40" t="s">
        <v>29</v>
      </c>
      <c r="AG40">
        <v>2</v>
      </c>
      <c r="AH40" t="s">
        <v>25</v>
      </c>
      <c r="AI40">
        <v>1106</v>
      </c>
      <c r="AJ40" t="s">
        <v>246</v>
      </c>
      <c r="AK40" t="s">
        <v>170</v>
      </c>
      <c r="AL40">
        <v>2953</v>
      </c>
      <c r="AM40" t="s">
        <v>1285</v>
      </c>
      <c r="AN40" s="8">
        <v>45757</v>
      </c>
      <c r="AO40" s="8">
        <v>45757</v>
      </c>
      <c r="AQ40" t="s">
        <v>294</v>
      </c>
      <c r="AS40" t="str">
        <f t="shared" si="0"/>
        <v>(03) Boleta BOB100000013</v>
      </c>
    </row>
    <row r="41" spans="1:45" ht="15" customHeight="1">
      <c r="A41" t="s">
        <v>1221</v>
      </c>
      <c r="B41" s="21" t="s">
        <v>199</v>
      </c>
      <c r="C41" t="s">
        <v>27</v>
      </c>
      <c r="D41" s="8">
        <v>45945</v>
      </c>
      <c r="E41" s="22">
        <v>45946.743206018517</v>
      </c>
      <c r="F41" t="s">
        <v>294</v>
      </c>
      <c r="H41">
        <v>1</v>
      </c>
      <c r="I41">
        <v>46168918</v>
      </c>
      <c r="J41" t="s">
        <v>1292</v>
      </c>
      <c r="K41" s="8">
        <v>45945</v>
      </c>
      <c r="Q41">
        <v>1</v>
      </c>
      <c r="R41" s="21" t="s">
        <v>1240</v>
      </c>
      <c r="S41" s="29" t="s">
        <v>1293</v>
      </c>
      <c r="T41" t="s">
        <v>219</v>
      </c>
      <c r="U41">
        <v>1</v>
      </c>
      <c r="V41">
        <v>1630.51</v>
      </c>
      <c r="W41">
        <v>1924</v>
      </c>
      <c r="X41">
        <v>0</v>
      </c>
      <c r="Y41">
        <v>1630.51</v>
      </c>
      <c r="Z41">
        <v>18</v>
      </c>
      <c r="AA41">
        <v>293.49</v>
      </c>
      <c r="AB41">
        <v>1924</v>
      </c>
      <c r="AC41">
        <v>1</v>
      </c>
      <c r="AE41" t="s">
        <v>239</v>
      </c>
      <c r="AF41" t="s">
        <v>29</v>
      </c>
      <c r="AG41">
        <v>2</v>
      </c>
      <c r="AH41" t="s">
        <v>25</v>
      </c>
      <c r="AI41">
        <v>1106</v>
      </c>
      <c r="AJ41" t="s">
        <v>246</v>
      </c>
      <c r="AK41" t="s">
        <v>170</v>
      </c>
      <c r="AL41">
        <v>2953</v>
      </c>
      <c r="AM41" t="s">
        <v>1285</v>
      </c>
      <c r="AN41" s="8">
        <v>45757</v>
      </c>
      <c r="AO41" s="8">
        <v>45757</v>
      </c>
      <c r="AQ41" t="s">
        <v>294</v>
      </c>
      <c r="AS41" t="str">
        <f t="shared" si="0"/>
        <v>(03) Boleta BOB100000012</v>
      </c>
    </row>
    <row r="42" spans="1:45" s="24" customFormat="1" ht="15" customHeight="1">
      <c r="A42" t="s">
        <v>1221</v>
      </c>
      <c r="B42" s="21" t="s">
        <v>196</v>
      </c>
      <c r="C42" t="s">
        <v>27</v>
      </c>
      <c r="D42" s="8">
        <v>45945</v>
      </c>
      <c r="E42" s="22">
        <v>45946.742928240739</v>
      </c>
      <c r="F42" t="s">
        <v>294</v>
      </c>
      <c r="G42"/>
      <c r="H42">
        <v>1</v>
      </c>
      <c r="I42">
        <v>46168918</v>
      </c>
      <c r="J42" t="s">
        <v>1294</v>
      </c>
      <c r="K42" s="8">
        <v>45945</v>
      </c>
      <c r="L42"/>
      <c r="M42"/>
      <c r="N42"/>
      <c r="O42"/>
      <c r="P42"/>
      <c r="Q42">
        <v>1</v>
      </c>
      <c r="R42" s="21" t="s">
        <v>1223</v>
      </c>
      <c r="S42" t="s">
        <v>197</v>
      </c>
      <c r="T42" t="s">
        <v>163</v>
      </c>
      <c r="U42">
        <v>1</v>
      </c>
      <c r="V42">
        <v>988.4</v>
      </c>
      <c r="W42">
        <v>1166.31</v>
      </c>
      <c r="X42">
        <v>0</v>
      </c>
      <c r="Y42">
        <v>988.4</v>
      </c>
      <c r="Z42">
        <v>18</v>
      </c>
      <c r="AA42">
        <v>177.91</v>
      </c>
      <c r="AB42">
        <v>1166.31</v>
      </c>
      <c r="AC42">
        <v>1</v>
      </c>
      <c r="AD42"/>
      <c r="AE42" t="s">
        <v>239</v>
      </c>
      <c r="AF42" t="s">
        <v>29</v>
      </c>
      <c r="AG42">
        <v>2</v>
      </c>
      <c r="AH42" t="s">
        <v>25</v>
      </c>
      <c r="AI42">
        <v>1106</v>
      </c>
      <c r="AJ42" t="s">
        <v>246</v>
      </c>
      <c r="AK42" t="s">
        <v>170</v>
      </c>
      <c r="AL42">
        <v>2953</v>
      </c>
      <c r="AM42" t="s">
        <v>1285</v>
      </c>
      <c r="AN42" s="8">
        <v>45757</v>
      </c>
      <c r="AO42" s="8">
        <v>45757</v>
      </c>
      <c r="AP42"/>
      <c r="AQ42" t="s">
        <v>294</v>
      </c>
      <c r="AR42"/>
      <c r="AS42" t="str">
        <f t="shared" si="0"/>
        <v>(03) Boleta BOB100000011</v>
      </c>
    </row>
    <row r="43" spans="1:45" ht="15" customHeight="1">
      <c r="A43" t="s">
        <v>1221</v>
      </c>
      <c r="B43" s="21" t="s">
        <v>200</v>
      </c>
      <c r="C43" t="s">
        <v>27</v>
      </c>
      <c r="D43" s="8">
        <v>45945</v>
      </c>
      <c r="E43" s="22">
        <v>45946.742569444446</v>
      </c>
      <c r="F43" t="s">
        <v>294</v>
      </c>
      <c r="H43">
        <v>1</v>
      </c>
      <c r="I43">
        <v>46168918</v>
      </c>
      <c r="J43" t="s">
        <v>1295</v>
      </c>
      <c r="K43" s="8">
        <v>45945</v>
      </c>
      <c r="Q43">
        <v>1</v>
      </c>
      <c r="R43" s="21" t="s">
        <v>1226</v>
      </c>
      <c r="S43" t="s">
        <v>1227</v>
      </c>
      <c r="T43" t="s">
        <v>163</v>
      </c>
      <c r="U43">
        <v>1</v>
      </c>
      <c r="V43">
        <v>904.65</v>
      </c>
      <c r="W43">
        <v>1067.49</v>
      </c>
      <c r="X43">
        <v>0</v>
      </c>
      <c r="Y43">
        <v>904.65</v>
      </c>
      <c r="Z43">
        <v>18</v>
      </c>
      <c r="AA43">
        <v>162.84</v>
      </c>
      <c r="AB43">
        <v>1067.49</v>
      </c>
      <c r="AC43">
        <v>1</v>
      </c>
      <c r="AE43" t="s">
        <v>239</v>
      </c>
      <c r="AF43" t="s">
        <v>29</v>
      </c>
      <c r="AG43">
        <v>2</v>
      </c>
      <c r="AH43" t="s">
        <v>25</v>
      </c>
      <c r="AI43">
        <v>1106</v>
      </c>
      <c r="AJ43" t="s">
        <v>246</v>
      </c>
      <c r="AK43" t="s">
        <v>170</v>
      </c>
      <c r="AL43">
        <v>2953</v>
      </c>
      <c r="AM43" t="s">
        <v>1285</v>
      </c>
      <c r="AN43" s="8">
        <v>45757</v>
      </c>
      <c r="AO43" s="8">
        <v>45757</v>
      </c>
      <c r="AQ43" t="s">
        <v>294</v>
      </c>
      <c r="AS43" t="str">
        <f t="shared" si="0"/>
        <v>(03) Boleta BOB100000010</v>
      </c>
    </row>
    <row r="44" spans="1:45" ht="15" customHeight="1">
      <c r="A44" t="s">
        <v>1228</v>
      </c>
      <c r="B44" s="21" t="s">
        <v>189</v>
      </c>
      <c r="C44" t="s">
        <v>27</v>
      </c>
      <c r="D44" s="8">
        <v>45945</v>
      </c>
      <c r="E44" s="22">
        <v>45946.739479166667</v>
      </c>
      <c r="F44" t="s">
        <v>335</v>
      </c>
      <c r="H44">
        <v>6</v>
      </c>
      <c r="I44">
        <v>20559860701</v>
      </c>
      <c r="J44" t="s">
        <v>1296</v>
      </c>
      <c r="K44" s="8">
        <v>45945</v>
      </c>
      <c r="Q44">
        <v>1</v>
      </c>
      <c r="R44" s="21" t="s">
        <v>1223</v>
      </c>
      <c r="S44" t="s">
        <v>197</v>
      </c>
      <c r="T44" t="s">
        <v>163</v>
      </c>
      <c r="U44">
        <v>1</v>
      </c>
      <c r="V44">
        <v>1934.24</v>
      </c>
      <c r="W44">
        <v>2282.4</v>
      </c>
      <c r="X44">
        <v>0</v>
      </c>
      <c r="Y44">
        <v>1934.24</v>
      </c>
      <c r="Z44">
        <v>18</v>
      </c>
      <c r="AA44">
        <v>348.16</v>
      </c>
      <c r="AB44">
        <v>2282.4</v>
      </c>
      <c r="AC44">
        <v>1</v>
      </c>
      <c r="AE44" t="s">
        <v>239</v>
      </c>
      <c r="AF44" t="s">
        <v>29</v>
      </c>
      <c r="AG44">
        <v>2</v>
      </c>
      <c r="AH44" t="s">
        <v>25</v>
      </c>
      <c r="AI44">
        <v>1106</v>
      </c>
      <c r="AJ44" t="s">
        <v>246</v>
      </c>
      <c r="AK44" t="s">
        <v>170</v>
      </c>
      <c r="AL44">
        <v>3094</v>
      </c>
      <c r="AM44" t="s">
        <v>1297</v>
      </c>
      <c r="AN44" s="8">
        <v>45787</v>
      </c>
      <c r="AO44" s="8">
        <v>45787</v>
      </c>
      <c r="AQ44" t="s">
        <v>335</v>
      </c>
      <c r="AS44" t="str">
        <f t="shared" si="0"/>
        <v>(01) Factura FOF100000025</v>
      </c>
    </row>
    <row r="45" spans="1:45" s="25" customFormat="1" ht="15" customHeight="1">
      <c r="A45" t="s">
        <v>1228</v>
      </c>
      <c r="B45" s="21" t="s">
        <v>190</v>
      </c>
      <c r="C45" t="s">
        <v>27</v>
      </c>
      <c r="D45" s="8">
        <v>45945</v>
      </c>
      <c r="E45" s="22">
        <v>45946.739259259259</v>
      </c>
      <c r="F45" t="s">
        <v>335</v>
      </c>
      <c r="G45"/>
      <c r="H45">
        <v>6</v>
      </c>
      <c r="I45">
        <v>20559860701</v>
      </c>
      <c r="J45" t="s">
        <v>1298</v>
      </c>
      <c r="K45" s="8">
        <v>45945</v>
      </c>
      <c r="L45"/>
      <c r="M45"/>
      <c r="N45"/>
      <c r="O45"/>
      <c r="P45"/>
      <c r="Q45">
        <v>1</v>
      </c>
      <c r="R45" s="21" t="s">
        <v>1226</v>
      </c>
      <c r="S45" t="s">
        <v>1227</v>
      </c>
      <c r="T45" t="s">
        <v>163</v>
      </c>
      <c r="U45">
        <v>1</v>
      </c>
      <c r="V45">
        <v>2316.61</v>
      </c>
      <c r="W45">
        <v>2733.6</v>
      </c>
      <c r="X45">
        <v>0</v>
      </c>
      <c r="Y45">
        <v>2316.61</v>
      </c>
      <c r="Z45">
        <v>18</v>
      </c>
      <c r="AA45">
        <v>416.99</v>
      </c>
      <c r="AB45">
        <v>2733.6</v>
      </c>
      <c r="AC45">
        <v>1</v>
      </c>
      <c r="AD45"/>
      <c r="AE45" t="s">
        <v>239</v>
      </c>
      <c r="AF45" t="s">
        <v>29</v>
      </c>
      <c r="AG45">
        <v>2</v>
      </c>
      <c r="AH45" t="s">
        <v>25</v>
      </c>
      <c r="AI45">
        <v>1106</v>
      </c>
      <c r="AJ45" t="s">
        <v>246</v>
      </c>
      <c r="AK45" t="s">
        <v>170</v>
      </c>
      <c r="AL45">
        <v>3094</v>
      </c>
      <c r="AM45" t="s">
        <v>1297</v>
      </c>
      <c r="AN45" s="8">
        <v>45787</v>
      </c>
      <c r="AO45" s="8">
        <v>45787</v>
      </c>
      <c r="AP45"/>
      <c r="AQ45" t="s">
        <v>335</v>
      </c>
      <c r="AR45"/>
      <c r="AS45" t="str">
        <f t="shared" si="0"/>
        <v>(01) Factura FOF100000024</v>
      </c>
    </row>
    <row r="46" spans="1:45" s="25" customFormat="1" ht="15" customHeight="1">
      <c r="A46" t="s">
        <v>1228</v>
      </c>
      <c r="B46" s="21" t="s">
        <v>191</v>
      </c>
      <c r="C46" t="s">
        <v>27</v>
      </c>
      <c r="D46" s="8">
        <v>45945</v>
      </c>
      <c r="E46" s="22">
        <v>45946.738043981481</v>
      </c>
      <c r="F46" t="s">
        <v>314</v>
      </c>
      <c r="G46"/>
      <c r="H46">
        <v>6</v>
      </c>
      <c r="I46">
        <v>20509594903</v>
      </c>
      <c r="J46" t="s">
        <v>1299</v>
      </c>
      <c r="K46" s="8">
        <v>45945</v>
      </c>
      <c r="L46"/>
      <c r="M46"/>
      <c r="N46"/>
      <c r="O46"/>
      <c r="P46"/>
      <c r="Q46">
        <v>1</v>
      </c>
      <c r="R46" s="21" t="s">
        <v>1223</v>
      </c>
      <c r="S46" t="s">
        <v>197</v>
      </c>
      <c r="T46" t="s">
        <v>163</v>
      </c>
      <c r="U46">
        <v>1</v>
      </c>
      <c r="V46">
        <v>1427.8</v>
      </c>
      <c r="W46">
        <v>1684.8</v>
      </c>
      <c r="X46">
        <v>0</v>
      </c>
      <c r="Y46">
        <v>1427.8</v>
      </c>
      <c r="Z46">
        <v>18</v>
      </c>
      <c r="AA46">
        <v>257</v>
      </c>
      <c r="AB46">
        <v>1684.8</v>
      </c>
      <c r="AC46">
        <v>1</v>
      </c>
      <c r="AD46"/>
      <c r="AE46" t="s">
        <v>239</v>
      </c>
      <c r="AF46" t="s">
        <v>29</v>
      </c>
      <c r="AG46">
        <v>2</v>
      </c>
      <c r="AH46" t="s">
        <v>25</v>
      </c>
      <c r="AI46">
        <v>1106</v>
      </c>
      <c r="AJ46" t="s">
        <v>246</v>
      </c>
      <c r="AK46" t="s">
        <v>170</v>
      </c>
      <c r="AL46">
        <v>3172</v>
      </c>
      <c r="AM46" t="s">
        <v>338</v>
      </c>
      <c r="AN46" s="8">
        <v>45818</v>
      </c>
      <c r="AO46" s="8">
        <v>45818</v>
      </c>
      <c r="AP46"/>
      <c r="AQ46" t="s">
        <v>314</v>
      </c>
      <c r="AR46"/>
      <c r="AS46" t="str">
        <f t="shared" si="0"/>
        <v>(01) Factura FOF100000023</v>
      </c>
    </row>
    <row r="47" spans="1:45" ht="15" customHeight="1">
      <c r="A47" t="s">
        <v>1228</v>
      </c>
      <c r="B47" s="21" t="s">
        <v>192</v>
      </c>
      <c r="C47" t="s">
        <v>27</v>
      </c>
      <c r="D47" s="8">
        <v>45945</v>
      </c>
      <c r="E47" s="22">
        <v>45946.73777777778</v>
      </c>
      <c r="F47" t="s">
        <v>314</v>
      </c>
      <c r="H47">
        <v>6</v>
      </c>
      <c r="I47">
        <v>20509594903</v>
      </c>
      <c r="J47" t="s">
        <v>1300</v>
      </c>
      <c r="K47" s="8">
        <v>45945</v>
      </c>
      <c r="Q47">
        <v>1</v>
      </c>
      <c r="R47" s="21" t="s">
        <v>1226</v>
      </c>
      <c r="S47" t="s">
        <v>1227</v>
      </c>
      <c r="T47" t="s">
        <v>163</v>
      </c>
      <c r="U47">
        <v>1</v>
      </c>
      <c r="V47">
        <v>976.78</v>
      </c>
      <c r="W47">
        <v>1152.5999999999999</v>
      </c>
      <c r="X47">
        <v>0</v>
      </c>
      <c r="Y47">
        <v>976.78</v>
      </c>
      <c r="Z47">
        <v>18</v>
      </c>
      <c r="AA47">
        <v>175.82</v>
      </c>
      <c r="AB47">
        <v>1152.5999999999999</v>
      </c>
      <c r="AC47">
        <v>1</v>
      </c>
      <c r="AE47" t="s">
        <v>239</v>
      </c>
      <c r="AF47" t="s">
        <v>29</v>
      </c>
      <c r="AG47">
        <v>2</v>
      </c>
      <c r="AH47" t="s">
        <v>25</v>
      </c>
      <c r="AI47">
        <v>1106</v>
      </c>
      <c r="AJ47" t="s">
        <v>246</v>
      </c>
      <c r="AK47" t="s">
        <v>170</v>
      </c>
      <c r="AL47">
        <v>3172</v>
      </c>
      <c r="AM47" t="s">
        <v>338</v>
      </c>
      <c r="AN47" s="8">
        <v>45818</v>
      </c>
      <c r="AO47" s="8">
        <v>45818</v>
      </c>
      <c r="AQ47" t="s">
        <v>314</v>
      </c>
      <c r="AS47" t="str">
        <f t="shared" si="0"/>
        <v>(01) Factura FOF100000022</v>
      </c>
    </row>
    <row r="48" spans="1:45" ht="15" customHeight="1">
      <c r="A48" t="s">
        <v>1228</v>
      </c>
      <c r="B48" s="21" t="s">
        <v>193</v>
      </c>
      <c r="C48" t="s">
        <v>27</v>
      </c>
      <c r="D48" s="8">
        <v>45944</v>
      </c>
      <c r="E48" s="22">
        <v>45946.630833333336</v>
      </c>
      <c r="F48" t="s">
        <v>345</v>
      </c>
      <c r="H48">
        <v>6</v>
      </c>
      <c r="I48">
        <v>10461667983</v>
      </c>
      <c r="J48" t="s">
        <v>1301</v>
      </c>
      <c r="K48" s="8">
        <v>45944</v>
      </c>
      <c r="Q48">
        <v>1</v>
      </c>
      <c r="R48" s="21" t="s">
        <v>1223</v>
      </c>
      <c r="S48" t="s">
        <v>197</v>
      </c>
      <c r="T48" t="s">
        <v>163</v>
      </c>
      <c r="U48">
        <v>1</v>
      </c>
      <c r="V48">
        <v>651.53</v>
      </c>
      <c r="W48">
        <v>768.81</v>
      </c>
      <c r="X48">
        <v>0</v>
      </c>
      <c r="Y48">
        <v>651.53</v>
      </c>
      <c r="Z48">
        <v>18</v>
      </c>
      <c r="AA48">
        <v>117.28</v>
      </c>
      <c r="AB48">
        <v>768.81</v>
      </c>
      <c r="AC48">
        <v>1</v>
      </c>
      <c r="AE48" t="s">
        <v>239</v>
      </c>
      <c r="AF48" t="s">
        <v>29</v>
      </c>
      <c r="AG48">
        <v>2</v>
      </c>
      <c r="AH48" t="s">
        <v>25</v>
      </c>
      <c r="AI48">
        <v>1106</v>
      </c>
      <c r="AJ48" t="s">
        <v>246</v>
      </c>
      <c r="AK48" t="s">
        <v>170</v>
      </c>
      <c r="AL48">
        <v>3092</v>
      </c>
      <c r="AM48" t="s">
        <v>344</v>
      </c>
      <c r="AN48" s="8">
        <v>45848</v>
      </c>
      <c r="AO48" s="8">
        <v>45848</v>
      </c>
      <c r="AQ48" t="s">
        <v>345</v>
      </c>
      <c r="AS48" t="str">
        <f t="shared" si="0"/>
        <v>(01) Factura FOF100000021</v>
      </c>
    </row>
    <row r="49" spans="1:45" ht="15" customHeight="1">
      <c r="A49" t="s">
        <v>1228</v>
      </c>
      <c r="B49" s="21" t="s">
        <v>210</v>
      </c>
      <c r="C49" t="s">
        <v>27</v>
      </c>
      <c r="D49" s="8">
        <v>45944</v>
      </c>
      <c r="E49" s="22">
        <v>45946.630601851852</v>
      </c>
      <c r="F49" t="s">
        <v>345</v>
      </c>
      <c r="H49">
        <v>6</v>
      </c>
      <c r="I49">
        <v>10461667983</v>
      </c>
      <c r="J49" t="s">
        <v>1302</v>
      </c>
      <c r="K49" s="8">
        <v>45944</v>
      </c>
      <c r="Q49">
        <v>1</v>
      </c>
      <c r="R49" s="21" t="s">
        <v>1226</v>
      </c>
      <c r="S49" t="s">
        <v>1227</v>
      </c>
      <c r="T49" t="s">
        <v>163</v>
      </c>
      <c r="U49">
        <v>1</v>
      </c>
      <c r="V49">
        <v>556.44000000000005</v>
      </c>
      <c r="W49">
        <v>656.6</v>
      </c>
      <c r="X49">
        <v>0</v>
      </c>
      <c r="Y49">
        <v>556.44000000000005</v>
      </c>
      <c r="Z49">
        <v>18</v>
      </c>
      <c r="AA49">
        <v>100.16</v>
      </c>
      <c r="AB49">
        <v>656.6</v>
      </c>
      <c r="AC49">
        <v>1</v>
      </c>
      <c r="AE49" t="s">
        <v>239</v>
      </c>
      <c r="AF49" t="s">
        <v>29</v>
      </c>
      <c r="AG49">
        <v>2</v>
      </c>
      <c r="AH49" t="s">
        <v>25</v>
      </c>
      <c r="AI49">
        <v>1106</v>
      </c>
      <c r="AJ49" t="s">
        <v>246</v>
      </c>
      <c r="AK49" t="s">
        <v>170</v>
      </c>
      <c r="AL49">
        <v>3092</v>
      </c>
      <c r="AM49" t="s">
        <v>344</v>
      </c>
      <c r="AN49" s="8">
        <v>45848</v>
      </c>
      <c r="AO49" s="8">
        <v>45848</v>
      </c>
      <c r="AQ49" t="s">
        <v>345</v>
      </c>
      <c r="AS49" t="str">
        <f t="shared" si="0"/>
        <v>(01) Factura FOF100000020</v>
      </c>
    </row>
    <row r="50" spans="1:45" ht="15" customHeight="1">
      <c r="A50" t="s">
        <v>1221</v>
      </c>
      <c r="B50" s="21" t="s">
        <v>201</v>
      </c>
      <c r="C50" t="s">
        <v>27</v>
      </c>
      <c r="D50" s="8">
        <v>45944</v>
      </c>
      <c r="E50" s="22">
        <v>45946.618923611109</v>
      </c>
      <c r="F50" t="s">
        <v>342</v>
      </c>
      <c r="G50" t="s">
        <v>158</v>
      </c>
      <c r="H50">
        <v>1</v>
      </c>
      <c r="I50">
        <v>43908595</v>
      </c>
      <c r="J50" t="s">
        <v>1303</v>
      </c>
      <c r="K50" s="8">
        <v>45944</v>
      </c>
      <c r="Q50">
        <v>1</v>
      </c>
      <c r="R50" s="21" t="s">
        <v>1230</v>
      </c>
      <c r="S50" t="s">
        <v>1231</v>
      </c>
      <c r="T50" t="s">
        <v>163</v>
      </c>
      <c r="U50">
        <v>1</v>
      </c>
      <c r="V50">
        <v>60</v>
      </c>
      <c r="W50">
        <v>70.8</v>
      </c>
      <c r="X50">
        <v>0</v>
      </c>
      <c r="Y50">
        <v>60</v>
      </c>
      <c r="Z50">
        <v>18</v>
      </c>
      <c r="AA50">
        <v>10.8</v>
      </c>
      <c r="AB50">
        <v>70.8</v>
      </c>
      <c r="AC50">
        <v>1</v>
      </c>
      <c r="AE50" t="s">
        <v>239</v>
      </c>
      <c r="AF50" t="s">
        <v>29</v>
      </c>
      <c r="AG50">
        <v>2</v>
      </c>
      <c r="AH50" t="s">
        <v>25</v>
      </c>
      <c r="AI50">
        <v>1106</v>
      </c>
      <c r="AJ50" t="s">
        <v>246</v>
      </c>
      <c r="AK50" t="s">
        <v>170</v>
      </c>
      <c r="AL50">
        <v>3123</v>
      </c>
      <c r="AM50" t="s">
        <v>341</v>
      </c>
      <c r="AN50" s="8">
        <v>45848</v>
      </c>
      <c r="AO50" s="8">
        <v>45848</v>
      </c>
      <c r="AQ50" t="s">
        <v>342</v>
      </c>
      <c r="AS50" t="str">
        <f t="shared" si="0"/>
        <v>(03) Boleta BOB100000009</v>
      </c>
    </row>
    <row r="51" spans="1:45" ht="15" customHeight="1">
      <c r="A51" t="s">
        <v>1228</v>
      </c>
      <c r="B51" s="21" t="s">
        <v>211</v>
      </c>
      <c r="C51" t="s">
        <v>27</v>
      </c>
      <c r="D51" s="8">
        <v>45944</v>
      </c>
      <c r="E51" s="22">
        <v>45946.400462962964</v>
      </c>
      <c r="F51" t="s">
        <v>349</v>
      </c>
      <c r="H51">
        <v>6</v>
      </c>
      <c r="I51">
        <v>20480413700</v>
      </c>
      <c r="J51" t="s">
        <v>1304</v>
      </c>
      <c r="K51" s="8">
        <v>45944</v>
      </c>
      <c r="Q51">
        <v>1</v>
      </c>
      <c r="R51" s="21" t="s">
        <v>1234</v>
      </c>
      <c r="S51" t="s">
        <v>1235</v>
      </c>
      <c r="T51" t="s">
        <v>163</v>
      </c>
      <c r="U51">
        <v>1</v>
      </c>
      <c r="V51">
        <v>12.5</v>
      </c>
      <c r="W51">
        <v>14.75</v>
      </c>
      <c r="X51">
        <v>0</v>
      </c>
      <c r="Y51">
        <v>12.5</v>
      </c>
      <c r="Z51">
        <v>18</v>
      </c>
      <c r="AA51">
        <v>2.25</v>
      </c>
      <c r="AB51">
        <v>14.75</v>
      </c>
      <c r="AC51">
        <v>1</v>
      </c>
      <c r="AE51" t="s">
        <v>239</v>
      </c>
      <c r="AF51" t="s">
        <v>29</v>
      </c>
      <c r="AG51">
        <v>2</v>
      </c>
      <c r="AH51" t="s">
        <v>25</v>
      </c>
      <c r="AI51">
        <v>1106</v>
      </c>
      <c r="AJ51" t="s">
        <v>246</v>
      </c>
      <c r="AK51" t="s">
        <v>170</v>
      </c>
      <c r="AL51">
        <v>3065</v>
      </c>
      <c r="AM51" t="s">
        <v>1305</v>
      </c>
      <c r="AQ51" t="s">
        <v>349</v>
      </c>
      <c r="AS51" t="str">
        <f t="shared" si="0"/>
        <v>(01) Factura FOF100000019</v>
      </c>
    </row>
    <row r="52" spans="1:45" ht="15" customHeight="1">
      <c r="A52" t="s">
        <v>1228</v>
      </c>
      <c r="B52" s="21" t="s">
        <v>212</v>
      </c>
      <c r="C52" t="s">
        <v>27</v>
      </c>
      <c r="D52" s="8">
        <v>45944</v>
      </c>
      <c r="E52" s="22">
        <v>45946.400092592594</v>
      </c>
      <c r="F52" t="s">
        <v>349</v>
      </c>
      <c r="H52">
        <v>6</v>
      </c>
      <c r="I52">
        <v>20480413700</v>
      </c>
      <c r="J52" t="s">
        <v>1306</v>
      </c>
      <c r="K52" s="8">
        <v>45944</v>
      </c>
      <c r="Q52">
        <v>1</v>
      </c>
      <c r="R52" s="21" t="s">
        <v>1247</v>
      </c>
      <c r="S52" t="s">
        <v>1288</v>
      </c>
      <c r="T52" t="s">
        <v>163</v>
      </c>
      <c r="U52">
        <v>1</v>
      </c>
      <c r="V52">
        <v>1271.19</v>
      </c>
      <c r="W52">
        <v>1500</v>
      </c>
      <c r="X52">
        <v>0</v>
      </c>
      <c r="Y52">
        <v>1271.19</v>
      </c>
      <c r="Z52">
        <v>18</v>
      </c>
      <c r="AA52">
        <v>228.81</v>
      </c>
      <c r="AB52">
        <v>1500</v>
      </c>
      <c r="AC52">
        <v>1</v>
      </c>
      <c r="AE52" t="s">
        <v>239</v>
      </c>
      <c r="AF52" t="s">
        <v>29</v>
      </c>
      <c r="AG52">
        <v>2</v>
      </c>
      <c r="AH52" t="s">
        <v>25</v>
      </c>
      <c r="AI52">
        <v>1106</v>
      </c>
      <c r="AJ52" t="s">
        <v>246</v>
      </c>
      <c r="AK52" t="s">
        <v>170</v>
      </c>
      <c r="AL52">
        <v>3065</v>
      </c>
      <c r="AM52" t="s">
        <v>1305</v>
      </c>
      <c r="AQ52" t="s">
        <v>349</v>
      </c>
      <c r="AS52" t="str">
        <f t="shared" si="0"/>
        <v>(01) Factura FOF100000018</v>
      </c>
    </row>
    <row r="53" spans="1:45" ht="15" customHeight="1">
      <c r="A53" t="s">
        <v>1228</v>
      </c>
      <c r="B53" s="21" t="s">
        <v>213</v>
      </c>
      <c r="C53" t="s">
        <v>27</v>
      </c>
      <c r="D53" s="8">
        <v>45944</v>
      </c>
      <c r="E53" s="22">
        <v>45946.395277777781</v>
      </c>
      <c r="F53" t="s">
        <v>349</v>
      </c>
      <c r="H53">
        <v>6</v>
      </c>
      <c r="I53">
        <v>20480413700</v>
      </c>
      <c r="J53" t="s">
        <v>1307</v>
      </c>
      <c r="K53" s="8">
        <v>45944</v>
      </c>
      <c r="Q53">
        <v>1</v>
      </c>
      <c r="R53" s="21" t="s">
        <v>1223</v>
      </c>
      <c r="S53" t="s">
        <v>197</v>
      </c>
      <c r="T53" t="s">
        <v>163</v>
      </c>
      <c r="U53">
        <v>1</v>
      </c>
      <c r="V53">
        <v>4676.95</v>
      </c>
      <c r="W53">
        <v>5518.8</v>
      </c>
      <c r="X53">
        <v>0</v>
      </c>
      <c r="Y53">
        <v>4676.95</v>
      </c>
      <c r="Z53">
        <v>18</v>
      </c>
      <c r="AA53">
        <v>841.85</v>
      </c>
      <c r="AB53">
        <v>5518.8</v>
      </c>
      <c r="AC53">
        <v>1</v>
      </c>
      <c r="AE53" t="s">
        <v>239</v>
      </c>
      <c r="AF53" t="s">
        <v>29</v>
      </c>
      <c r="AG53">
        <v>2</v>
      </c>
      <c r="AH53" t="s">
        <v>25</v>
      </c>
      <c r="AI53">
        <v>1106</v>
      </c>
      <c r="AJ53" t="s">
        <v>246</v>
      </c>
      <c r="AK53" t="s">
        <v>170</v>
      </c>
      <c r="AL53">
        <v>3065</v>
      </c>
      <c r="AM53" t="s">
        <v>1305</v>
      </c>
      <c r="AQ53" t="s">
        <v>349</v>
      </c>
      <c r="AS53" t="str">
        <f t="shared" si="0"/>
        <v>(01) Factura FOF100000017</v>
      </c>
    </row>
    <row r="54" spans="1:45" ht="15" customHeight="1">
      <c r="A54" t="s">
        <v>1228</v>
      </c>
      <c r="B54" s="21" t="s">
        <v>214</v>
      </c>
      <c r="C54" t="s">
        <v>27</v>
      </c>
      <c r="D54" s="8">
        <v>45944</v>
      </c>
      <c r="E54" s="22">
        <v>45946.394953703704</v>
      </c>
      <c r="F54" t="s">
        <v>349</v>
      </c>
      <c r="H54">
        <v>6</v>
      </c>
      <c r="I54">
        <v>20480413700</v>
      </c>
      <c r="J54" t="s">
        <v>1308</v>
      </c>
      <c r="K54" s="8">
        <v>45944</v>
      </c>
      <c r="Q54">
        <v>1</v>
      </c>
      <c r="R54" s="21" t="s">
        <v>1237</v>
      </c>
      <c r="S54" t="s">
        <v>1309</v>
      </c>
      <c r="T54" t="s">
        <v>163</v>
      </c>
      <c r="U54">
        <v>1</v>
      </c>
      <c r="V54">
        <v>150</v>
      </c>
      <c r="W54">
        <v>177</v>
      </c>
      <c r="X54">
        <v>0</v>
      </c>
      <c r="Y54">
        <v>150</v>
      </c>
      <c r="Z54">
        <v>18</v>
      </c>
      <c r="AA54">
        <v>27</v>
      </c>
      <c r="AB54">
        <v>177</v>
      </c>
      <c r="AC54">
        <v>1</v>
      </c>
      <c r="AE54" t="s">
        <v>239</v>
      </c>
      <c r="AF54" t="s">
        <v>29</v>
      </c>
      <c r="AG54">
        <v>2</v>
      </c>
      <c r="AH54" t="s">
        <v>25</v>
      </c>
      <c r="AI54">
        <v>1106</v>
      </c>
      <c r="AJ54" t="s">
        <v>246</v>
      </c>
      <c r="AK54" t="s">
        <v>170</v>
      </c>
      <c r="AL54">
        <v>3065</v>
      </c>
      <c r="AM54" t="s">
        <v>1305</v>
      </c>
      <c r="AQ54" t="s">
        <v>349</v>
      </c>
      <c r="AS54" t="str">
        <f t="shared" si="0"/>
        <v>(01) Factura FOF100000016</v>
      </c>
    </row>
    <row r="55" spans="1:45" ht="15" customHeight="1">
      <c r="A55" t="s">
        <v>1228</v>
      </c>
      <c r="B55" s="21" t="s">
        <v>198</v>
      </c>
      <c r="C55" t="s">
        <v>27</v>
      </c>
      <c r="D55" s="8">
        <v>45944</v>
      </c>
      <c r="E55" s="22">
        <v>45946.392962962964</v>
      </c>
      <c r="F55" t="s">
        <v>349</v>
      </c>
      <c r="H55">
        <v>6</v>
      </c>
      <c r="I55">
        <v>20480413700</v>
      </c>
      <c r="J55" t="s">
        <v>1310</v>
      </c>
      <c r="K55" s="8">
        <v>45944</v>
      </c>
      <c r="Q55">
        <v>1</v>
      </c>
      <c r="R55" s="21" t="s">
        <v>1240</v>
      </c>
      <c r="S55" s="29" t="s">
        <v>1311</v>
      </c>
      <c r="T55" t="s">
        <v>219</v>
      </c>
      <c r="U55">
        <v>1</v>
      </c>
      <c r="V55">
        <v>900</v>
      </c>
      <c r="W55">
        <v>1062</v>
      </c>
      <c r="X55">
        <v>0</v>
      </c>
      <c r="Y55">
        <v>900</v>
      </c>
      <c r="Z55">
        <v>18</v>
      </c>
      <c r="AA55">
        <v>162</v>
      </c>
      <c r="AB55">
        <v>1062</v>
      </c>
      <c r="AC55">
        <v>1</v>
      </c>
      <c r="AE55" t="s">
        <v>239</v>
      </c>
      <c r="AF55" t="s">
        <v>29</v>
      </c>
      <c r="AG55">
        <v>2</v>
      </c>
      <c r="AH55" t="s">
        <v>25</v>
      </c>
      <c r="AI55">
        <v>1106</v>
      </c>
      <c r="AJ55" t="s">
        <v>246</v>
      </c>
      <c r="AK55" t="s">
        <v>170</v>
      </c>
      <c r="AL55">
        <v>3065</v>
      </c>
      <c r="AM55" t="s">
        <v>1305</v>
      </c>
      <c r="AQ55" t="s">
        <v>349</v>
      </c>
      <c r="AS55" t="str">
        <f t="shared" si="0"/>
        <v>(01) Factura FOF100000015</v>
      </c>
    </row>
    <row r="56" spans="1:45" ht="15" customHeight="1">
      <c r="A56" t="s">
        <v>1221</v>
      </c>
      <c r="B56" s="21" t="s">
        <v>202</v>
      </c>
      <c r="C56" t="s">
        <v>27</v>
      </c>
      <c r="D56" s="8">
        <v>45943</v>
      </c>
      <c r="E56" s="22">
        <v>45946.776238425926</v>
      </c>
      <c r="F56" t="s">
        <v>342</v>
      </c>
      <c r="G56" t="s">
        <v>158</v>
      </c>
      <c r="H56">
        <v>1</v>
      </c>
      <c r="I56">
        <v>43908595</v>
      </c>
      <c r="J56" t="s">
        <v>1312</v>
      </c>
      <c r="K56" s="8">
        <v>45943</v>
      </c>
      <c r="Q56">
        <v>1</v>
      </c>
      <c r="R56" s="21" t="s">
        <v>1247</v>
      </c>
      <c r="S56" t="s">
        <v>1288</v>
      </c>
      <c r="T56" t="s">
        <v>163</v>
      </c>
      <c r="U56">
        <v>1</v>
      </c>
      <c r="V56">
        <v>500</v>
      </c>
      <c r="W56">
        <v>590</v>
      </c>
      <c r="X56">
        <v>0</v>
      </c>
      <c r="Y56">
        <v>500</v>
      </c>
      <c r="Z56">
        <v>18</v>
      </c>
      <c r="AA56">
        <v>90</v>
      </c>
      <c r="AB56">
        <v>590</v>
      </c>
      <c r="AC56">
        <v>1</v>
      </c>
      <c r="AE56" t="s">
        <v>239</v>
      </c>
      <c r="AF56" t="s">
        <v>29</v>
      </c>
      <c r="AG56">
        <v>2</v>
      </c>
      <c r="AH56" t="s">
        <v>25</v>
      </c>
      <c r="AI56">
        <v>1106</v>
      </c>
      <c r="AJ56" t="s">
        <v>246</v>
      </c>
      <c r="AK56" t="s">
        <v>170</v>
      </c>
      <c r="AL56">
        <v>3123</v>
      </c>
      <c r="AM56" t="s">
        <v>341</v>
      </c>
      <c r="AN56" s="8">
        <v>45848</v>
      </c>
      <c r="AO56" s="8">
        <v>45848</v>
      </c>
      <c r="AQ56" t="s">
        <v>342</v>
      </c>
      <c r="AS56" t="str">
        <f t="shared" si="0"/>
        <v>(03) Boleta BOB100000008</v>
      </c>
    </row>
    <row r="57" spans="1:45" ht="15" customHeight="1">
      <c r="A57" t="s">
        <v>1221</v>
      </c>
      <c r="B57" s="21" t="s">
        <v>203</v>
      </c>
      <c r="C57" t="s">
        <v>27</v>
      </c>
      <c r="D57" s="8">
        <v>45943</v>
      </c>
      <c r="E57" s="22">
        <v>45946.775671296295</v>
      </c>
      <c r="F57" t="s">
        <v>342</v>
      </c>
      <c r="G57" t="s">
        <v>158</v>
      </c>
      <c r="H57">
        <v>1</v>
      </c>
      <c r="I57">
        <v>43908595</v>
      </c>
      <c r="J57" t="s">
        <v>1313</v>
      </c>
      <c r="K57" s="8">
        <v>45943</v>
      </c>
      <c r="Q57">
        <v>1</v>
      </c>
      <c r="R57" s="21" t="s">
        <v>1240</v>
      </c>
      <c r="S57" s="29" t="s">
        <v>1314</v>
      </c>
      <c r="T57" t="s">
        <v>219</v>
      </c>
      <c r="U57">
        <v>1</v>
      </c>
      <c r="V57">
        <v>1000</v>
      </c>
      <c r="W57">
        <v>1180</v>
      </c>
      <c r="X57">
        <v>0</v>
      </c>
      <c r="Y57">
        <v>1000</v>
      </c>
      <c r="Z57">
        <v>18</v>
      </c>
      <c r="AA57">
        <v>180</v>
      </c>
      <c r="AB57">
        <v>1180</v>
      </c>
      <c r="AC57">
        <v>1</v>
      </c>
      <c r="AE57" t="s">
        <v>239</v>
      </c>
      <c r="AF57" t="s">
        <v>29</v>
      </c>
      <c r="AG57">
        <v>2</v>
      </c>
      <c r="AH57" t="s">
        <v>25</v>
      </c>
      <c r="AI57">
        <v>1106</v>
      </c>
      <c r="AJ57" t="s">
        <v>246</v>
      </c>
      <c r="AK57" t="s">
        <v>1315</v>
      </c>
      <c r="AL57">
        <v>3123</v>
      </c>
      <c r="AM57" t="s">
        <v>341</v>
      </c>
      <c r="AN57" s="8">
        <v>45848</v>
      </c>
      <c r="AO57" s="8">
        <v>45848</v>
      </c>
      <c r="AQ57" t="s">
        <v>342</v>
      </c>
      <c r="AS57" t="str">
        <f t="shared" si="0"/>
        <v>(03) Boleta BOB100000007</v>
      </c>
    </row>
    <row r="58" spans="1:45" ht="15" customHeight="1">
      <c r="A58" t="s">
        <v>1221</v>
      </c>
      <c r="B58" s="21" t="s">
        <v>204</v>
      </c>
      <c r="C58" t="s">
        <v>27</v>
      </c>
      <c r="D58" s="8">
        <v>45943</v>
      </c>
      <c r="E58" s="22">
        <v>45946.771469907406</v>
      </c>
      <c r="F58" t="s">
        <v>342</v>
      </c>
      <c r="G58" t="s">
        <v>158</v>
      </c>
      <c r="H58">
        <v>1</v>
      </c>
      <c r="I58">
        <v>43908595</v>
      </c>
      <c r="J58" t="s">
        <v>1316</v>
      </c>
      <c r="K58" s="8">
        <v>45943</v>
      </c>
      <c r="Q58">
        <v>1</v>
      </c>
      <c r="R58">
        <v>13</v>
      </c>
      <c r="S58" t="s">
        <v>1317</v>
      </c>
      <c r="T58" t="s">
        <v>163</v>
      </c>
      <c r="U58">
        <v>1</v>
      </c>
      <c r="V58">
        <v>1800</v>
      </c>
      <c r="W58">
        <v>2124</v>
      </c>
      <c r="X58">
        <v>0</v>
      </c>
      <c r="Y58">
        <v>1800</v>
      </c>
      <c r="Z58">
        <v>18</v>
      </c>
      <c r="AA58">
        <v>324</v>
      </c>
      <c r="AB58">
        <v>2124</v>
      </c>
      <c r="AC58">
        <v>1</v>
      </c>
      <c r="AE58" t="s">
        <v>239</v>
      </c>
      <c r="AF58" t="s">
        <v>29</v>
      </c>
      <c r="AG58">
        <v>2</v>
      </c>
      <c r="AH58" t="s">
        <v>25</v>
      </c>
      <c r="AI58">
        <v>1106</v>
      </c>
      <c r="AJ58" t="s">
        <v>246</v>
      </c>
      <c r="AK58" t="s">
        <v>170</v>
      </c>
      <c r="AL58">
        <v>3123</v>
      </c>
      <c r="AM58" t="s">
        <v>341</v>
      </c>
      <c r="AN58" s="8">
        <v>45848</v>
      </c>
      <c r="AO58" s="8">
        <v>45848</v>
      </c>
      <c r="AQ58" t="s">
        <v>342</v>
      </c>
      <c r="AS58" t="str">
        <f t="shared" si="0"/>
        <v>(03) Boleta BOB100000006</v>
      </c>
    </row>
    <row r="59" spans="1:45" ht="15" customHeight="1">
      <c r="A59" t="s">
        <v>1221</v>
      </c>
      <c r="B59" s="21" t="s">
        <v>215</v>
      </c>
      <c r="C59" t="s">
        <v>27</v>
      </c>
      <c r="D59" s="8">
        <v>45943</v>
      </c>
      <c r="E59" s="22">
        <v>45946.771180555559</v>
      </c>
      <c r="F59" t="s">
        <v>342</v>
      </c>
      <c r="G59" t="s">
        <v>158</v>
      </c>
      <c r="H59">
        <v>1</v>
      </c>
      <c r="I59">
        <v>43908595</v>
      </c>
      <c r="J59" t="s">
        <v>1318</v>
      </c>
      <c r="K59" s="8">
        <v>45943</v>
      </c>
      <c r="Q59">
        <v>1</v>
      </c>
      <c r="R59" s="21" t="s">
        <v>1223</v>
      </c>
      <c r="S59" t="s">
        <v>197</v>
      </c>
      <c r="T59" t="s">
        <v>163</v>
      </c>
      <c r="U59">
        <v>1</v>
      </c>
      <c r="V59">
        <v>638.30999999999995</v>
      </c>
      <c r="W59">
        <v>753.21</v>
      </c>
      <c r="X59">
        <v>0</v>
      </c>
      <c r="Y59">
        <v>638.30999999999995</v>
      </c>
      <c r="Z59">
        <v>18</v>
      </c>
      <c r="AA59">
        <v>114.9</v>
      </c>
      <c r="AB59">
        <v>753.21</v>
      </c>
      <c r="AC59">
        <v>1</v>
      </c>
      <c r="AE59" t="s">
        <v>239</v>
      </c>
      <c r="AF59" t="s">
        <v>29</v>
      </c>
      <c r="AG59">
        <v>2</v>
      </c>
      <c r="AH59" t="s">
        <v>25</v>
      </c>
      <c r="AI59">
        <v>1106</v>
      </c>
      <c r="AJ59" t="s">
        <v>246</v>
      </c>
      <c r="AK59" t="s">
        <v>170</v>
      </c>
      <c r="AL59">
        <v>3123</v>
      </c>
      <c r="AM59" t="s">
        <v>341</v>
      </c>
      <c r="AN59" s="8">
        <v>45848</v>
      </c>
      <c r="AO59" s="8">
        <v>45848</v>
      </c>
      <c r="AQ59" t="s">
        <v>342</v>
      </c>
      <c r="AS59" t="str">
        <f t="shared" si="0"/>
        <v>(03) Boleta BOB100000005</v>
      </c>
    </row>
    <row r="60" spans="1:45" ht="15" customHeight="1">
      <c r="A60" t="s">
        <v>1221</v>
      </c>
      <c r="B60" s="21" t="s">
        <v>205</v>
      </c>
      <c r="C60" t="s">
        <v>27</v>
      </c>
      <c r="D60" s="8">
        <v>45943</v>
      </c>
      <c r="E60" s="22">
        <v>45946.770821759259</v>
      </c>
      <c r="F60" t="s">
        <v>342</v>
      </c>
      <c r="G60" t="s">
        <v>158</v>
      </c>
      <c r="H60">
        <v>1</v>
      </c>
      <c r="I60">
        <v>43908595</v>
      </c>
      <c r="J60" t="s">
        <v>1319</v>
      </c>
      <c r="K60" s="8">
        <v>45943</v>
      </c>
      <c r="Q60">
        <v>1</v>
      </c>
      <c r="R60" s="21" t="s">
        <v>1226</v>
      </c>
      <c r="S60" t="s">
        <v>1227</v>
      </c>
      <c r="T60" t="s">
        <v>163</v>
      </c>
      <c r="U60">
        <v>1</v>
      </c>
      <c r="V60">
        <v>652.20000000000005</v>
      </c>
      <c r="W60">
        <v>769.6</v>
      </c>
      <c r="X60">
        <v>0</v>
      </c>
      <c r="Y60">
        <v>652.20000000000005</v>
      </c>
      <c r="Z60">
        <v>18</v>
      </c>
      <c r="AA60">
        <v>117.4</v>
      </c>
      <c r="AB60">
        <v>769.6</v>
      </c>
      <c r="AC60">
        <v>1</v>
      </c>
      <c r="AE60" t="s">
        <v>239</v>
      </c>
      <c r="AF60" t="s">
        <v>29</v>
      </c>
      <c r="AG60">
        <v>2</v>
      </c>
      <c r="AH60" t="s">
        <v>25</v>
      </c>
      <c r="AI60">
        <v>1106</v>
      </c>
      <c r="AJ60" t="s">
        <v>246</v>
      </c>
      <c r="AK60" t="s">
        <v>170</v>
      </c>
      <c r="AL60">
        <v>3123</v>
      </c>
      <c r="AM60" t="s">
        <v>341</v>
      </c>
      <c r="AN60" s="8">
        <v>45848</v>
      </c>
      <c r="AO60" s="8">
        <v>45848</v>
      </c>
      <c r="AQ60" t="s">
        <v>342</v>
      </c>
      <c r="AS60" t="str">
        <f t="shared" si="0"/>
        <v>(03) Boleta BOB100000004</v>
      </c>
    </row>
    <row r="61" spans="1:45" ht="15" customHeight="1">
      <c r="A61" t="s">
        <v>1228</v>
      </c>
      <c r="B61" s="21" t="s">
        <v>194</v>
      </c>
      <c r="C61" t="s">
        <v>27</v>
      </c>
      <c r="D61" s="8">
        <v>45943</v>
      </c>
      <c r="E61" s="22">
        <v>45946.768680555557</v>
      </c>
      <c r="F61" t="s">
        <v>314</v>
      </c>
      <c r="H61">
        <v>6</v>
      </c>
      <c r="I61">
        <v>20509594903</v>
      </c>
      <c r="J61" t="s">
        <v>1320</v>
      </c>
      <c r="K61" s="8">
        <v>45943</v>
      </c>
      <c r="Q61">
        <v>1</v>
      </c>
      <c r="R61" s="21" t="s">
        <v>1234</v>
      </c>
      <c r="S61" t="s">
        <v>1235</v>
      </c>
      <c r="T61" t="s">
        <v>163</v>
      </c>
      <c r="U61">
        <v>1</v>
      </c>
      <c r="V61">
        <v>75</v>
      </c>
      <c r="W61">
        <v>88.5</v>
      </c>
      <c r="X61">
        <v>0</v>
      </c>
      <c r="Y61">
        <v>75</v>
      </c>
      <c r="Z61">
        <v>18</v>
      </c>
      <c r="AA61">
        <v>13.5</v>
      </c>
      <c r="AB61">
        <v>88.5</v>
      </c>
      <c r="AC61">
        <v>1</v>
      </c>
      <c r="AE61" t="s">
        <v>239</v>
      </c>
      <c r="AF61" t="s">
        <v>29</v>
      </c>
      <c r="AG61">
        <v>2</v>
      </c>
      <c r="AH61" t="s">
        <v>25</v>
      </c>
      <c r="AI61">
        <v>1106</v>
      </c>
      <c r="AJ61" t="s">
        <v>246</v>
      </c>
      <c r="AK61" t="s">
        <v>170</v>
      </c>
      <c r="AL61">
        <v>3168</v>
      </c>
      <c r="AM61" t="s">
        <v>1321</v>
      </c>
      <c r="AN61" s="8">
        <v>45848</v>
      </c>
      <c r="AO61" s="8">
        <v>45848</v>
      </c>
      <c r="AQ61" t="s">
        <v>314</v>
      </c>
      <c r="AS61" t="str">
        <f t="shared" si="0"/>
        <v>(01) Factura FOF100000014</v>
      </c>
    </row>
    <row r="62" spans="1:45" ht="15" customHeight="1">
      <c r="A62" t="s">
        <v>1228</v>
      </c>
      <c r="B62" s="21" t="s">
        <v>195</v>
      </c>
      <c r="C62" t="s">
        <v>27</v>
      </c>
      <c r="D62" s="8">
        <v>45943</v>
      </c>
      <c r="E62" s="22">
        <v>45946.768449074072</v>
      </c>
      <c r="F62" t="s">
        <v>314</v>
      </c>
      <c r="H62">
        <v>6</v>
      </c>
      <c r="I62">
        <v>20509594903</v>
      </c>
      <c r="J62" t="s">
        <v>1322</v>
      </c>
      <c r="K62" s="8">
        <v>45943</v>
      </c>
      <c r="Q62">
        <v>1</v>
      </c>
      <c r="R62" s="21" t="s">
        <v>1247</v>
      </c>
      <c r="S62" t="s">
        <v>1288</v>
      </c>
      <c r="T62" t="s">
        <v>163</v>
      </c>
      <c r="U62">
        <v>1</v>
      </c>
      <c r="V62">
        <v>423.73</v>
      </c>
      <c r="W62">
        <v>500</v>
      </c>
      <c r="X62">
        <v>0</v>
      </c>
      <c r="Y62">
        <v>423.73</v>
      </c>
      <c r="Z62">
        <v>18</v>
      </c>
      <c r="AA62">
        <v>76.27</v>
      </c>
      <c r="AB62">
        <v>500</v>
      </c>
      <c r="AC62">
        <v>1</v>
      </c>
      <c r="AE62" t="s">
        <v>239</v>
      </c>
      <c r="AF62" t="s">
        <v>29</v>
      </c>
      <c r="AG62">
        <v>2</v>
      </c>
      <c r="AH62" t="s">
        <v>25</v>
      </c>
      <c r="AI62">
        <v>1106</v>
      </c>
      <c r="AJ62" t="s">
        <v>246</v>
      </c>
      <c r="AK62" t="s">
        <v>170</v>
      </c>
      <c r="AL62">
        <v>3168</v>
      </c>
      <c r="AM62" t="s">
        <v>1321</v>
      </c>
      <c r="AN62" s="8">
        <v>45848</v>
      </c>
      <c r="AO62" s="8">
        <v>45848</v>
      </c>
      <c r="AQ62" t="s">
        <v>314</v>
      </c>
      <c r="AS62" t="str">
        <f t="shared" si="0"/>
        <v>(01) Factura FOF100000013</v>
      </c>
    </row>
    <row r="63" spans="1:45" ht="15" customHeight="1">
      <c r="A63" t="s">
        <v>1228</v>
      </c>
      <c r="B63" s="21" t="s">
        <v>199</v>
      </c>
      <c r="C63" t="s">
        <v>27</v>
      </c>
      <c r="D63" s="8">
        <v>45943</v>
      </c>
      <c r="E63" s="22">
        <v>45946.768252314818</v>
      </c>
      <c r="F63" t="s">
        <v>314</v>
      </c>
      <c r="H63">
        <v>6</v>
      </c>
      <c r="I63">
        <v>20509594903</v>
      </c>
      <c r="J63" t="s">
        <v>1323</v>
      </c>
      <c r="K63" s="8">
        <v>45943</v>
      </c>
      <c r="Q63">
        <v>1</v>
      </c>
      <c r="R63" s="21" t="s">
        <v>1223</v>
      </c>
      <c r="S63" t="s">
        <v>197</v>
      </c>
      <c r="T63" t="s">
        <v>163</v>
      </c>
      <c r="U63">
        <v>1</v>
      </c>
      <c r="V63">
        <v>1695.17</v>
      </c>
      <c r="W63">
        <v>2000.3</v>
      </c>
      <c r="X63">
        <v>0</v>
      </c>
      <c r="Y63">
        <v>1695.17</v>
      </c>
      <c r="Z63">
        <v>18</v>
      </c>
      <c r="AA63">
        <v>305.13</v>
      </c>
      <c r="AB63">
        <v>2000.3</v>
      </c>
      <c r="AC63">
        <v>1</v>
      </c>
      <c r="AE63" t="s">
        <v>239</v>
      </c>
      <c r="AF63" t="s">
        <v>29</v>
      </c>
      <c r="AG63">
        <v>2</v>
      </c>
      <c r="AH63" t="s">
        <v>25</v>
      </c>
      <c r="AI63">
        <v>1106</v>
      </c>
      <c r="AJ63" t="s">
        <v>246</v>
      </c>
      <c r="AK63" t="s">
        <v>170</v>
      </c>
      <c r="AL63">
        <v>3168</v>
      </c>
      <c r="AM63" t="s">
        <v>1321</v>
      </c>
      <c r="AN63" s="8">
        <v>45848</v>
      </c>
      <c r="AO63" s="8">
        <v>45848</v>
      </c>
      <c r="AQ63" t="s">
        <v>314</v>
      </c>
      <c r="AS63" t="str">
        <f t="shared" si="0"/>
        <v>(01) Factura FOF100000012</v>
      </c>
    </row>
    <row r="64" spans="1:45" ht="15" customHeight="1">
      <c r="A64" t="s">
        <v>1228</v>
      </c>
      <c r="B64" s="21" t="s">
        <v>196</v>
      </c>
      <c r="C64" t="s">
        <v>27</v>
      </c>
      <c r="D64" s="8">
        <v>45943</v>
      </c>
      <c r="E64" s="22">
        <v>45946.767974537041</v>
      </c>
      <c r="F64" t="s">
        <v>314</v>
      </c>
      <c r="H64">
        <v>6</v>
      </c>
      <c r="I64">
        <v>20509594903</v>
      </c>
      <c r="J64" t="s">
        <v>1324</v>
      </c>
      <c r="K64" s="8">
        <v>45943</v>
      </c>
      <c r="Q64">
        <v>1</v>
      </c>
      <c r="R64" s="21" t="s">
        <v>1226</v>
      </c>
      <c r="S64" t="s">
        <v>1227</v>
      </c>
      <c r="T64" t="s">
        <v>163</v>
      </c>
      <c r="U64">
        <v>1</v>
      </c>
      <c r="V64">
        <v>1163.56</v>
      </c>
      <c r="W64">
        <v>1373</v>
      </c>
      <c r="X64">
        <v>0</v>
      </c>
      <c r="Y64">
        <v>1163.56</v>
      </c>
      <c r="Z64">
        <v>18</v>
      </c>
      <c r="AA64">
        <v>209.44</v>
      </c>
      <c r="AB64">
        <v>1373</v>
      </c>
      <c r="AC64">
        <v>1</v>
      </c>
      <c r="AE64" t="s">
        <v>239</v>
      </c>
      <c r="AF64" t="s">
        <v>29</v>
      </c>
      <c r="AG64">
        <v>2</v>
      </c>
      <c r="AH64" t="s">
        <v>25</v>
      </c>
      <c r="AI64">
        <v>1106</v>
      </c>
      <c r="AJ64" t="s">
        <v>246</v>
      </c>
      <c r="AK64" t="s">
        <v>170</v>
      </c>
      <c r="AL64">
        <v>3168</v>
      </c>
      <c r="AM64" t="s">
        <v>1321</v>
      </c>
      <c r="AN64" s="8">
        <v>45848</v>
      </c>
      <c r="AO64" s="8">
        <v>45848</v>
      </c>
      <c r="AQ64" t="s">
        <v>314</v>
      </c>
      <c r="AS64" t="str">
        <f t="shared" si="0"/>
        <v>(01) Factura FOF100000011</v>
      </c>
    </row>
    <row r="65" spans="1:45" ht="15" customHeight="1">
      <c r="A65" t="s">
        <v>1228</v>
      </c>
      <c r="B65" s="21" t="s">
        <v>200</v>
      </c>
      <c r="C65" t="s">
        <v>27</v>
      </c>
      <c r="D65" s="8">
        <v>45943</v>
      </c>
      <c r="E65" s="22">
        <v>45946.765775462962</v>
      </c>
      <c r="F65" t="s">
        <v>366</v>
      </c>
      <c r="H65">
        <v>6</v>
      </c>
      <c r="I65">
        <v>20613294814</v>
      </c>
      <c r="J65" t="s">
        <v>1325</v>
      </c>
      <c r="K65" s="8">
        <v>45943</v>
      </c>
      <c r="Q65">
        <v>1</v>
      </c>
      <c r="R65" s="21" t="s">
        <v>1223</v>
      </c>
      <c r="S65" t="s">
        <v>197</v>
      </c>
      <c r="T65" t="s">
        <v>163</v>
      </c>
      <c r="U65">
        <v>1</v>
      </c>
      <c r="V65">
        <v>375.53</v>
      </c>
      <c r="W65">
        <v>443.13</v>
      </c>
      <c r="X65">
        <v>0</v>
      </c>
      <c r="Y65">
        <v>375.53</v>
      </c>
      <c r="Z65">
        <v>18</v>
      </c>
      <c r="AA65">
        <v>67.599999999999994</v>
      </c>
      <c r="AB65">
        <v>443.13</v>
      </c>
      <c r="AC65">
        <v>1</v>
      </c>
      <c r="AE65" t="s">
        <v>239</v>
      </c>
      <c r="AF65" t="s">
        <v>29</v>
      </c>
      <c r="AG65">
        <v>2</v>
      </c>
      <c r="AH65" t="s">
        <v>25</v>
      </c>
      <c r="AI65">
        <v>1106</v>
      </c>
      <c r="AJ65" t="s">
        <v>246</v>
      </c>
      <c r="AK65" t="s">
        <v>170</v>
      </c>
      <c r="AL65">
        <v>3147</v>
      </c>
      <c r="AM65" t="s">
        <v>1326</v>
      </c>
      <c r="AN65" s="8">
        <v>45879</v>
      </c>
      <c r="AO65" s="8">
        <v>45879</v>
      </c>
      <c r="AQ65" t="s">
        <v>366</v>
      </c>
      <c r="AS65" t="str">
        <f t="shared" si="0"/>
        <v>(01) Factura FOF100000010</v>
      </c>
    </row>
    <row r="66" spans="1:45" ht="15" customHeight="1">
      <c r="A66" t="s">
        <v>1228</v>
      </c>
      <c r="B66" s="21" t="s">
        <v>201</v>
      </c>
      <c r="C66" t="s">
        <v>27</v>
      </c>
      <c r="D66" s="8">
        <v>45943</v>
      </c>
      <c r="E66" s="22">
        <v>45946.765555555554</v>
      </c>
      <c r="F66" t="s">
        <v>366</v>
      </c>
      <c r="H66">
        <v>6</v>
      </c>
      <c r="I66">
        <v>20613294814</v>
      </c>
      <c r="J66" t="s">
        <v>1327</v>
      </c>
      <c r="K66" s="8">
        <v>45943</v>
      </c>
      <c r="Q66">
        <v>1</v>
      </c>
      <c r="R66" s="21" t="s">
        <v>1226</v>
      </c>
      <c r="S66" t="s">
        <v>1227</v>
      </c>
      <c r="T66" t="s">
        <v>163</v>
      </c>
      <c r="U66">
        <v>1</v>
      </c>
      <c r="V66">
        <v>268.52999999999997</v>
      </c>
      <c r="W66">
        <v>316.87</v>
      </c>
      <c r="X66">
        <v>0</v>
      </c>
      <c r="Y66">
        <v>268.52999999999997</v>
      </c>
      <c r="Z66">
        <v>18</v>
      </c>
      <c r="AA66">
        <v>48.34</v>
      </c>
      <c r="AB66">
        <v>316.87</v>
      </c>
      <c r="AC66">
        <v>1</v>
      </c>
      <c r="AE66" t="s">
        <v>239</v>
      </c>
      <c r="AF66" t="s">
        <v>29</v>
      </c>
      <c r="AG66">
        <v>2</v>
      </c>
      <c r="AH66" t="s">
        <v>25</v>
      </c>
      <c r="AI66">
        <v>1106</v>
      </c>
      <c r="AJ66" t="s">
        <v>246</v>
      </c>
      <c r="AK66" t="s">
        <v>170</v>
      </c>
      <c r="AL66">
        <v>3147</v>
      </c>
      <c r="AM66" t="s">
        <v>1326</v>
      </c>
      <c r="AN66" s="8">
        <v>45879</v>
      </c>
      <c r="AO66" s="8">
        <v>45879</v>
      </c>
      <c r="AQ66" t="s">
        <v>366</v>
      </c>
      <c r="AS66" t="str">
        <f t="shared" si="0"/>
        <v>(01) Factura FOF100000009</v>
      </c>
    </row>
    <row r="67" spans="1:45" ht="15" customHeight="1">
      <c r="A67" t="s">
        <v>1228</v>
      </c>
      <c r="B67" s="21" t="s">
        <v>202</v>
      </c>
      <c r="C67" t="s">
        <v>27</v>
      </c>
      <c r="D67" s="8">
        <v>45943</v>
      </c>
      <c r="E67" s="22">
        <v>45946.755393518521</v>
      </c>
      <c r="F67" t="s">
        <v>314</v>
      </c>
      <c r="H67">
        <v>6</v>
      </c>
      <c r="I67">
        <v>20509594903</v>
      </c>
      <c r="J67" t="s">
        <v>1328</v>
      </c>
      <c r="K67" s="8">
        <v>45943</v>
      </c>
      <c r="Q67">
        <v>1</v>
      </c>
      <c r="R67" s="21" t="s">
        <v>1223</v>
      </c>
      <c r="S67" t="s">
        <v>197</v>
      </c>
      <c r="T67" t="s">
        <v>163</v>
      </c>
      <c r="U67">
        <v>1</v>
      </c>
      <c r="V67">
        <v>708.9</v>
      </c>
      <c r="W67">
        <v>836.5</v>
      </c>
      <c r="X67">
        <v>0</v>
      </c>
      <c r="Y67">
        <v>708.9</v>
      </c>
      <c r="Z67">
        <v>18</v>
      </c>
      <c r="AA67">
        <v>127.6</v>
      </c>
      <c r="AB67">
        <v>836.5</v>
      </c>
      <c r="AC67">
        <v>1</v>
      </c>
      <c r="AE67" t="s">
        <v>239</v>
      </c>
      <c r="AF67" t="s">
        <v>29</v>
      </c>
      <c r="AG67">
        <v>2</v>
      </c>
      <c r="AH67" t="s">
        <v>25</v>
      </c>
      <c r="AI67">
        <v>1106</v>
      </c>
      <c r="AJ67" t="s">
        <v>246</v>
      </c>
      <c r="AK67" t="s">
        <v>170</v>
      </c>
      <c r="AL67">
        <v>3190</v>
      </c>
      <c r="AM67" t="s">
        <v>369</v>
      </c>
      <c r="AN67" s="8">
        <v>45879</v>
      </c>
      <c r="AO67" s="8">
        <v>45879</v>
      </c>
      <c r="AQ67" t="s">
        <v>314</v>
      </c>
      <c r="AS67" t="str">
        <f t="shared" ref="AS67:AS84" si="1">+CONCATENATE(A67,B67)</f>
        <v>(01) Factura FOF100000008</v>
      </c>
    </row>
    <row r="68" spans="1:45" ht="15" customHeight="1">
      <c r="A68" t="s">
        <v>1228</v>
      </c>
      <c r="B68" s="21" t="s">
        <v>204</v>
      </c>
      <c r="C68" t="s">
        <v>27</v>
      </c>
      <c r="D68" s="8">
        <v>45943</v>
      </c>
      <c r="E68" s="22">
        <v>45946.481770833336</v>
      </c>
      <c r="F68" t="s">
        <v>314</v>
      </c>
      <c r="H68">
        <v>6</v>
      </c>
      <c r="I68">
        <v>20509594903</v>
      </c>
      <c r="J68" t="s">
        <v>1329</v>
      </c>
      <c r="K68" s="8">
        <v>45943</v>
      </c>
      <c r="Q68">
        <v>1</v>
      </c>
      <c r="R68" s="21" t="s">
        <v>1226</v>
      </c>
      <c r="S68" t="s">
        <v>1227</v>
      </c>
      <c r="T68" t="s">
        <v>163</v>
      </c>
      <c r="U68">
        <v>1</v>
      </c>
      <c r="V68">
        <v>488.81</v>
      </c>
      <c r="W68">
        <v>576.79999999999995</v>
      </c>
      <c r="X68">
        <v>0</v>
      </c>
      <c r="Y68">
        <v>488.81</v>
      </c>
      <c r="Z68">
        <v>18</v>
      </c>
      <c r="AA68">
        <v>87.99</v>
      </c>
      <c r="AB68">
        <v>576.79999999999995</v>
      </c>
      <c r="AC68">
        <v>1</v>
      </c>
      <c r="AE68" t="s">
        <v>239</v>
      </c>
      <c r="AF68" t="s">
        <v>29</v>
      </c>
      <c r="AG68">
        <v>2</v>
      </c>
      <c r="AH68" t="s">
        <v>25</v>
      </c>
      <c r="AI68">
        <v>1106</v>
      </c>
      <c r="AJ68" t="s">
        <v>246</v>
      </c>
      <c r="AK68" t="s">
        <v>170</v>
      </c>
      <c r="AL68">
        <v>3190</v>
      </c>
      <c r="AM68" t="s">
        <v>369</v>
      </c>
      <c r="AN68" s="8">
        <v>45879</v>
      </c>
      <c r="AO68" s="8">
        <v>45879</v>
      </c>
      <c r="AQ68" t="s">
        <v>314</v>
      </c>
      <c r="AS68" t="str">
        <f t="shared" si="1"/>
        <v>(01) Factura FOF100000006</v>
      </c>
    </row>
    <row r="69" spans="1:45" ht="15" customHeight="1">
      <c r="A69" t="s">
        <v>1221</v>
      </c>
      <c r="B69" s="21" t="s">
        <v>206</v>
      </c>
      <c r="C69" t="s">
        <v>27</v>
      </c>
      <c r="D69" s="8">
        <v>45941</v>
      </c>
      <c r="E69" s="22">
        <v>45946.433368055557</v>
      </c>
      <c r="F69" t="s">
        <v>373</v>
      </c>
      <c r="H69">
        <v>1</v>
      </c>
      <c r="I69">
        <v>46377925</v>
      </c>
      <c r="J69" t="s">
        <v>1330</v>
      </c>
      <c r="K69" s="8">
        <v>45941</v>
      </c>
      <c r="Q69">
        <v>1</v>
      </c>
      <c r="R69" s="21" t="s">
        <v>1223</v>
      </c>
      <c r="S69" t="s">
        <v>197</v>
      </c>
      <c r="T69" t="s">
        <v>163</v>
      </c>
      <c r="U69">
        <v>1</v>
      </c>
      <c r="V69">
        <v>79.75</v>
      </c>
      <c r="W69">
        <v>94.11</v>
      </c>
      <c r="X69">
        <v>0</v>
      </c>
      <c r="Y69">
        <v>79.75</v>
      </c>
      <c r="Z69">
        <v>18.010000000000002</v>
      </c>
      <c r="AA69">
        <v>14.36</v>
      </c>
      <c r="AB69">
        <v>94.11</v>
      </c>
      <c r="AC69">
        <v>1</v>
      </c>
      <c r="AE69" t="s">
        <v>239</v>
      </c>
      <c r="AF69" t="s">
        <v>29</v>
      </c>
      <c r="AG69">
        <v>2</v>
      </c>
      <c r="AH69" t="s">
        <v>25</v>
      </c>
      <c r="AI69">
        <v>1106</v>
      </c>
      <c r="AJ69" t="s">
        <v>246</v>
      </c>
      <c r="AK69" t="s">
        <v>170</v>
      </c>
      <c r="AL69">
        <v>3149</v>
      </c>
      <c r="AM69" t="s">
        <v>1331</v>
      </c>
      <c r="AN69" s="8">
        <v>45757</v>
      </c>
      <c r="AO69" s="8">
        <v>45757</v>
      </c>
      <c r="AQ69" t="s">
        <v>373</v>
      </c>
      <c r="AS69" t="str">
        <f t="shared" si="1"/>
        <v>(03) Boleta BOB100000003</v>
      </c>
    </row>
    <row r="70" spans="1:45" ht="15" customHeight="1">
      <c r="A70" t="s">
        <v>1221</v>
      </c>
      <c r="B70" s="21" t="s">
        <v>207</v>
      </c>
      <c r="C70" t="s">
        <v>27</v>
      </c>
      <c r="D70" s="8">
        <v>45940</v>
      </c>
      <c r="E70" s="22">
        <v>45946.72996527778</v>
      </c>
      <c r="F70" t="s">
        <v>373</v>
      </c>
      <c r="H70">
        <v>1</v>
      </c>
      <c r="I70">
        <v>46377925</v>
      </c>
      <c r="J70" t="s">
        <v>1332</v>
      </c>
      <c r="K70" s="8">
        <v>45940</v>
      </c>
      <c r="Q70">
        <v>1</v>
      </c>
      <c r="R70" s="21" t="s">
        <v>1226</v>
      </c>
      <c r="S70" t="s">
        <v>1227</v>
      </c>
      <c r="T70" t="s">
        <v>163</v>
      </c>
      <c r="U70">
        <v>1</v>
      </c>
      <c r="V70">
        <v>73.47</v>
      </c>
      <c r="W70">
        <v>86.69</v>
      </c>
      <c r="X70">
        <v>0</v>
      </c>
      <c r="Y70">
        <v>73.47</v>
      </c>
      <c r="Z70">
        <v>17.989999999999998</v>
      </c>
      <c r="AA70">
        <v>13.22</v>
      </c>
      <c r="AB70">
        <v>86.69</v>
      </c>
      <c r="AC70">
        <v>1</v>
      </c>
      <c r="AE70" t="s">
        <v>239</v>
      </c>
      <c r="AF70" t="s">
        <v>29</v>
      </c>
      <c r="AG70">
        <v>2</v>
      </c>
      <c r="AH70" t="s">
        <v>25</v>
      </c>
      <c r="AI70">
        <v>1106</v>
      </c>
      <c r="AJ70" t="s">
        <v>246</v>
      </c>
      <c r="AK70" t="s">
        <v>170</v>
      </c>
      <c r="AL70">
        <v>3149</v>
      </c>
      <c r="AM70" t="s">
        <v>1331</v>
      </c>
      <c r="AN70" s="8">
        <v>45757</v>
      </c>
      <c r="AO70" s="8">
        <v>45757</v>
      </c>
      <c r="AQ70" t="s">
        <v>373</v>
      </c>
      <c r="AS70" t="str">
        <f t="shared" si="1"/>
        <v>(03) Boleta BOB100000002</v>
      </c>
    </row>
    <row r="71" spans="1:45" ht="15" customHeight="1">
      <c r="A71" t="s">
        <v>1228</v>
      </c>
      <c r="B71" s="21" t="s">
        <v>205</v>
      </c>
      <c r="C71" t="s">
        <v>27</v>
      </c>
      <c r="D71" s="8">
        <v>45940</v>
      </c>
      <c r="E71" s="22">
        <v>45946.658414351848</v>
      </c>
      <c r="F71" t="s">
        <v>34</v>
      </c>
      <c r="H71">
        <v>6</v>
      </c>
      <c r="I71">
        <v>20611018925</v>
      </c>
      <c r="J71" t="s">
        <v>1333</v>
      </c>
      <c r="K71" s="8">
        <v>45940</v>
      </c>
      <c r="Q71">
        <v>1</v>
      </c>
      <c r="R71" s="21" t="s">
        <v>1223</v>
      </c>
      <c r="S71" t="s">
        <v>197</v>
      </c>
      <c r="T71" t="s">
        <v>163</v>
      </c>
      <c r="U71">
        <v>1</v>
      </c>
      <c r="V71">
        <v>482.54</v>
      </c>
      <c r="W71">
        <v>569.4</v>
      </c>
      <c r="X71">
        <v>0</v>
      </c>
      <c r="Y71">
        <v>482.54</v>
      </c>
      <c r="Z71">
        <v>18</v>
      </c>
      <c r="AA71">
        <v>86.86</v>
      </c>
      <c r="AB71">
        <v>569.4</v>
      </c>
      <c r="AC71">
        <v>1</v>
      </c>
      <c r="AE71" t="s">
        <v>239</v>
      </c>
      <c r="AF71" t="s">
        <v>29</v>
      </c>
      <c r="AG71">
        <v>2</v>
      </c>
      <c r="AH71" t="s">
        <v>25</v>
      </c>
      <c r="AI71">
        <v>1106</v>
      </c>
      <c r="AJ71" t="s">
        <v>246</v>
      </c>
      <c r="AK71" t="s">
        <v>170</v>
      </c>
      <c r="AL71">
        <v>3157</v>
      </c>
      <c r="AM71" t="s">
        <v>1334</v>
      </c>
      <c r="AQ71" t="s">
        <v>34</v>
      </c>
      <c r="AS71" t="str">
        <f t="shared" si="1"/>
        <v>(01) Factura FOF100000004</v>
      </c>
    </row>
    <row r="72" spans="1:45" ht="15" customHeight="1">
      <c r="A72" t="s">
        <v>1228</v>
      </c>
      <c r="B72" s="21" t="s">
        <v>206</v>
      </c>
      <c r="C72" t="s">
        <v>27</v>
      </c>
      <c r="D72" s="8">
        <v>45939</v>
      </c>
      <c r="E72" s="22">
        <v>45946.74732638889</v>
      </c>
      <c r="F72" t="s">
        <v>34</v>
      </c>
      <c r="H72">
        <v>6</v>
      </c>
      <c r="I72">
        <v>20611018925</v>
      </c>
      <c r="J72" t="s">
        <v>1335</v>
      </c>
      <c r="K72" s="8">
        <v>45939</v>
      </c>
      <c r="Q72">
        <v>1</v>
      </c>
      <c r="R72" s="21" t="s">
        <v>1226</v>
      </c>
      <c r="S72" t="s">
        <v>1227</v>
      </c>
      <c r="T72" t="s">
        <v>163</v>
      </c>
      <c r="U72">
        <v>1</v>
      </c>
      <c r="V72">
        <v>317.5</v>
      </c>
      <c r="W72">
        <v>374.65</v>
      </c>
      <c r="X72">
        <v>0</v>
      </c>
      <c r="Y72">
        <v>317.5</v>
      </c>
      <c r="Z72">
        <v>18</v>
      </c>
      <c r="AA72">
        <v>57.15</v>
      </c>
      <c r="AB72">
        <v>374.65</v>
      </c>
      <c r="AC72">
        <v>1</v>
      </c>
      <c r="AE72" t="s">
        <v>239</v>
      </c>
      <c r="AF72" t="s">
        <v>29</v>
      </c>
      <c r="AG72">
        <v>2</v>
      </c>
      <c r="AH72" t="s">
        <v>25</v>
      </c>
      <c r="AI72">
        <v>1106</v>
      </c>
      <c r="AJ72" t="s">
        <v>246</v>
      </c>
      <c r="AK72" t="s">
        <v>170</v>
      </c>
      <c r="AL72">
        <v>3157</v>
      </c>
      <c r="AM72" t="s">
        <v>1334</v>
      </c>
      <c r="AQ72" t="s">
        <v>34</v>
      </c>
      <c r="AS72" t="str">
        <f t="shared" si="1"/>
        <v>(01) Factura FOF100000003</v>
      </c>
    </row>
    <row r="73" spans="1:45" ht="15" customHeight="1">
      <c r="A73" t="s">
        <v>1221</v>
      </c>
      <c r="B73" s="21" t="s">
        <v>216</v>
      </c>
      <c r="C73" t="s">
        <v>27</v>
      </c>
      <c r="D73" s="8">
        <v>45937</v>
      </c>
      <c r="E73" s="22">
        <v>45946.663726851853</v>
      </c>
      <c r="F73" t="s">
        <v>380</v>
      </c>
      <c r="H73">
        <v>1</v>
      </c>
      <c r="I73" s="21" t="s">
        <v>1336</v>
      </c>
      <c r="J73" t="s">
        <v>1337</v>
      </c>
      <c r="K73" s="8">
        <v>45937</v>
      </c>
      <c r="Q73">
        <v>1</v>
      </c>
      <c r="R73" s="21" t="s">
        <v>1226</v>
      </c>
      <c r="S73" t="s">
        <v>1227</v>
      </c>
      <c r="T73" t="s">
        <v>163</v>
      </c>
      <c r="U73">
        <v>1</v>
      </c>
      <c r="V73">
        <v>4123.66</v>
      </c>
      <c r="W73">
        <v>4865.92</v>
      </c>
      <c r="X73">
        <v>0</v>
      </c>
      <c r="Y73">
        <v>4123.66</v>
      </c>
      <c r="Z73">
        <v>18</v>
      </c>
      <c r="AA73">
        <v>742.26</v>
      </c>
      <c r="AB73">
        <v>4865.92</v>
      </c>
      <c r="AC73">
        <v>1</v>
      </c>
      <c r="AE73" t="s">
        <v>239</v>
      </c>
      <c r="AF73" t="s">
        <v>29</v>
      </c>
      <c r="AG73">
        <v>2</v>
      </c>
      <c r="AH73" t="s">
        <v>25</v>
      </c>
      <c r="AI73">
        <v>1106</v>
      </c>
      <c r="AJ73" t="s">
        <v>246</v>
      </c>
      <c r="AK73" t="s">
        <v>170</v>
      </c>
      <c r="AL73">
        <v>3185</v>
      </c>
      <c r="AM73" t="s">
        <v>1338</v>
      </c>
      <c r="AN73" s="8">
        <v>45787</v>
      </c>
      <c r="AO73" s="8">
        <v>45787</v>
      </c>
      <c r="AQ73" t="s">
        <v>380</v>
      </c>
      <c r="AS73" t="str">
        <f t="shared" si="1"/>
        <v>(03) Boleta BOB100000001</v>
      </c>
    </row>
    <row r="74" spans="1:45" ht="15" customHeight="1">
      <c r="A74" t="s">
        <v>1228</v>
      </c>
      <c r="B74" s="21" t="s">
        <v>207</v>
      </c>
      <c r="C74" t="s">
        <v>27</v>
      </c>
      <c r="D74" s="8">
        <v>45937</v>
      </c>
      <c r="E74" s="22">
        <v>45946.645543981482</v>
      </c>
      <c r="F74" t="s">
        <v>349</v>
      </c>
      <c r="H74">
        <v>6</v>
      </c>
      <c r="I74">
        <v>20480413700</v>
      </c>
      <c r="J74" t="s">
        <v>1339</v>
      </c>
      <c r="K74" s="8">
        <v>45937</v>
      </c>
      <c r="Q74">
        <v>1</v>
      </c>
      <c r="R74" s="21" t="s">
        <v>1226</v>
      </c>
      <c r="S74" t="s">
        <v>168</v>
      </c>
      <c r="T74" t="s">
        <v>163</v>
      </c>
      <c r="U74">
        <v>1</v>
      </c>
      <c r="V74">
        <v>5603.9</v>
      </c>
      <c r="W74">
        <v>6612.6</v>
      </c>
      <c r="X74">
        <v>0</v>
      </c>
      <c r="Y74">
        <v>5603.9</v>
      </c>
      <c r="Z74">
        <v>18</v>
      </c>
      <c r="AA74">
        <v>1008.7</v>
      </c>
      <c r="AB74">
        <v>6612.6</v>
      </c>
      <c r="AC74">
        <v>1</v>
      </c>
      <c r="AE74" t="s">
        <v>239</v>
      </c>
      <c r="AF74" t="s">
        <v>29</v>
      </c>
      <c r="AG74">
        <v>2</v>
      </c>
      <c r="AH74" t="s">
        <v>25</v>
      </c>
      <c r="AI74">
        <v>1106</v>
      </c>
      <c r="AJ74" t="s">
        <v>246</v>
      </c>
      <c r="AK74" t="s">
        <v>170</v>
      </c>
      <c r="AL74">
        <v>3065</v>
      </c>
      <c r="AM74" t="s">
        <v>1305</v>
      </c>
      <c r="AQ74" t="s">
        <v>349</v>
      </c>
      <c r="AS74" t="str">
        <f t="shared" si="1"/>
        <v>(01) Factura FOF100000002</v>
      </c>
    </row>
    <row r="75" spans="1:45" ht="15" customHeight="1">
      <c r="A75" t="s">
        <v>217</v>
      </c>
      <c r="B75">
        <v>221</v>
      </c>
      <c r="C75" t="s">
        <v>27</v>
      </c>
      <c r="D75" s="8">
        <v>45698</v>
      </c>
      <c r="E75" s="22">
        <v>45946</v>
      </c>
      <c r="F75" t="s">
        <v>383</v>
      </c>
      <c r="H75">
        <v>6</v>
      </c>
      <c r="I75">
        <v>20611066971</v>
      </c>
      <c r="J75" t="s">
        <v>1340</v>
      </c>
      <c r="K75" s="8">
        <v>45698</v>
      </c>
      <c r="Q75">
        <v>1</v>
      </c>
      <c r="R75">
        <v>985</v>
      </c>
      <c r="S75" t="s">
        <v>1341</v>
      </c>
      <c r="T75" t="s">
        <v>219</v>
      </c>
      <c r="U75">
        <v>1</v>
      </c>
      <c r="V75">
        <v>1230</v>
      </c>
      <c r="W75">
        <v>1451.4</v>
      </c>
      <c r="X75">
        <v>0</v>
      </c>
      <c r="Y75">
        <v>1230</v>
      </c>
      <c r="Z75">
        <v>18</v>
      </c>
      <c r="AA75">
        <v>221.4</v>
      </c>
      <c r="AB75">
        <v>1451.4</v>
      </c>
      <c r="AC75">
        <v>1</v>
      </c>
      <c r="AE75" t="s">
        <v>239</v>
      </c>
      <c r="AF75" t="s">
        <v>29</v>
      </c>
      <c r="AG75">
        <v>2</v>
      </c>
      <c r="AH75" t="s">
        <v>25</v>
      </c>
      <c r="AI75">
        <v>1106</v>
      </c>
      <c r="AJ75" t="s">
        <v>246</v>
      </c>
      <c r="AK75" t="s">
        <v>1342</v>
      </c>
      <c r="AQ75" t="s">
        <v>383</v>
      </c>
      <c r="AS75" t="str">
        <f t="shared" si="1"/>
        <v>FFF1221</v>
      </c>
    </row>
    <row r="76" spans="1:45" ht="15" customHeight="1">
      <c r="A76" t="s">
        <v>217</v>
      </c>
      <c r="B76">
        <v>220</v>
      </c>
      <c r="C76" t="s">
        <v>27</v>
      </c>
      <c r="D76" s="8">
        <v>45698</v>
      </c>
      <c r="E76" s="22">
        <v>45946</v>
      </c>
      <c r="F76" t="s">
        <v>34</v>
      </c>
      <c r="H76">
        <v>6</v>
      </c>
      <c r="I76">
        <v>20611018925</v>
      </c>
      <c r="J76" t="s">
        <v>1343</v>
      </c>
      <c r="K76" s="8">
        <v>45698</v>
      </c>
      <c r="Q76">
        <v>1</v>
      </c>
      <c r="R76">
        <v>984</v>
      </c>
      <c r="S76" t="s">
        <v>218</v>
      </c>
      <c r="T76" t="s">
        <v>219</v>
      </c>
      <c r="U76">
        <v>1</v>
      </c>
      <c r="V76">
        <v>1241</v>
      </c>
      <c r="W76">
        <v>1464.38</v>
      </c>
      <c r="X76">
        <v>0</v>
      </c>
      <c r="Y76">
        <v>1241</v>
      </c>
      <c r="Z76">
        <v>18</v>
      </c>
      <c r="AA76">
        <v>223.38</v>
      </c>
      <c r="AB76">
        <v>1464.38</v>
      </c>
      <c r="AC76">
        <v>1</v>
      </c>
      <c r="AE76" t="s">
        <v>239</v>
      </c>
      <c r="AF76" t="s">
        <v>29</v>
      </c>
      <c r="AG76">
        <v>2</v>
      </c>
      <c r="AH76" t="s">
        <v>25</v>
      </c>
      <c r="AI76">
        <v>1106</v>
      </c>
      <c r="AJ76" t="s">
        <v>246</v>
      </c>
      <c r="AK76" t="s">
        <v>1342</v>
      </c>
      <c r="AQ76" t="s">
        <v>34</v>
      </c>
      <c r="AS76" t="str">
        <f t="shared" si="1"/>
        <v>FFF1220</v>
      </c>
    </row>
    <row r="77" spans="1:45" ht="15" customHeight="1">
      <c r="A77" t="s">
        <v>217</v>
      </c>
      <c r="B77">
        <v>219</v>
      </c>
      <c r="C77" t="s">
        <v>27</v>
      </c>
      <c r="D77" s="8">
        <v>45698</v>
      </c>
      <c r="E77" s="22">
        <v>45946</v>
      </c>
      <c r="F77" t="s">
        <v>35</v>
      </c>
      <c r="H77">
        <v>6</v>
      </c>
      <c r="I77">
        <v>10198893710</v>
      </c>
      <c r="J77" t="s">
        <v>1344</v>
      </c>
      <c r="K77" s="8">
        <v>45698</v>
      </c>
      <c r="Q77">
        <v>1</v>
      </c>
      <c r="R77">
        <v>983</v>
      </c>
      <c r="S77" t="s">
        <v>220</v>
      </c>
      <c r="T77" t="s">
        <v>219</v>
      </c>
      <c r="U77">
        <v>1</v>
      </c>
      <c r="V77">
        <v>400</v>
      </c>
      <c r="W77">
        <v>472</v>
      </c>
      <c r="X77">
        <v>0</v>
      </c>
      <c r="Y77">
        <v>400</v>
      </c>
      <c r="Z77">
        <v>18</v>
      </c>
      <c r="AA77">
        <v>72</v>
      </c>
      <c r="AB77">
        <v>472</v>
      </c>
      <c r="AC77">
        <v>1</v>
      </c>
      <c r="AE77" t="s">
        <v>239</v>
      </c>
      <c r="AF77" t="s">
        <v>29</v>
      </c>
      <c r="AG77">
        <v>2</v>
      </c>
      <c r="AH77" t="s">
        <v>25</v>
      </c>
      <c r="AI77">
        <v>1106</v>
      </c>
      <c r="AJ77" t="s">
        <v>246</v>
      </c>
      <c r="AK77" t="s">
        <v>1342</v>
      </c>
      <c r="AQ77" t="s">
        <v>35</v>
      </c>
      <c r="AS77" t="str">
        <f t="shared" si="1"/>
        <v>FFF1219</v>
      </c>
    </row>
    <row r="78" spans="1:45" ht="15" customHeight="1">
      <c r="A78" t="s">
        <v>221</v>
      </c>
      <c r="B78">
        <v>1420</v>
      </c>
      <c r="C78" t="s">
        <v>27</v>
      </c>
      <c r="D78" s="8">
        <v>45695</v>
      </c>
      <c r="E78" s="22">
        <v>45946</v>
      </c>
      <c r="F78" t="s">
        <v>36</v>
      </c>
      <c r="H78">
        <v>6</v>
      </c>
      <c r="I78">
        <v>10755725086</v>
      </c>
      <c r="J78" t="s">
        <v>1345</v>
      </c>
      <c r="K78" s="8">
        <v>45695</v>
      </c>
      <c r="Q78">
        <v>1</v>
      </c>
      <c r="R78">
        <v>982</v>
      </c>
      <c r="S78" t="s">
        <v>222</v>
      </c>
      <c r="T78" t="s">
        <v>219</v>
      </c>
      <c r="U78">
        <v>1</v>
      </c>
      <c r="V78">
        <v>107.37</v>
      </c>
      <c r="W78">
        <v>126.7</v>
      </c>
      <c r="X78">
        <v>0</v>
      </c>
      <c r="Y78">
        <v>107.37</v>
      </c>
      <c r="Z78">
        <v>18</v>
      </c>
      <c r="AA78">
        <v>19.329999999999998</v>
      </c>
      <c r="AB78">
        <v>126.7</v>
      </c>
      <c r="AC78">
        <v>1</v>
      </c>
      <c r="AE78" t="s">
        <v>239</v>
      </c>
      <c r="AF78" t="s">
        <v>29</v>
      </c>
      <c r="AG78">
        <v>2</v>
      </c>
      <c r="AH78" t="s">
        <v>25</v>
      </c>
      <c r="AI78">
        <v>1106</v>
      </c>
      <c r="AJ78" t="s">
        <v>246</v>
      </c>
      <c r="AK78" t="s">
        <v>1346</v>
      </c>
      <c r="AQ78" t="s">
        <v>36</v>
      </c>
      <c r="AS78" t="str">
        <f t="shared" si="1"/>
        <v>FB011420</v>
      </c>
    </row>
    <row r="79" spans="1:45" ht="15" customHeight="1">
      <c r="A79" t="s">
        <v>221</v>
      </c>
      <c r="B79">
        <v>1419</v>
      </c>
      <c r="C79" t="s">
        <v>27</v>
      </c>
      <c r="D79" s="8">
        <v>45695</v>
      </c>
      <c r="E79" s="22">
        <v>45946</v>
      </c>
      <c r="F79" t="s">
        <v>36</v>
      </c>
      <c r="H79">
        <v>6</v>
      </c>
      <c r="I79">
        <v>10755725086</v>
      </c>
      <c r="J79" t="s">
        <v>1347</v>
      </c>
      <c r="K79" s="8">
        <v>45695</v>
      </c>
      <c r="Q79">
        <v>1</v>
      </c>
      <c r="R79">
        <v>877</v>
      </c>
      <c r="S79" t="s">
        <v>197</v>
      </c>
      <c r="T79" t="s">
        <v>219</v>
      </c>
      <c r="U79">
        <v>1</v>
      </c>
      <c r="V79">
        <v>30.68</v>
      </c>
      <c r="W79">
        <v>36.200000000000003</v>
      </c>
      <c r="X79">
        <v>0</v>
      </c>
      <c r="Y79">
        <v>30.68</v>
      </c>
      <c r="Z79">
        <v>17.989999999999998</v>
      </c>
      <c r="AA79">
        <v>5.52</v>
      </c>
      <c r="AB79">
        <v>36.200000000000003</v>
      </c>
      <c r="AC79">
        <v>1</v>
      </c>
      <c r="AE79" t="s">
        <v>239</v>
      </c>
      <c r="AF79" t="s">
        <v>29</v>
      </c>
      <c r="AG79">
        <v>2</v>
      </c>
      <c r="AH79" t="s">
        <v>25</v>
      </c>
      <c r="AI79">
        <v>1106</v>
      </c>
      <c r="AJ79" t="s">
        <v>246</v>
      </c>
      <c r="AK79" t="s">
        <v>1346</v>
      </c>
      <c r="AQ79" t="s">
        <v>36</v>
      </c>
      <c r="AS79" t="str">
        <f t="shared" si="1"/>
        <v>FB011419</v>
      </c>
    </row>
    <row r="80" spans="1:45" ht="15" customHeight="1">
      <c r="A80" t="s">
        <v>221</v>
      </c>
      <c r="B80">
        <v>1418</v>
      </c>
      <c r="C80" t="s">
        <v>27</v>
      </c>
      <c r="D80" s="8">
        <v>45695</v>
      </c>
      <c r="E80" s="22">
        <v>45946</v>
      </c>
      <c r="F80" t="s">
        <v>36</v>
      </c>
      <c r="H80">
        <v>6</v>
      </c>
      <c r="I80">
        <v>10755725086</v>
      </c>
      <c r="J80" t="s">
        <v>1348</v>
      </c>
      <c r="K80" s="8">
        <v>45695</v>
      </c>
      <c r="Q80">
        <v>1</v>
      </c>
      <c r="R80">
        <v>870</v>
      </c>
      <c r="S80" t="s">
        <v>1227</v>
      </c>
      <c r="T80" t="s">
        <v>219</v>
      </c>
      <c r="U80">
        <v>1</v>
      </c>
      <c r="V80">
        <v>20.190000000000001</v>
      </c>
      <c r="W80">
        <v>23.83</v>
      </c>
      <c r="X80">
        <v>0</v>
      </c>
      <c r="Y80">
        <v>20.190000000000001</v>
      </c>
      <c r="Z80">
        <v>18.03</v>
      </c>
      <c r="AA80">
        <v>3.64</v>
      </c>
      <c r="AB80">
        <v>23.83</v>
      </c>
      <c r="AC80">
        <v>1</v>
      </c>
      <c r="AE80" t="s">
        <v>239</v>
      </c>
      <c r="AF80" t="s">
        <v>29</v>
      </c>
      <c r="AG80">
        <v>2</v>
      </c>
      <c r="AH80" t="s">
        <v>25</v>
      </c>
      <c r="AI80">
        <v>1106</v>
      </c>
      <c r="AJ80" t="s">
        <v>246</v>
      </c>
      <c r="AK80" t="s">
        <v>1346</v>
      </c>
      <c r="AQ80" t="s">
        <v>36</v>
      </c>
      <c r="AS80" t="str">
        <f t="shared" si="1"/>
        <v>FB011418</v>
      </c>
    </row>
    <row r="81" spans="1:45" ht="15" customHeight="1">
      <c r="A81" t="s">
        <v>1349</v>
      </c>
      <c r="B81">
        <v>755</v>
      </c>
      <c r="C81" t="s">
        <v>27</v>
      </c>
      <c r="D81" s="8">
        <v>45695</v>
      </c>
      <c r="E81" s="22">
        <v>45946</v>
      </c>
      <c r="F81" t="s">
        <v>1350</v>
      </c>
      <c r="H81">
        <v>1</v>
      </c>
      <c r="I81">
        <v>72431289</v>
      </c>
      <c r="J81" t="s">
        <v>1351</v>
      </c>
      <c r="K81" s="8">
        <v>45695</v>
      </c>
      <c r="Q81">
        <v>1</v>
      </c>
      <c r="R81">
        <v>877</v>
      </c>
      <c r="S81" t="s">
        <v>197</v>
      </c>
      <c r="T81" t="s">
        <v>219</v>
      </c>
      <c r="U81">
        <v>1</v>
      </c>
      <c r="V81">
        <v>50.85</v>
      </c>
      <c r="W81">
        <v>60</v>
      </c>
      <c r="X81">
        <v>0</v>
      </c>
      <c r="Y81">
        <v>50.85</v>
      </c>
      <c r="Z81">
        <v>17.989999999999998</v>
      </c>
      <c r="AA81">
        <v>9.15</v>
      </c>
      <c r="AB81">
        <v>60</v>
      </c>
      <c r="AC81">
        <v>1</v>
      </c>
      <c r="AE81" t="s">
        <v>239</v>
      </c>
      <c r="AF81" t="s">
        <v>29</v>
      </c>
      <c r="AG81">
        <v>2</v>
      </c>
      <c r="AH81" t="s">
        <v>25</v>
      </c>
      <c r="AI81">
        <v>1106</v>
      </c>
      <c r="AJ81" t="s">
        <v>246</v>
      </c>
      <c r="AK81" t="s">
        <v>1346</v>
      </c>
      <c r="AQ81" t="s">
        <v>1350</v>
      </c>
      <c r="AS81" t="str">
        <f t="shared" si="1"/>
        <v>BB01755</v>
      </c>
    </row>
    <row r="82" spans="1:45" ht="15" customHeight="1">
      <c r="A82" t="s">
        <v>1349</v>
      </c>
      <c r="B82">
        <v>754</v>
      </c>
      <c r="C82" t="s">
        <v>27</v>
      </c>
      <c r="D82" s="8">
        <v>45695</v>
      </c>
      <c r="E82" s="22">
        <v>45946</v>
      </c>
      <c r="F82" t="s">
        <v>1350</v>
      </c>
      <c r="H82">
        <v>1</v>
      </c>
      <c r="I82">
        <v>72431289</v>
      </c>
      <c r="J82" t="s">
        <v>1352</v>
      </c>
      <c r="K82" s="8">
        <v>45695</v>
      </c>
      <c r="Q82">
        <v>1</v>
      </c>
      <c r="R82">
        <v>870</v>
      </c>
      <c r="S82" t="s">
        <v>1227</v>
      </c>
      <c r="T82" t="s">
        <v>219</v>
      </c>
      <c r="U82">
        <v>1</v>
      </c>
      <c r="V82">
        <v>60</v>
      </c>
      <c r="W82">
        <v>70.8</v>
      </c>
      <c r="X82">
        <v>0</v>
      </c>
      <c r="Y82">
        <v>60</v>
      </c>
      <c r="Z82">
        <v>18</v>
      </c>
      <c r="AA82">
        <v>10.8</v>
      </c>
      <c r="AB82">
        <v>70.8</v>
      </c>
      <c r="AC82">
        <v>1</v>
      </c>
      <c r="AE82" t="s">
        <v>239</v>
      </c>
      <c r="AF82" t="s">
        <v>29</v>
      </c>
      <c r="AG82">
        <v>2</v>
      </c>
      <c r="AH82" t="s">
        <v>25</v>
      </c>
      <c r="AI82">
        <v>1106</v>
      </c>
      <c r="AJ82" t="s">
        <v>246</v>
      </c>
      <c r="AK82" t="s">
        <v>1346</v>
      </c>
      <c r="AQ82" t="s">
        <v>1350</v>
      </c>
      <c r="AS82" t="str">
        <f t="shared" si="1"/>
        <v>BB01754</v>
      </c>
    </row>
    <row r="83" spans="1:45" ht="15" customHeight="1">
      <c r="A83" t="s">
        <v>221</v>
      </c>
      <c r="B83">
        <v>1417</v>
      </c>
      <c r="C83" t="s">
        <v>27</v>
      </c>
      <c r="D83" s="8">
        <v>45693</v>
      </c>
      <c r="E83" s="22">
        <v>45946</v>
      </c>
      <c r="F83" t="s">
        <v>1353</v>
      </c>
      <c r="G83" t="s">
        <v>158</v>
      </c>
      <c r="H83">
        <v>6</v>
      </c>
      <c r="I83">
        <v>20602855733</v>
      </c>
      <c r="J83" t="s">
        <v>1354</v>
      </c>
      <c r="K83" s="8">
        <v>45693</v>
      </c>
      <c r="Q83">
        <v>1</v>
      </c>
      <c r="R83">
        <v>981</v>
      </c>
      <c r="S83" t="s">
        <v>1355</v>
      </c>
      <c r="T83" t="s">
        <v>219</v>
      </c>
      <c r="U83">
        <v>1</v>
      </c>
      <c r="V83">
        <v>12.75</v>
      </c>
      <c r="W83">
        <v>15.04</v>
      </c>
      <c r="X83">
        <v>0</v>
      </c>
      <c r="Y83">
        <v>12.75</v>
      </c>
      <c r="Z83">
        <v>17.96</v>
      </c>
      <c r="AA83">
        <v>2.29</v>
      </c>
      <c r="AB83">
        <v>15.04</v>
      </c>
      <c r="AC83">
        <v>1</v>
      </c>
      <c r="AE83" t="s">
        <v>239</v>
      </c>
      <c r="AF83" t="s">
        <v>29</v>
      </c>
      <c r="AG83">
        <v>2</v>
      </c>
      <c r="AH83" t="s">
        <v>25</v>
      </c>
      <c r="AI83">
        <v>1106</v>
      </c>
      <c r="AJ83" t="s">
        <v>246</v>
      </c>
      <c r="AK83" t="s">
        <v>1346</v>
      </c>
      <c r="AQ83" t="s">
        <v>1353</v>
      </c>
      <c r="AS83" t="str">
        <f t="shared" si="1"/>
        <v>FB011417</v>
      </c>
    </row>
    <row r="84" spans="1:45" ht="15" customHeight="1">
      <c r="A84" t="s">
        <v>221</v>
      </c>
      <c r="B84">
        <v>1416</v>
      </c>
      <c r="C84" t="s">
        <v>27</v>
      </c>
      <c r="D84" s="8">
        <v>45693</v>
      </c>
      <c r="E84" s="22">
        <v>45946</v>
      </c>
      <c r="F84" t="s">
        <v>1353</v>
      </c>
      <c r="G84" t="s">
        <v>158</v>
      </c>
      <c r="H84">
        <v>6</v>
      </c>
      <c r="I84">
        <v>20602855733</v>
      </c>
      <c r="J84" t="s">
        <v>1356</v>
      </c>
      <c r="K84" s="8">
        <v>45693</v>
      </c>
      <c r="Q84">
        <v>1</v>
      </c>
      <c r="R84">
        <v>877</v>
      </c>
      <c r="S84" t="s">
        <v>197</v>
      </c>
      <c r="T84" t="s">
        <v>219</v>
      </c>
      <c r="U84">
        <v>1</v>
      </c>
      <c r="V84">
        <v>392.2</v>
      </c>
      <c r="W84">
        <v>462.8</v>
      </c>
      <c r="X84">
        <v>0</v>
      </c>
      <c r="Y84">
        <v>392.2</v>
      </c>
      <c r="Z84">
        <v>18</v>
      </c>
      <c r="AA84">
        <v>70.599999999999994</v>
      </c>
      <c r="AB84">
        <v>462.8</v>
      </c>
      <c r="AC84">
        <v>1</v>
      </c>
      <c r="AE84" t="s">
        <v>239</v>
      </c>
      <c r="AF84" t="s">
        <v>29</v>
      </c>
      <c r="AG84">
        <v>2</v>
      </c>
      <c r="AH84" t="s">
        <v>25</v>
      </c>
      <c r="AI84">
        <v>1106</v>
      </c>
      <c r="AJ84" t="s">
        <v>246</v>
      </c>
      <c r="AK84" t="s">
        <v>1346</v>
      </c>
      <c r="AQ84" t="s">
        <v>1353</v>
      </c>
      <c r="AS84" t="str">
        <f t="shared" si="1"/>
        <v>FB011416</v>
      </c>
    </row>
    <row r="85" spans="1:45" ht="15" customHeight="1">
      <c r="A85" t="s">
        <v>221</v>
      </c>
      <c r="B85">
        <v>1415</v>
      </c>
      <c r="C85" t="s">
        <v>27</v>
      </c>
      <c r="D85" s="8">
        <v>45693</v>
      </c>
      <c r="E85" s="22">
        <v>45946</v>
      </c>
      <c r="F85" t="s">
        <v>1353</v>
      </c>
      <c r="G85" t="s">
        <v>158</v>
      </c>
      <c r="H85">
        <v>6</v>
      </c>
      <c r="I85">
        <v>20602855733</v>
      </c>
      <c r="J85" t="s">
        <v>1357</v>
      </c>
      <c r="K85" s="8">
        <v>45693</v>
      </c>
      <c r="Q85">
        <v>1</v>
      </c>
      <c r="R85">
        <v>870</v>
      </c>
      <c r="S85" t="s">
        <v>1227</v>
      </c>
      <c r="T85" t="s">
        <v>219</v>
      </c>
      <c r="U85">
        <v>1</v>
      </c>
      <c r="V85">
        <v>527.39</v>
      </c>
      <c r="W85">
        <v>622.32000000000005</v>
      </c>
      <c r="X85">
        <v>0</v>
      </c>
      <c r="Y85">
        <v>527.39</v>
      </c>
      <c r="Z85">
        <v>18</v>
      </c>
      <c r="AA85">
        <v>94.93</v>
      </c>
      <c r="AB85">
        <v>622.32000000000005</v>
      </c>
      <c r="AC85">
        <v>1</v>
      </c>
      <c r="AE85" t="s">
        <v>239</v>
      </c>
      <c r="AF85" t="s">
        <v>29</v>
      </c>
      <c r="AG85">
        <v>2</v>
      </c>
      <c r="AH85" t="s">
        <v>25</v>
      </c>
      <c r="AI85">
        <v>1106</v>
      </c>
      <c r="AJ85" t="s">
        <v>246</v>
      </c>
      <c r="AK85" t="s">
        <v>1346</v>
      </c>
      <c r="AQ85" t="s">
        <v>1353</v>
      </c>
      <c r="AS85" t="str">
        <f t="shared" ref="AS85:AS148" si="2">+CONCATENATE(A85,B85)</f>
        <v>FB011415</v>
      </c>
    </row>
    <row r="86" spans="1:45" ht="15" customHeight="1">
      <c r="A86" t="s">
        <v>1349</v>
      </c>
      <c r="B86">
        <v>753</v>
      </c>
      <c r="C86" t="s">
        <v>27</v>
      </c>
      <c r="D86" s="8">
        <v>45693</v>
      </c>
      <c r="E86" s="22">
        <v>45946</v>
      </c>
      <c r="F86" t="s">
        <v>526</v>
      </c>
      <c r="H86">
        <v>1</v>
      </c>
      <c r="I86">
        <v>19941551</v>
      </c>
      <c r="J86" t="s">
        <v>1358</v>
      </c>
      <c r="K86" s="8">
        <v>45693</v>
      </c>
      <c r="Q86">
        <v>1</v>
      </c>
      <c r="R86">
        <v>980</v>
      </c>
      <c r="S86" t="s">
        <v>1359</v>
      </c>
      <c r="T86" t="s">
        <v>219</v>
      </c>
      <c r="U86">
        <v>1</v>
      </c>
      <c r="V86">
        <v>980</v>
      </c>
      <c r="W86">
        <v>1156.4000000000001</v>
      </c>
      <c r="X86">
        <v>0</v>
      </c>
      <c r="Y86">
        <v>980</v>
      </c>
      <c r="Z86">
        <v>18</v>
      </c>
      <c r="AA86">
        <v>176.4</v>
      </c>
      <c r="AB86">
        <v>1156.4000000000001</v>
      </c>
      <c r="AC86">
        <v>1</v>
      </c>
      <c r="AE86" t="s">
        <v>239</v>
      </c>
      <c r="AF86" t="s">
        <v>29</v>
      </c>
      <c r="AG86">
        <v>2</v>
      </c>
      <c r="AH86" t="s">
        <v>25</v>
      </c>
      <c r="AI86">
        <v>1106</v>
      </c>
      <c r="AJ86" t="s">
        <v>246</v>
      </c>
      <c r="AK86" t="s">
        <v>1360</v>
      </c>
      <c r="AQ86" t="s">
        <v>526</v>
      </c>
      <c r="AS86" t="str">
        <f t="shared" si="2"/>
        <v>BB01753</v>
      </c>
    </row>
    <row r="87" spans="1:45" ht="15" customHeight="1">
      <c r="A87" t="s">
        <v>1349</v>
      </c>
      <c r="B87">
        <v>752</v>
      </c>
      <c r="C87" t="s">
        <v>27</v>
      </c>
      <c r="D87" s="8">
        <v>45693</v>
      </c>
      <c r="E87" s="22">
        <v>45946</v>
      </c>
      <c r="F87" t="s">
        <v>526</v>
      </c>
      <c r="H87">
        <v>1</v>
      </c>
      <c r="I87">
        <v>19941551</v>
      </c>
      <c r="J87" t="s">
        <v>1361</v>
      </c>
      <c r="K87" s="8">
        <v>45693</v>
      </c>
      <c r="Q87">
        <v>1</v>
      </c>
      <c r="R87">
        <v>940</v>
      </c>
      <c r="S87" t="s">
        <v>1362</v>
      </c>
      <c r="T87" t="s">
        <v>219</v>
      </c>
      <c r="U87">
        <v>1</v>
      </c>
      <c r="V87">
        <v>437.8</v>
      </c>
      <c r="W87">
        <v>516.6</v>
      </c>
      <c r="X87">
        <v>0</v>
      </c>
      <c r="Y87">
        <v>437.8</v>
      </c>
      <c r="Z87">
        <v>18</v>
      </c>
      <c r="AA87">
        <v>78.8</v>
      </c>
      <c r="AB87">
        <v>516.6</v>
      </c>
      <c r="AC87">
        <v>1</v>
      </c>
      <c r="AE87" t="s">
        <v>239</v>
      </c>
      <c r="AF87" t="s">
        <v>29</v>
      </c>
      <c r="AG87">
        <v>2</v>
      </c>
      <c r="AH87" t="s">
        <v>25</v>
      </c>
      <c r="AI87">
        <v>1106</v>
      </c>
      <c r="AJ87" t="s">
        <v>246</v>
      </c>
      <c r="AK87" t="s">
        <v>1346</v>
      </c>
      <c r="AQ87" t="s">
        <v>526</v>
      </c>
      <c r="AS87" t="str">
        <f t="shared" si="2"/>
        <v>BB01752</v>
      </c>
    </row>
    <row r="88" spans="1:45" ht="15" customHeight="1">
      <c r="A88" t="s">
        <v>1349</v>
      </c>
      <c r="B88">
        <v>751</v>
      </c>
      <c r="C88" t="s">
        <v>27</v>
      </c>
      <c r="D88" s="8">
        <v>45693</v>
      </c>
      <c r="E88" s="22">
        <v>45946</v>
      </c>
      <c r="F88" t="s">
        <v>526</v>
      </c>
      <c r="H88">
        <v>1</v>
      </c>
      <c r="I88">
        <v>19941551</v>
      </c>
      <c r="J88" t="s">
        <v>1363</v>
      </c>
      <c r="K88" s="8">
        <v>45693</v>
      </c>
      <c r="Q88">
        <v>1</v>
      </c>
      <c r="R88">
        <v>979</v>
      </c>
      <c r="S88" t="s">
        <v>1364</v>
      </c>
      <c r="T88" t="s">
        <v>219</v>
      </c>
      <c r="U88">
        <v>1</v>
      </c>
      <c r="V88">
        <v>391.08</v>
      </c>
      <c r="W88">
        <v>461.47</v>
      </c>
      <c r="X88">
        <v>0</v>
      </c>
      <c r="Y88">
        <v>391.08</v>
      </c>
      <c r="Z88">
        <v>18</v>
      </c>
      <c r="AA88">
        <v>70.39</v>
      </c>
      <c r="AB88">
        <v>461.47</v>
      </c>
      <c r="AC88">
        <v>1</v>
      </c>
      <c r="AE88" t="s">
        <v>239</v>
      </c>
      <c r="AF88" t="s">
        <v>29</v>
      </c>
      <c r="AG88">
        <v>2</v>
      </c>
      <c r="AH88" t="s">
        <v>25</v>
      </c>
      <c r="AI88">
        <v>1106</v>
      </c>
      <c r="AJ88" t="s">
        <v>246</v>
      </c>
      <c r="AK88" t="s">
        <v>1346</v>
      </c>
      <c r="AQ88" t="s">
        <v>526</v>
      </c>
      <c r="AS88" t="str">
        <f t="shared" si="2"/>
        <v>BB01751</v>
      </c>
    </row>
    <row r="89" spans="1:45" ht="15" customHeight="1">
      <c r="A89" t="s">
        <v>1349</v>
      </c>
      <c r="B89">
        <v>750</v>
      </c>
      <c r="C89" t="s">
        <v>27</v>
      </c>
      <c r="D89" s="8">
        <v>45693</v>
      </c>
      <c r="E89" s="22">
        <v>45946</v>
      </c>
      <c r="F89" t="s">
        <v>533</v>
      </c>
      <c r="H89">
        <v>1</v>
      </c>
      <c r="I89">
        <v>19889371</v>
      </c>
      <c r="J89" t="s">
        <v>1365</v>
      </c>
      <c r="K89" s="8">
        <v>45693</v>
      </c>
      <c r="Q89">
        <v>1</v>
      </c>
      <c r="R89">
        <v>978</v>
      </c>
      <c r="S89" t="s">
        <v>1366</v>
      </c>
      <c r="T89" t="s">
        <v>219</v>
      </c>
      <c r="U89">
        <v>1</v>
      </c>
      <c r="V89">
        <v>500</v>
      </c>
      <c r="W89">
        <v>590</v>
      </c>
      <c r="X89">
        <v>0</v>
      </c>
      <c r="Y89">
        <v>500</v>
      </c>
      <c r="Z89">
        <v>18</v>
      </c>
      <c r="AA89">
        <v>90</v>
      </c>
      <c r="AB89">
        <v>590</v>
      </c>
      <c r="AC89">
        <v>1</v>
      </c>
      <c r="AE89" t="s">
        <v>239</v>
      </c>
      <c r="AF89" t="s">
        <v>29</v>
      </c>
      <c r="AG89">
        <v>2</v>
      </c>
      <c r="AH89" t="s">
        <v>25</v>
      </c>
      <c r="AI89">
        <v>1106</v>
      </c>
      <c r="AJ89" t="s">
        <v>246</v>
      </c>
      <c r="AK89" t="s">
        <v>1360</v>
      </c>
      <c r="AQ89" t="s">
        <v>533</v>
      </c>
      <c r="AS89" t="str">
        <f t="shared" si="2"/>
        <v>BB01750</v>
      </c>
    </row>
    <row r="90" spans="1:45" ht="15" customHeight="1">
      <c r="A90" t="s">
        <v>1349</v>
      </c>
      <c r="B90">
        <v>749</v>
      </c>
      <c r="C90" t="s">
        <v>27</v>
      </c>
      <c r="D90" s="8">
        <v>45693</v>
      </c>
      <c r="E90" s="22">
        <v>45946</v>
      </c>
      <c r="F90" t="s">
        <v>533</v>
      </c>
      <c r="H90">
        <v>1</v>
      </c>
      <c r="I90">
        <v>19889371</v>
      </c>
      <c r="J90" t="s">
        <v>1367</v>
      </c>
      <c r="K90" s="8">
        <v>45693</v>
      </c>
      <c r="Q90">
        <v>1</v>
      </c>
      <c r="R90">
        <v>938</v>
      </c>
      <c r="S90" t="s">
        <v>1368</v>
      </c>
      <c r="T90" t="s">
        <v>219</v>
      </c>
      <c r="U90">
        <v>1</v>
      </c>
      <c r="V90">
        <v>223.36</v>
      </c>
      <c r="W90">
        <v>263.57</v>
      </c>
      <c r="X90">
        <v>0</v>
      </c>
      <c r="Y90">
        <v>223.36</v>
      </c>
      <c r="Z90">
        <v>18</v>
      </c>
      <c r="AA90">
        <v>40.21</v>
      </c>
      <c r="AB90">
        <v>263.57</v>
      </c>
      <c r="AC90">
        <v>1</v>
      </c>
      <c r="AE90" t="s">
        <v>239</v>
      </c>
      <c r="AF90" t="s">
        <v>29</v>
      </c>
      <c r="AG90">
        <v>2</v>
      </c>
      <c r="AH90" t="s">
        <v>25</v>
      </c>
      <c r="AI90">
        <v>1106</v>
      </c>
      <c r="AJ90" t="s">
        <v>246</v>
      </c>
      <c r="AK90" t="s">
        <v>1346</v>
      </c>
      <c r="AQ90" t="s">
        <v>533</v>
      </c>
      <c r="AS90" t="str">
        <f t="shared" si="2"/>
        <v>BB01749</v>
      </c>
    </row>
    <row r="91" spans="1:45" ht="15" customHeight="1">
      <c r="A91" t="s">
        <v>1349</v>
      </c>
      <c r="B91">
        <v>748</v>
      </c>
      <c r="C91" t="s">
        <v>27</v>
      </c>
      <c r="D91" s="8">
        <v>45693</v>
      </c>
      <c r="E91" s="22">
        <v>45946</v>
      </c>
      <c r="F91" t="s">
        <v>533</v>
      </c>
      <c r="H91">
        <v>1</v>
      </c>
      <c r="I91">
        <v>19889371</v>
      </c>
      <c r="J91" t="s">
        <v>1369</v>
      </c>
      <c r="K91" s="8">
        <v>45693</v>
      </c>
      <c r="Q91">
        <v>1</v>
      </c>
      <c r="R91">
        <v>937</v>
      </c>
      <c r="S91" t="s">
        <v>1370</v>
      </c>
      <c r="T91" t="s">
        <v>219</v>
      </c>
      <c r="U91">
        <v>1</v>
      </c>
      <c r="V91">
        <v>199.53</v>
      </c>
      <c r="W91">
        <v>235.45</v>
      </c>
      <c r="X91">
        <v>0</v>
      </c>
      <c r="Y91">
        <v>199.53</v>
      </c>
      <c r="Z91">
        <v>18</v>
      </c>
      <c r="AA91">
        <v>35.92</v>
      </c>
      <c r="AB91">
        <v>235.45</v>
      </c>
      <c r="AC91">
        <v>1</v>
      </c>
      <c r="AE91" t="s">
        <v>239</v>
      </c>
      <c r="AF91" t="s">
        <v>29</v>
      </c>
      <c r="AG91">
        <v>2</v>
      </c>
      <c r="AH91" t="s">
        <v>25</v>
      </c>
      <c r="AI91">
        <v>1106</v>
      </c>
      <c r="AJ91" t="s">
        <v>246</v>
      </c>
      <c r="AK91" t="s">
        <v>1346</v>
      </c>
      <c r="AQ91" t="s">
        <v>533</v>
      </c>
      <c r="AS91" t="str">
        <f t="shared" si="2"/>
        <v>BB01748</v>
      </c>
    </row>
    <row r="92" spans="1:45" ht="15" customHeight="1">
      <c r="A92" t="s">
        <v>1349</v>
      </c>
      <c r="B92">
        <v>747</v>
      </c>
      <c r="C92" t="s">
        <v>27</v>
      </c>
      <c r="D92" s="8">
        <v>45693</v>
      </c>
      <c r="E92" s="22">
        <v>45946</v>
      </c>
      <c r="F92" t="s">
        <v>540</v>
      </c>
      <c r="H92">
        <v>1</v>
      </c>
      <c r="I92">
        <v>76561182</v>
      </c>
      <c r="J92" t="s">
        <v>1371</v>
      </c>
      <c r="K92" s="8">
        <v>45693</v>
      </c>
      <c r="Q92">
        <v>1</v>
      </c>
      <c r="R92">
        <v>977</v>
      </c>
      <c r="S92" t="s">
        <v>1372</v>
      </c>
      <c r="T92" t="s">
        <v>219</v>
      </c>
      <c r="U92">
        <v>1</v>
      </c>
      <c r="V92">
        <v>500</v>
      </c>
      <c r="W92">
        <v>590</v>
      </c>
      <c r="X92">
        <v>0</v>
      </c>
      <c r="Y92">
        <v>500</v>
      </c>
      <c r="Z92">
        <v>18</v>
      </c>
      <c r="AA92">
        <v>90</v>
      </c>
      <c r="AB92">
        <v>590</v>
      </c>
      <c r="AC92">
        <v>1</v>
      </c>
      <c r="AE92" t="s">
        <v>239</v>
      </c>
      <c r="AF92" t="s">
        <v>29</v>
      </c>
      <c r="AG92">
        <v>2</v>
      </c>
      <c r="AH92" t="s">
        <v>25</v>
      </c>
      <c r="AI92">
        <v>1106</v>
      </c>
      <c r="AJ92" t="s">
        <v>246</v>
      </c>
      <c r="AK92" t="s">
        <v>1360</v>
      </c>
      <c r="AQ92" t="s">
        <v>540</v>
      </c>
      <c r="AS92" t="str">
        <f t="shared" si="2"/>
        <v>BB01747</v>
      </c>
    </row>
    <row r="93" spans="1:45" ht="15" customHeight="1">
      <c r="A93" t="s">
        <v>1349</v>
      </c>
      <c r="B93">
        <v>746</v>
      </c>
      <c r="C93" t="s">
        <v>27</v>
      </c>
      <c r="D93" s="8">
        <v>45693</v>
      </c>
      <c r="E93" s="22">
        <v>45946</v>
      </c>
      <c r="F93" t="s">
        <v>540</v>
      </c>
      <c r="H93">
        <v>1</v>
      </c>
      <c r="I93">
        <v>76561182</v>
      </c>
      <c r="J93" t="s">
        <v>1373</v>
      </c>
      <c r="K93" s="8">
        <v>45693</v>
      </c>
      <c r="Q93">
        <v>1</v>
      </c>
      <c r="R93">
        <v>936</v>
      </c>
      <c r="S93" t="s">
        <v>1374</v>
      </c>
      <c r="T93" t="s">
        <v>219</v>
      </c>
      <c r="U93">
        <v>1</v>
      </c>
      <c r="V93">
        <v>223.36</v>
      </c>
      <c r="W93">
        <v>263.57</v>
      </c>
      <c r="X93">
        <v>0</v>
      </c>
      <c r="Y93">
        <v>223.36</v>
      </c>
      <c r="Z93">
        <v>18</v>
      </c>
      <c r="AA93">
        <v>40.21</v>
      </c>
      <c r="AB93">
        <v>263.57</v>
      </c>
      <c r="AC93">
        <v>1</v>
      </c>
      <c r="AE93" t="s">
        <v>239</v>
      </c>
      <c r="AF93" t="s">
        <v>29</v>
      </c>
      <c r="AG93">
        <v>2</v>
      </c>
      <c r="AH93" t="s">
        <v>25</v>
      </c>
      <c r="AI93">
        <v>1106</v>
      </c>
      <c r="AJ93" t="s">
        <v>246</v>
      </c>
      <c r="AK93" t="s">
        <v>1346</v>
      </c>
      <c r="AQ93" t="s">
        <v>540</v>
      </c>
      <c r="AS93" t="str">
        <f t="shared" si="2"/>
        <v>BB01746</v>
      </c>
    </row>
    <row r="94" spans="1:45" ht="15" customHeight="1">
      <c r="A94" t="s">
        <v>1349</v>
      </c>
      <c r="B94">
        <v>745</v>
      </c>
      <c r="C94" t="s">
        <v>27</v>
      </c>
      <c r="D94" s="8">
        <v>45693</v>
      </c>
      <c r="E94" s="22">
        <v>45946</v>
      </c>
      <c r="F94" t="s">
        <v>540</v>
      </c>
      <c r="H94">
        <v>1</v>
      </c>
      <c r="I94">
        <v>76561182</v>
      </c>
      <c r="J94" t="s">
        <v>1375</v>
      </c>
      <c r="K94" s="8">
        <v>45693</v>
      </c>
      <c r="Q94">
        <v>1</v>
      </c>
      <c r="R94">
        <v>935</v>
      </c>
      <c r="S94" t="s">
        <v>1376</v>
      </c>
      <c r="T94" t="s">
        <v>219</v>
      </c>
      <c r="U94">
        <v>1</v>
      </c>
      <c r="V94">
        <v>199.53</v>
      </c>
      <c r="W94">
        <v>235.45</v>
      </c>
      <c r="X94">
        <v>0</v>
      </c>
      <c r="Y94">
        <v>199.53</v>
      </c>
      <c r="Z94">
        <v>18</v>
      </c>
      <c r="AA94">
        <v>35.92</v>
      </c>
      <c r="AB94">
        <v>235.45</v>
      </c>
      <c r="AC94">
        <v>1</v>
      </c>
      <c r="AE94" t="s">
        <v>239</v>
      </c>
      <c r="AF94" t="s">
        <v>29</v>
      </c>
      <c r="AG94">
        <v>2</v>
      </c>
      <c r="AH94" t="s">
        <v>25</v>
      </c>
      <c r="AI94">
        <v>1106</v>
      </c>
      <c r="AJ94" t="s">
        <v>246</v>
      </c>
      <c r="AK94" t="s">
        <v>1346</v>
      </c>
      <c r="AQ94" t="s">
        <v>540</v>
      </c>
      <c r="AS94" t="str">
        <f t="shared" si="2"/>
        <v>BB01745</v>
      </c>
    </row>
    <row r="95" spans="1:45" ht="15" customHeight="1">
      <c r="A95" t="s">
        <v>1349</v>
      </c>
      <c r="B95">
        <v>744</v>
      </c>
      <c r="C95" t="s">
        <v>27</v>
      </c>
      <c r="D95" s="8">
        <v>45693</v>
      </c>
      <c r="E95" s="22">
        <v>45946</v>
      </c>
      <c r="F95" t="s">
        <v>1377</v>
      </c>
      <c r="G95" t="s">
        <v>158</v>
      </c>
      <c r="H95">
        <v>1</v>
      </c>
      <c r="I95">
        <v>19988495</v>
      </c>
      <c r="J95" t="s">
        <v>1378</v>
      </c>
      <c r="K95" s="8">
        <v>45693</v>
      </c>
      <c r="Q95">
        <v>1</v>
      </c>
      <c r="R95">
        <v>976</v>
      </c>
      <c r="S95" t="s">
        <v>1379</v>
      </c>
      <c r="T95" t="s">
        <v>219</v>
      </c>
      <c r="U95">
        <v>1</v>
      </c>
      <c r="V95">
        <v>423.73</v>
      </c>
      <c r="W95">
        <v>500</v>
      </c>
      <c r="X95">
        <v>0</v>
      </c>
      <c r="Y95">
        <v>423.73</v>
      </c>
      <c r="Z95">
        <v>18</v>
      </c>
      <c r="AA95">
        <v>76.27</v>
      </c>
      <c r="AB95">
        <v>500</v>
      </c>
      <c r="AC95">
        <v>1</v>
      </c>
      <c r="AE95" t="s">
        <v>239</v>
      </c>
      <c r="AF95" t="s">
        <v>29</v>
      </c>
      <c r="AG95">
        <v>2</v>
      </c>
      <c r="AH95" t="s">
        <v>25</v>
      </c>
      <c r="AI95">
        <v>1106</v>
      </c>
      <c r="AJ95" t="s">
        <v>246</v>
      </c>
      <c r="AK95" t="s">
        <v>1360</v>
      </c>
      <c r="AQ95" t="s">
        <v>1377</v>
      </c>
      <c r="AS95" t="str">
        <f t="shared" si="2"/>
        <v>BB01744</v>
      </c>
    </row>
    <row r="96" spans="1:45" ht="15" customHeight="1">
      <c r="A96" t="s">
        <v>1349</v>
      </c>
      <c r="B96">
        <v>743</v>
      </c>
      <c r="C96" t="s">
        <v>27</v>
      </c>
      <c r="D96" s="8">
        <v>45693</v>
      </c>
      <c r="E96" s="22">
        <v>45946</v>
      </c>
      <c r="F96" t="s">
        <v>1377</v>
      </c>
      <c r="G96" t="s">
        <v>158</v>
      </c>
      <c r="H96">
        <v>1</v>
      </c>
      <c r="I96">
        <v>19988495</v>
      </c>
      <c r="J96" t="s">
        <v>1380</v>
      </c>
      <c r="K96" s="8">
        <v>45693</v>
      </c>
      <c r="Q96">
        <v>1</v>
      </c>
      <c r="R96">
        <v>871</v>
      </c>
      <c r="S96" t="s">
        <v>1381</v>
      </c>
      <c r="T96" t="s">
        <v>219</v>
      </c>
      <c r="U96">
        <v>1</v>
      </c>
      <c r="V96">
        <v>57.2</v>
      </c>
      <c r="W96">
        <v>67.5</v>
      </c>
      <c r="X96">
        <v>0</v>
      </c>
      <c r="Y96">
        <v>57.2</v>
      </c>
      <c r="Z96">
        <v>18.010000000000002</v>
      </c>
      <c r="AA96">
        <v>10.3</v>
      </c>
      <c r="AB96">
        <v>67.5</v>
      </c>
      <c r="AC96">
        <v>1</v>
      </c>
      <c r="AE96" t="s">
        <v>239</v>
      </c>
      <c r="AF96" t="s">
        <v>29</v>
      </c>
      <c r="AG96">
        <v>2</v>
      </c>
      <c r="AH96" t="s">
        <v>25</v>
      </c>
      <c r="AI96">
        <v>1106</v>
      </c>
      <c r="AJ96" t="s">
        <v>246</v>
      </c>
      <c r="AK96" t="s">
        <v>1346</v>
      </c>
      <c r="AQ96" t="s">
        <v>1377</v>
      </c>
      <c r="AS96" t="str">
        <f t="shared" si="2"/>
        <v>BB01743</v>
      </c>
    </row>
    <row r="97" spans="1:45" ht="15" customHeight="1">
      <c r="A97" t="s">
        <v>1349</v>
      </c>
      <c r="B97">
        <v>742</v>
      </c>
      <c r="C97" t="s">
        <v>27</v>
      </c>
      <c r="D97" s="8">
        <v>45693</v>
      </c>
      <c r="E97" s="22">
        <v>45946</v>
      </c>
      <c r="F97" t="s">
        <v>1377</v>
      </c>
      <c r="G97" t="s">
        <v>158</v>
      </c>
      <c r="H97">
        <v>1</v>
      </c>
      <c r="I97">
        <v>19988495</v>
      </c>
      <c r="J97" t="s">
        <v>1382</v>
      </c>
      <c r="K97" s="8">
        <v>45693</v>
      </c>
      <c r="Q97">
        <v>1</v>
      </c>
      <c r="R97">
        <v>870</v>
      </c>
      <c r="S97" t="s">
        <v>1227</v>
      </c>
      <c r="T97" t="s">
        <v>219</v>
      </c>
      <c r="U97">
        <v>1</v>
      </c>
      <c r="V97">
        <v>33.47</v>
      </c>
      <c r="W97">
        <v>39.5</v>
      </c>
      <c r="X97">
        <v>0</v>
      </c>
      <c r="Y97">
        <v>33.47</v>
      </c>
      <c r="Z97">
        <v>18.02</v>
      </c>
      <c r="AA97">
        <v>6.03</v>
      </c>
      <c r="AB97">
        <v>39.5</v>
      </c>
      <c r="AC97">
        <v>1</v>
      </c>
      <c r="AE97" t="s">
        <v>239</v>
      </c>
      <c r="AF97" t="s">
        <v>29</v>
      </c>
      <c r="AG97">
        <v>2</v>
      </c>
      <c r="AH97" t="s">
        <v>25</v>
      </c>
      <c r="AI97">
        <v>1106</v>
      </c>
      <c r="AJ97" t="s">
        <v>246</v>
      </c>
      <c r="AK97" t="s">
        <v>1346</v>
      </c>
      <c r="AQ97" t="s">
        <v>1377</v>
      </c>
      <c r="AS97" t="str">
        <f t="shared" si="2"/>
        <v>BB01742</v>
      </c>
    </row>
    <row r="98" spans="1:45" ht="15" customHeight="1">
      <c r="A98" t="s">
        <v>221</v>
      </c>
      <c r="B98">
        <v>1414</v>
      </c>
      <c r="C98" t="s">
        <v>27</v>
      </c>
      <c r="D98" s="8">
        <v>45693</v>
      </c>
      <c r="E98" s="22">
        <v>45946</v>
      </c>
      <c r="F98" t="s">
        <v>408</v>
      </c>
      <c r="H98">
        <v>6</v>
      </c>
      <c r="I98">
        <v>20609978407</v>
      </c>
      <c r="J98" t="s">
        <v>1383</v>
      </c>
      <c r="K98" s="8">
        <v>45693</v>
      </c>
      <c r="Q98">
        <v>1</v>
      </c>
      <c r="R98">
        <v>877</v>
      </c>
      <c r="S98" t="s">
        <v>197</v>
      </c>
      <c r="T98" t="s">
        <v>219</v>
      </c>
      <c r="U98">
        <v>1</v>
      </c>
      <c r="V98">
        <v>190.17</v>
      </c>
      <c r="W98">
        <v>224.4</v>
      </c>
      <c r="X98">
        <v>0</v>
      </c>
      <c r="Y98">
        <v>190.17</v>
      </c>
      <c r="Z98">
        <v>18</v>
      </c>
      <c r="AA98">
        <v>34.229999999999997</v>
      </c>
      <c r="AB98">
        <v>224.4</v>
      </c>
      <c r="AC98">
        <v>1</v>
      </c>
      <c r="AE98" t="s">
        <v>239</v>
      </c>
      <c r="AF98" t="s">
        <v>29</v>
      </c>
      <c r="AG98">
        <v>2</v>
      </c>
      <c r="AH98" t="s">
        <v>25</v>
      </c>
      <c r="AI98">
        <v>1106</v>
      </c>
      <c r="AJ98" t="s">
        <v>246</v>
      </c>
      <c r="AK98" t="s">
        <v>1346</v>
      </c>
      <c r="AQ98" t="s">
        <v>408</v>
      </c>
      <c r="AS98" t="str">
        <f t="shared" si="2"/>
        <v>FB011414</v>
      </c>
    </row>
    <row r="99" spans="1:45" ht="15" customHeight="1">
      <c r="A99" t="s">
        <v>221</v>
      </c>
      <c r="B99">
        <v>1413</v>
      </c>
      <c r="C99" t="s">
        <v>27</v>
      </c>
      <c r="D99" s="8">
        <v>45693</v>
      </c>
      <c r="E99" s="22">
        <v>45946</v>
      </c>
      <c r="F99" t="s">
        <v>408</v>
      </c>
      <c r="H99">
        <v>6</v>
      </c>
      <c r="I99">
        <v>20609978407</v>
      </c>
      <c r="J99" t="s">
        <v>1384</v>
      </c>
      <c r="K99" s="8">
        <v>45693</v>
      </c>
      <c r="Q99">
        <v>1</v>
      </c>
      <c r="R99">
        <v>870</v>
      </c>
      <c r="S99" t="s">
        <v>1227</v>
      </c>
      <c r="T99" t="s">
        <v>219</v>
      </c>
      <c r="U99">
        <v>1</v>
      </c>
      <c r="V99">
        <v>140.34</v>
      </c>
      <c r="W99">
        <v>165.6</v>
      </c>
      <c r="X99">
        <v>0</v>
      </c>
      <c r="Y99">
        <v>140.34</v>
      </c>
      <c r="Z99">
        <v>18</v>
      </c>
      <c r="AA99">
        <v>25.26</v>
      </c>
      <c r="AB99">
        <v>165.6</v>
      </c>
      <c r="AC99">
        <v>1</v>
      </c>
      <c r="AE99" t="s">
        <v>239</v>
      </c>
      <c r="AF99" t="s">
        <v>29</v>
      </c>
      <c r="AG99">
        <v>2</v>
      </c>
      <c r="AH99" t="s">
        <v>25</v>
      </c>
      <c r="AI99">
        <v>1106</v>
      </c>
      <c r="AJ99" t="s">
        <v>246</v>
      </c>
      <c r="AK99" t="s">
        <v>1346</v>
      </c>
      <c r="AQ99" t="s">
        <v>408</v>
      </c>
      <c r="AS99" t="str">
        <f t="shared" si="2"/>
        <v>FB011413</v>
      </c>
    </row>
    <row r="100" spans="1:45" ht="15" customHeight="1">
      <c r="A100" t="s">
        <v>221</v>
      </c>
      <c r="B100">
        <v>1412</v>
      </c>
      <c r="C100" t="s">
        <v>27</v>
      </c>
      <c r="D100" s="8">
        <v>45693</v>
      </c>
      <c r="E100" s="22">
        <v>45946</v>
      </c>
      <c r="F100" t="s">
        <v>413</v>
      </c>
      <c r="H100">
        <v>6</v>
      </c>
      <c r="I100">
        <v>20611129212</v>
      </c>
      <c r="J100" t="s">
        <v>1385</v>
      </c>
      <c r="K100" s="8">
        <v>45693</v>
      </c>
      <c r="Q100">
        <v>1</v>
      </c>
      <c r="R100">
        <v>877</v>
      </c>
      <c r="S100" t="s">
        <v>197</v>
      </c>
      <c r="T100" t="s">
        <v>219</v>
      </c>
      <c r="U100">
        <v>1</v>
      </c>
      <c r="V100">
        <v>18.64</v>
      </c>
      <c r="W100">
        <v>22</v>
      </c>
      <c r="X100">
        <v>0</v>
      </c>
      <c r="Y100">
        <v>18.64</v>
      </c>
      <c r="Z100">
        <v>18.03</v>
      </c>
      <c r="AA100">
        <v>3.36</v>
      </c>
      <c r="AB100">
        <v>22</v>
      </c>
      <c r="AC100">
        <v>1</v>
      </c>
      <c r="AE100" t="s">
        <v>239</v>
      </c>
      <c r="AF100" t="s">
        <v>29</v>
      </c>
      <c r="AG100">
        <v>2</v>
      </c>
      <c r="AH100" t="s">
        <v>25</v>
      </c>
      <c r="AI100">
        <v>1106</v>
      </c>
      <c r="AJ100" t="s">
        <v>246</v>
      </c>
      <c r="AK100" t="s">
        <v>1346</v>
      </c>
      <c r="AQ100" t="s">
        <v>413</v>
      </c>
      <c r="AS100" t="str">
        <f t="shared" si="2"/>
        <v>FB011412</v>
      </c>
    </row>
    <row r="101" spans="1:45" ht="15" customHeight="1">
      <c r="A101" t="s">
        <v>221</v>
      </c>
      <c r="B101">
        <v>1411</v>
      </c>
      <c r="C101" t="s">
        <v>27</v>
      </c>
      <c r="D101" s="8">
        <v>45693</v>
      </c>
      <c r="E101" s="22">
        <v>45946</v>
      </c>
      <c r="F101" t="s">
        <v>413</v>
      </c>
      <c r="H101">
        <v>6</v>
      </c>
      <c r="I101">
        <v>20611129212</v>
      </c>
      <c r="J101" t="s">
        <v>1386</v>
      </c>
      <c r="K101" s="8">
        <v>45693</v>
      </c>
      <c r="Q101">
        <v>1</v>
      </c>
      <c r="R101">
        <v>870</v>
      </c>
      <c r="S101" t="s">
        <v>1227</v>
      </c>
      <c r="T101" t="s">
        <v>219</v>
      </c>
      <c r="U101">
        <v>1</v>
      </c>
      <c r="V101">
        <v>12.71</v>
      </c>
      <c r="W101">
        <v>15</v>
      </c>
      <c r="X101">
        <v>0</v>
      </c>
      <c r="Y101">
        <v>12.71</v>
      </c>
      <c r="Z101">
        <v>18.02</v>
      </c>
      <c r="AA101">
        <v>2.29</v>
      </c>
      <c r="AB101">
        <v>15</v>
      </c>
      <c r="AC101">
        <v>1</v>
      </c>
      <c r="AE101" t="s">
        <v>239</v>
      </c>
      <c r="AF101" t="s">
        <v>29</v>
      </c>
      <c r="AG101">
        <v>2</v>
      </c>
      <c r="AH101" t="s">
        <v>25</v>
      </c>
      <c r="AI101">
        <v>1106</v>
      </c>
      <c r="AJ101" t="s">
        <v>246</v>
      </c>
      <c r="AK101" t="s">
        <v>1346</v>
      </c>
      <c r="AQ101" t="s">
        <v>413</v>
      </c>
      <c r="AS101" t="str">
        <f t="shared" si="2"/>
        <v>FB011411</v>
      </c>
    </row>
    <row r="102" spans="1:45" ht="15" customHeight="1">
      <c r="A102" t="s">
        <v>221</v>
      </c>
      <c r="B102">
        <v>1410</v>
      </c>
      <c r="C102" t="s">
        <v>27</v>
      </c>
      <c r="D102" s="8">
        <v>45693</v>
      </c>
      <c r="E102" s="22">
        <v>45946</v>
      </c>
      <c r="F102" t="s">
        <v>413</v>
      </c>
      <c r="H102">
        <v>6</v>
      </c>
      <c r="I102">
        <v>20611129212</v>
      </c>
      <c r="J102" t="s">
        <v>1387</v>
      </c>
      <c r="K102" s="8">
        <v>45693</v>
      </c>
      <c r="Q102">
        <v>1</v>
      </c>
      <c r="R102">
        <v>877</v>
      </c>
      <c r="S102" t="s">
        <v>197</v>
      </c>
      <c r="T102" t="s">
        <v>219</v>
      </c>
      <c r="U102">
        <v>1</v>
      </c>
      <c r="V102">
        <v>6.95</v>
      </c>
      <c r="W102">
        <v>8.1999999999999993</v>
      </c>
      <c r="X102">
        <v>0</v>
      </c>
      <c r="Y102">
        <v>6.95</v>
      </c>
      <c r="Z102">
        <v>17.989999999999998</v>
      </c>
      <c r="AA102">
        <v>1.25</v>
      </c>
      <c r="AB102">
        <v>8.1999999999999993</v>
      </c>
      <c r="AC102">
        <v>1</v>
      </c>
      <c r="AE102" t="s">
        <v>239</v>
      </c>
      <c r="AF102" t="s">
        <v>29</v>
      </c>
      <c r="AG102">
        <v>2</v>
      </c>
      <c r="AH102" t="s">
        <v>25</v>
      </c>
      <c r="AI102">
        <v>1106</v>
      </c>
      <c r="AJ102" t="s">
        <v>246</v>
      </c>
      <c r="AK102" t="s">
        <v>1346</v>
      </c>
      <c r="AQ102" t="s">
        <v>413</v>
      </c>
      <c r="AS102" t="str">
        <f t="shared" si="2"/>
        <v>FB011410</v>
      </c>
    </row>
    <row r="103" spans="1:45" ht="15" customHeight="1">
      <c r="A103" t="s">
        <v>221</v>
      </c>
      <c r="B103">
        <v>1409</v>
      </c>
      <c r="C103" t="s">
        <v>27</v>
      </c>
      <c r="D103" s="8">
        <v>45693</v>
      </c>
      <c r="E103" s="22">
        <v>45946</v>
      </c>
      <c r="F103" t="s">
        <v>413</v>
      </c>
      <c r="H103">
        <v>6</v>
      </c>
      <c r="I103">
        <v>20611129212</v>
      </c>
      <c r="J103" t="s">
        <v>1388</v>
      </c>
      <c r="K103" s="8">
        <v>45693</v>
      </c>
      <c r="Q103">
        <v>1</v>
      </c>
      <c r="R103">
        <v>870</v>
      </c>
      <c r="S103" t="s">
        <v>1227</v>
      </c>
      <c r="T103" t="s">
        <v>219</v>
      </c>
      <c r="U103">
        <v>1</v>
      </c>
      <c r="V103">
        <v>4.58</v>
      </c>
      <c r="W103">
        <v>5.4</v>
      </c>
      <c r="X103">
        <v>0</v>
      </c>
      <c r="Y103">
        <v>4.58</v>
      </c>
      <c r="Z103">
        <v>17.899999999999999</v>
      </c>
      <c r="AA103">
        <v>0.82</v>
      </c>
      <c r="AB103">
        <v>5.4</v>
      </c>
      <c r="AC103">
        <v>1</v>
      </c>
      <c r="AE103" t="s">
        <v>239</v>
      </c>
      <c r="AF103" t="s">
        <v>29</v>
      </c>
      <c r="AG103">
        <v>2</v>
      </c>
      <c r="AH103" t="s">
        <v>25</v>
      </c>
      <c r="AI103">
        <v>1106</v>
      </c>
      <c r="AJ103" t="s">
        <v>246</v>
      </c>
      <c r="AK103" t="s">
        <v>1346</v>
      </c>
      <c r="AQ103" t="s">
        <v>413</v>
      </c>
      <c r="AS103" t="str">
        <f t="shared" si="2"/>
        <v>FB011409</v>
      </c>
    </row>
    <row r="104" spans="1:45" ht="15" customHeight="1">
      <c r="A104" t="s">
        <v>1349</v>
      </c>
      <c r="B104">
        <v>741</v>
      </c>
      <c r="C104" t="s">
        <v>27</v>
      </c>
      <c r="D104" s="8">
        <v>45693</v>
      </c>
      <c r="E104" s="22">
        <v>45946</v>
      </c>
      <c r="F104" t="s">
        <v>554</v>
      </c>
      <c r="G104" t="s">
        <v>158</v>
      </c>
      <c r="H104">
        <v>1</v>
      </c>
      <c r="I104">
        <v>44292844</v>
      </c>
      <c r="J104" t="s">
        <v>1389</v>
      </c>
      <c r="K104" s="8">
        <v>45693</v>
      </c>
      <c r="Q104">
        <v>1</v>
      </c>
      <c r="R104">
        <v>874</v>
      </c>
      <c r="S104" t="s">
        <v>1390</v>
      </c>
      <c r="T104" t="s">
        <v>219</v>
      </c>
      <c r="U104">
        <v>1</v>
      </c>
      <c r="V104">
        <v>5</v>
      </c>
      <c r="W104">
        <v>5.9</v>
      </c>
      <c r="X104">
        <v>0</v>
      </c>
      <c r="Y104">
        <v>5</v>
      </c>
      <c r="Z104">
        <v>18</v>
      </c>
      <c r="AA104">
        <v>0.9</v>
      </c>
      <c r="AB104">
        <v>5.9</v>
      </c>
      <c r="AC104">
        <v>1</v>
      </c>
      <c r="AE104" t="s">
        <v>239</v>
      </c>
      <c r="AF104" t="s">
        <v>29</v>
      </c>
      <c r="AG104">
        <v>2</v>
      </c>
      <c r="AH104" t="s">
        <v>25</v>
      </c>
      <c r="AI104">
        <v>1106</v>
      </c>
      <c r="AJ104" t="s">
        <v>246</v>
      </c>
      <c r="AK104" t="s">
        <v>1346</v>
      </c>
      <c r="AQ104" t="s">
        <v>554</v>
      </c>
      <c r="AS104" t="str">
        <f t="shared" si="2"/>
        <v>BB01741</v>
      </c>
    </row>
    <row r="105" spans="1:45" ht="15" customHeight="1">
      <c r="A105" t="s">
        <v>1349</v>
      </c>
      <c r="B105">
        <v>740</v>
      </c>
      <c r="C105" t="s">
        <v>27</v>
      </c>
      <c r="D105" s="8">
        <v>45693</v>
      </c>
      <c r="E105" s="22">
        <v>45946</v>
      </c>
      <c r="F105" t="s">
        <v>554</v>
      </c>
      <c r="G105" t="s">
        <v>158</v>
      </c>
      <c r="H105">
        <v>1</v>
      </c>
      <c r="I105">
        <v>44292844</v>
      </c>
      <c r="J105" t="s">
        <v>1391</v>
      </c>
      <c r="K105" s="8">
        <v>45693</v>
      </c>
      <c r="Q105">
        <v>1</v>
      </c>
      <c r="R105">
        <v>877</v>
      </c>
      <c r="S105" t="s">
        <v>197</v>
      </c>
      <c r="T105" t="s">
        <v>219</v>
      </c>
      <c r="U105">
        <v>1</v>
      </c>
      <c r="V105">
        <v>275.32</v>
      </c>
      <c r="W105">
        <v>324.88</v>
      </c>
      <c r="X105">
        <v>0</v>
      </c>
      <c r="Y105">
        <v>275.32</v>
      </c>
      <c r="Z105">
        <v>18</v>
      </c>
      <c r="AA105">
        <v>49.56</v>
      </c>
      <c r="AB105">
        <v>324.88</v>
      </c>
      <c r="AC105">
        <v>1</v>
      </c>
      <c r="AE105" t="s">
        <v>239</v>
      </c>
      <c r="AF105" t="s">
        <v>29</v>
      </c>
      <c r="AG105">
        <v>2</v>
      </c>
      <c r="AH105" t="s">
        <v>25</v>
      </c>
      <c r="AI105">
        <v>1106</v>
      </c>
      <c r="AJ105" t="s">
        <v>246</v>
      </c>
      <c r="AK105" t="s">
        <v>1346</v>
      </c>
      <c r="AQ105" t="s">
        <v>554</v>
      </c>
      <c r="AS105" t="str">
        <f t="shared" si="2"/>
        <v>BB01740</v>
      </c>
    </row>
    <row r="106" spans="1:45" ht="15" customHeight="1">
      <c r="A106" t="s">
        <v>1349</v>
      </c>
      <c r="B106">
        <v>739</v>
      </c>
      <c r="C106" t="s">
        <v>27</v>
      </c>
      <c r="D106" s="8">
        <v>45693</v>
      </c>
      <c r="E106" s="22">
        <v>45946</v>
      </c>
      <c r="F106" t="s">
        <v>554</v>
      </c>
      <c r="G106" t="s">
        <v>158</v>
      </c>
      <c r="H106">
        <v>1</v>
      </c>
      <c r="I106">
        <v>44292844</v>
      </c>
      <c r="J106" t="s">
        <v>1392</v>
      </c>
      <c r="K106" s="8">
        <v>45693</v>
      </c>
      <c r="Q106">
        <v>1</v>
      </c>
      <c r="R106">
        <v>870</v>
      </c>
      <c r="S106" t="s">
        <v>1227</v>
      </c>
      <c r="T106" t="s">
        <v>219</v>
      </c>
      <c r="U106">
        <v>1</v>
      </c>
      <c r="V106">
        <v>165.5</v>
      </c>
      <c r="W106">
        <v>195.29</v>
      </c>
      <c r="X106">
        <v>0</v>
      </c>
      <c r="Y106">
        <v>165.5</v>
      </c>
      <c r="Z106">
        <v>18</v>
      </c>
      <c r="AA106">
        <v>29.79</v>
      </c>
      <c r="AB106">
        <v>195.29</v>
      </c>
      <c r="AC106">
        <v>1</v>
      </c>
      <c r="AE106" t="s">
        <v>239</v>
      </c>
      <c r="AF106" t="s">
        <v>29</v>
      </c>
      <c r="AG106">
        <v>2</v>
      </c>
      <c r="AH106" t="s">
        <v>25</v>
      </c>
      <c r="AI106">
        <v>1106</v>
      </c>
      <c r="AJ106" t="s">
        <v>246</v>
      </c>
      <c r="AK106" t="s">
        <v>1346</v>
      </c>
      <c r="AQ106" t="s">
        <v>554</v>
      </c>
      <c r="AS106" t="str">
        <f t="shared" si="2"/>
        <v>BB01739</v>
      </c>
    </row>
    <row r="107" spans="1:45" ht="15" customHeight="1">
      <c r="A107" t="s">
        <v>221</v>
      </c>
      <c r="B107">
        <v>1408</v>
      </c>
      <c r="C107" t="s">
        <v>27</v>
      </c>
      <c r="D107" s="8">
        <v>45693</v>
      </c>
      <c r="E107" s="22">
        <v>45946</v>
      </c>
      <c r="F107" t="s">
        <v>422</v>
      </c>
      <c r="H107">
        <v>6</v>
      </c>
      <c r="I107">
        <v>20611890746</v>
      </c>
      <c r="J107" t="s">
        <v>1393</v>
      </c>
      <c r="K107" s="8">
        <v>45693</v>
      </c>
      <c r="Q107">
        <v>1</v>
      </c>
      <c r="R107">
        <v>874</v>
      </c>
      <c r="S107" t="s">
        <v>1390</v>
      </c>
      <c r="T107" t="s">
        <v>219</v>
      </c>
      <c r="U107">
        <v>1</v>
      </c>
      <c r="V107">
        <v>1</v>
      </c>
      <c r="W107">
        <v>1.18</v>
      </c>
      <c r="X107">
        <v>0</v>
      </c>
      <c r="Y107">
        <v>1</v>
      </c>
      <c r="Z107">
        <v>18</v>
      </c>
      <c r="AA107">
        <v>0.18</v>
      </c>
      <c r="AB107">
        <v>1.18</v>
      </c>
      <c r="AC107">
        <v>1</v>
      </c>
      <c r="AE107" t="s">
        <v>239</v>
      </c>
      <c r="AF107" t="s">
        <v>29</v>
      </c>
      <c r="AG107">
        <v>2</v>
      </c>
      <c r="AH107" t="s">
        <v>25</v>
      </c>
      <c r="AI107">
        <v>1106</v>
      </c>
      <c r="AJ107" t="s">
        <v>246</v>
      </c>
      <c r="AK107" t="s">
        <v>1346</v>
      </c>
      <c r="AQ107" t="s">
        <v>422</v>
      </c>
      <c r="AS107" t="str">
        <f t="shared" si="2"/>
        <v>FB011408</v>
      </c>
    </row>
    <row r="108" spans="1:45" ht="15" customHeight="1">
      <c r="A108" t="s">
        <v>221</v>
      </c>
      <c r="B108">
        <v>1407</v>
      </c>
      <c r="C108" t="s">
        <v>27</v>
      </c>
      <c r="D108" s="8">
        <v>45693</v>
      </c>
      <c r="E108" s="22">
        <v>45946</v>
      </c>
      <c r="F108" t="s">
        <v>422</v>
      </c>
      <c r="H108">
        <v>6</v>
      </c>
      <c r="I108">
        <v>20611890746</v>
      </c>
      <c r="J108" t="s">
        <v>1394</v>
      </c>
      <c r="K108" s="8">
        <v>45693</v>
      </c>
      <c r="Q108">
        <v>1</v>
      </c>
      <c r="R108">
        <v>975</v>
      </c>
      <c r="S108" t="s">
        <v>1395</v>
      </c>
      <c r="T108" t="s">
        <v>219</v>
      </c>
      <c r="U108">
        <v>1</v>
      </c>
      <c r="V108">
        <v>200</v>
      </c>
      <c r="W108">
        <v>236</v>
      </c>
      <c r="X108">
        <v>0</v>
      </c>
      <c r="Y108">
        <v>200</v>
      </c>
      <c r="Z108">
        <v>18</v>
      </c>
      <c r="AA108">
        <v>36</v>
      </c>
      <c r="AB108">
        <v>236</v>
      </c>
      <c r="AC108">
        <v>1</v>
      </c>
      <c r="AE108" t="s">
        <v>239</v>
      </c>
      <c r="AF108" t="s">
        <v>29</v>
      </c>
      <c r="AG108">
        <v>2</v>
      </c>
      <c r="AH108" t="s">
        <v>25</v>
      </c>
      <c r="AI108">
        <v>1106</v>
      </c>
      <c r="AJ108" t="s">
        <v>246</v>
      </c>
      <c r="AK108" t="s">
        <v>1396</v>
      </c>
      <c r="AQ108" t="s">
        <v>422</v>
      </c>
      <c r="AS108" t="str">
        <f t="shared" si="2"/>
        <v>FB011407</v>
      </c>
    </row>
    <row r="109" spans="1:45" ht="15" customHeight="1">
      <c r="A109" t="s">
        <v>221</v>
      </c>
      <c r="B109">
        <v>1406</v>
      </c>
      <c r="C109" t="s">
        <v>27</v>
      </c>
      <c r="D109" s="8">
        <v>45693</v>
      </c>
      <c r="E109" s="22">
        <v>45946</v>
      </c>
      <c r="F109" t="s">
        <v>422</v>
      </c>
      <c r="H109">
        <v>6</v>
      </c>
      <c r="I109">
        <v>20611890746</v>
      </c>
      <c r="J109" t="s">
        <v>1397</v>
      </c>
      <c r="K109" s="8">
        <v>45693</v>
      </c>
      <c r="Q109">
        <v>1</v>
      </c>
      <c r="R109">
        <v>877</v>
      </c>
      <c r="S109" t="s">
        <v>197</v>
      </c>
      <c r="T109" t="s">
        <v>219</v>
      </c>
      <c r="U109">
        <v>1</v>
      </c>
      <c r="V109">
        <v>69.42</v>
      </c>
      <c r="W109">
        <v>81.92</v>
      </c>
      <c r="X109">
        <v>0</v>
      </c>
      <c r="Y109">
        <v>69.42</v>
      </c>
      <c r="Z109">
        <v>18.010000000000002</v>
      </c>
      <c r="AA109">
        <v>12.5</v>
      </c>
      <c r="AB109">
        <v>81.92</v>
      </c>
      <c r="AC109">
        <v>1</v>
      </c>
      <c r="AE109" t="s">
        <v>239</v>
      </c>
      <c r="AF109" t="s">
        <v>29</v>
      </c>
      <c r="AG109">
        <v>2</v>
      </c>
      <c r="AH109" t="s">
        <v>25</v>
      </c>
      <c r="AI109">
        <v>1106</v>
      </c>
      <c r="AJ109" t="s">
        <v>246</v>
      </c>
      <c r="AK109" t="s">
        <v>1346</v>
      </c>
      <c r="AQ109" t="s">
        <v>422</v>
      </c>
      <c r="AS109" t="str">
        <f t="shared" si="2"/>
        <v>FB011406</v>
      </c>
    </row>
    <row r="110" spans="1:45" ht="15" customHeight="1">
      <c r="A110" t="s">
        <v>221</v>
      </c>
      <c r="B110">
        <v>1405</v>
      </c>
      <c r="C110" t="s">
        <v>27</v>
      </c>
      <c r="D110" s="8">
        <v>45693</v>
      </c>
      <c r="E110" s="22">
        <v>45946</v>
      </c>
      <c r="F110" t="s">
        <v>422</v>
      </c>
      <c r="H110">
        <v>6</v>
      </c>
      <c r="I110">
        <v>20611890746</v>
      </c>
      <c r="J110" t="s">
        <v>1398</v>
      </c>
      <c r="K110" s="8">
        <v>45693</v>
      </c>
      <c r="Q110">
        <v>1</v>
      </c>
      <c r="R110">
        <v>870</v>
      </c>
      <c r="S110" t="s">
        <v>1227</v>
      </c>
      <c r="T110" t="s">
        <v>219</v>
      </c>
      <c r="U110">
        <v>1</v>
      </c>
      <c r="V110">
        <v>42.58</v>
      </c>
      <c r="W110">
        <v>50.24</v>
      </c>
      <c r="X110">
        <v>0</v>
      </c>
      <c r="Y110">
        <v>42.58</v>
      </c>
      <c r="Z110">
        <v>17.989999999999998</v>
      </c>
      <c r="AA110">
        <v>7.66</v>
      </c>
      <c r="AB110">
        <v>50.24</v>
      </c>
      <c r="AC110">
        <v>1</v>
      </c>
      <c r="AE110" t="s">
        <v>239</v>
      </c>
      <c r="AF110" t="s">
        <v>29</v>
      </c>
      <c r="AG110">
        <v>2</v>
      </c>
      <c r="AH110" t="s">
        <v>25</v>
      </c>
      <c r="AI110">
        <v>1106</v>
      </c>
      <c r="AJ110" t="s">
        <v>246</v>
      </c>
      <c r="AK110" t="s">
        <v>1346</v>
      </c>
      <c r="AQ110" t="s">
        <v>422</v>
      </c>
      <c r="AS110" t="str">
        <f t="shared" si="2"/>
        <v>FB011405</v>
      </c>
    </row>
    <row r="111" spans="1:45" ht="15" customHeight="1">
      <c r="A111" t="s">
        <v>1349</v>
      </c>
      <c r="B111">
        <v>738</v>
      </c>
      <c r="C111" t="s">
        <v>27</v>
      </c>
      <c r="D111" s="8">
        <v>45693</v>
      </c>
      <c r="E111" s="22">
        <v>45946</v>
      </c>
      <c r="F111" t="s">
        <v>561</v>
      </c>
      <c r="G111" t="s">
        <v>158</v>
      </c>
      <c r="H111">
        <v>1</v>
      </c>
      <c r="I111">
        <v>73241854</v>
      </c>
      <c r="J111" t="s">
        <v>1399</v>
      </c>
      <c r="K111" s="8">
        <v>45693</v>
      </c>
      <c r="Q111">
        <v>1</v>
      </c>
      <c r="R111">
        <v>974</v>
      </c>
      <c r="S111" t="s">
        <v>1400</v>
      </c>
      <c r="T111" t="s">
        <v>219</v>
      </c>
      <c r="U111">
        <v>1</v>
      </c>
      <c r="V111">
        <v>20</v>
      </c>
      <c r="W111">
        <v>23.6</v>
      </c>
      <c r="X111">
        <v>0</v>
      </c>
      <c r="Y111">
        <v>20</v>
      </c>
      <c r="Z111">
        <v>18</v>
      </c>
      <c r="AA111">
        <v>3.6</v>
      </c>
      <c r="AB111">
        <v>23.6</v>
      </c>
      <c r="AC111">
        <v>1</v>
      </c>
      <c r="AE111" t="s">
        <v>239</v>
      </c>
      <c r="AF111" t="s">
        <v>29</v>
      </c>
      <c r="AG111">
        <v>2</v>
      </c>
      <c r="AH111" t="s">
        <v>25</v>
      </c>
      <c r="AI111">
        <v>1106</v>
      </c>
      <c r="AJ111" t="s">
        <v>246</v>
      </c>
      <c r="AK111" t="s">
        <v>1360</v>
      </c>
      <c r="AQ111" t="s">
        <v>561</v>
      </c>
      <c r="AS111" t="str">
        <f t="shared" si="2"/>
        <v>BB01738</v>
      </c>
    </row>
    <row r="112" spans="1:45" ht="15" customHeight="1">
      <c r="A112" t="s">
        <v>1349</v>
      </c>
      <c r="B112">
        <v>737</v>
      </c>
      <c r="C112" t="s">
        <v>27</v>
      </c>
      <c r="D112" s="8">
        <v>45693</v>
      </c>
      <c r="E112" s="22">
        <v>45946</v>
      </c>
      <c r="F112" t="s">
        <v>561</v>
      </c>
      <c r="G112" t="s">
        <v>158</v>
      </c>
      <c r="H112">
        <v>1</v>
      </c>
      <c r="I112">
        <v>73241854</v>
      </c>
      <c r="J112" t="s">
        <v>1401</v>
      </c>
      <c r="K112" s="8">
        <v>45693</v>
      </c>
      <c r="Q112">
        <v>1</v>
      </c>
      <c r="R112">
        <v>934</v>
      </c>
      <c r="S112" t="s">
        <v>1402</v>
      </c>
      <c r="T112" t="s">
        <v>219</v>
      </c>
      <c r="U112">
        <v>1</v>
      </c>
      <c r="V112">
        <v>8.93</v>
      </c>
      <c r="W112">
        <v>10.54</v>
      </c>
      <c r="X112">
        <v>0</v>
      </c>
      <c r="Y112">
        <v>8.93</v>
      </c>
      <c r="Z112">
        <v>18.03</v>
      </c>
      <c r="AA112">
        <v>1.61</v>
      </c>
      <c r="AB112">
        <v>10.54</v>
      </c>
      <c r="AC112">
        <v>1</v>
      </c>
      <c r="AE112" t="s">
        <v>239</v>
      </c>
      <c r="AF112" t="s">
        <v>29</v>
      </c>
      <c r="AG112">
        <v>2</v>
      </c>
      <c r="AH112" t="s">
        <v>25</v>
      </c>
      <c r="AI112">
        <v>1106</v>
      </c>
      <c r="AJ112" t="s">
        <v>246</v>
      </c>
      <c r="AK112" t="s">
        <v>1346</v>
      </c>
      <c r="AQ112" t="s">
        <v>561</v>
      </c>
      <c r="AS112" t="str">
        <f t="shared" si="2"/>
        <v>BB01737</v>
      </c>
    </row>
    <row r="113" spans="1:45" ht="15" customHeight="1">
      <c r="A113" t="s">
        <v>1349</v>
      </c>
      <c r="B113">
        <v>736</v>
      </c>
      <c r="C113" t="s">
        <v>27</v>
      </c>
      <c r="D113" s="8">
        <v>45693</v>
      </c>
      <c r="E113" s="22">
        <v>45946</v>
      </c>
      <c r="F113" t="s">
        <v>561</v>
      </c>
      <c r="G113" t="s">
        <v>158</v>
      </c>
      <c r="H113">
        <v>1</v>
      </c>
      <c r="I113">
        <v>73241854</v>
      </c>
      <c r="J113" t="s">
        <v>1403</v>
      </c>
      <c r="K113" s="8">
        <v>45693</v>
      </c>
      <c r="Q113">
        <v>1</v>
      </c>
      <c r="R113">
        <v>933</v>
      </c>
      <c r="S113" t="s">
        <v>1404</v>
      </c>
      <c r="T113" t="s">
        <v>219</v>
      </c>
      <c r="U113">
        <v>1</v>
      </c>
      <c r="V113">
        <v>7.98</v>
      </c>
      <c r="W113">
        <v>9.42</v>
      </c>
      <c r="X113">
        <v>0</v>
      </c>
      <c r="Y113">
        <v>7.98</v>
      </c>
      <c r="Z113">
        <v>18.05</v>
      </c>
      <c r="AA113">
        <v>1.44</v>
      </c>
      <c r="AB113">
        <v>9.42</v>
      </c>
      <c r="AC113">
        <v>1</v>
      </c>
      <c r="AE113" t="s">
        <v>239</v>
      </c>
      <c r="AF113" t="s">
        <v>29</v>
      </c>
      <c r="AG113">
        <v>2</v>
      </c>
      <c r="AH113" t="s">
        <v>25</v>
      </c>
      <c r="AI113">
        <v>1106</v>
      </c>
      <c r="AJ113" t="s">
        <v>246</v>
      </c>
      <c r="AK113" t="s">
        <v>1346</v>
      </c>
      <c r="AQ113" t="s">
        <v>561</v>
      </c>
      <c r="AS113" t="str">
        <f t="shared" si="2"/>
        <v>BB01736</v>
      </c>
    </row>
    <row r="114" spans="1:45" ht="15" customHeight="1">
      <c r="A114" t="s">
        <v>221</v>
      </c>
      <c r="B114">
        <v>1404</v>
      </c>
      <c r="C114" t="s">
        <v>27</v>
      </c>
      <c r="D114" s="8">
        <v>45693</v>
      </c>
      <c r="E114" s="22">
        <v>45946</v>
      </c>
      <c r="F114" t="s">
        <v>431</v>
      </c>
      <c r="G114" t="s">
        <v>158</v>
      </c>
      <c r="H114">
        <v>6</v>
      </c>
      <c r="I114">
        <v>20296011356</v>
      </c>
      <c r="J114" t="s">
        <v>1405</v>
      </c>
      <c r="K114" s="8">
        <v>45693</v>
      </c>
      <c r="Q114">
        <v>1</v>
      </c>
      <c r="R114">
        <v>874</v>
      </c>
      <c r="S114" t="s">
        <v>1390</v>
      </c>
      <c r="T114" t="s">
        <v>219</v>
      </c>
      <c r="U114">
        <v>1</v>
      </c>
      <c r="V114">
        <v>10</v>
      </c>
      <c r="W114">
        <v>11.8</v>
      </c>
      <c r="X114">
        <v>0</v>
      </c>
      <c r="Y114">
        <v>10</v>
      </c>
      <c r="Z114">
        <v>18</v>
      </c>
      <c r="AA114">
        <v>1.8</v>
      </c>
      <c r="AB114">
        <v>11.8</v>
      </c>
      <c r="AC114">
        <v>1</v>
      </c>
      <c r="AE114" t="s">
        <v>239</v>
      </c>
      <c r="AF114" t="s">
        <v>29</v>
      </c>
      <c r="AG114">
        <v>2</v>
      </c>
      <c r="AH114" t="s">
        <v>25</v>
      </c>
      <c r="AI114">
        <v>1106</v>
      </c>
      <c r="AJ114" t="s">
        <v>246</v>
      </c>
      <c r="AK114" t="s">
        <v>1346</v>
      </c>
      <c r="AQ114" t="s">
        <v>431</v>
      </c>
      <c r="AS114" t="str">
        <f t="shared" si="2"/>
        <v>FB011404</v>
      </c>
    </row>
    <row r="115" spans="1:45" ht="15" customHeight="1">
      <c r="A115" t="s">
        <v>221</v>
      </c>
      <c r="B115">
        <v>1403</v>
      </c>
      <c r="C115" t="s">
        <v>27</v>
      </c>
      <c r="D115" s="8">
        <v>45693</v>
      </c>
      <c r="E115" s="22">
        <v>45946</v>
      </c>
      <c r="F115" t="s">
        <v>431</v>
      </c>
      <c r="G115" t="s">
        <v>158</v>
      </c>
      <c r="H115">
        <v>6</v>
      </c>
      <c r="I115">
        <v>20296011356</v>
      </c>
      <c r="J115" t="s">
        <v>1406</v>
      </c>
      <c r="K115" s="8">
        <v>45693</v>
      </c>
      <c r="Q115">
        <v>1</v>
      </c>
      <c r="R115">
        <v>921</v>
      </c>
      <c r="S115" t="s">
        <v>1407</v>
      </c>
      <c r="T115" t="s">
        <v>219</v>
      </c>
      <c r="U115">
        <v>1</v>
      </c>
      <c r="V115">
        <v>600</v>
      </c>
      <c r="W115">
        <v>708</v>
      </c>
      <c r="X115">
        <v>0</v>
      </c>
      <c r="Y115">
        <v>600</v>
      </c>
      <c r="Z115">
        <v>18</v>
      </c>
      <c r="AA115">
        <v>108</v>
      </c>
      <c r="AB115">
        <v>708</v>
      </c>
      <c r="AC115">
        <v>1</v>
      </c>
      <c r="AE115" t="s">
        <v>239</v>
      </c>
      <c r="AF115" t="s">
        <v>29</v>
      </c>
      <c r="AG115">
        <v>2</v>
      </c>
      <c r="AH115" t="s">
        <v>25</v>
      </c>
      <c r="AI115">
        <v>1106</v>
      </c>
      <c r="AJ115" t="s">
        <v>246</v>
      </c>
      <c r="AK115" t="s">
        <v>1408</v>
      </c>
      <c r="AQ115" t="s">
        <v>431</v>
      </c>
      <c r="AS115" t="str">
        <f t="shared" si="2"/>
        <v>FB011403</v>
      </c>
    </row>
    <row r="116" spans="1:45" ht="15" customHeight="1">
      <c r="A116" t="s">
        <v>221</v>
      </c>
      <c r="B116">
        <v>1402</v>
      </c>
      <c r="C116" t="s">
        <v>27</v>
      </c>
      <c r="D116" s="8">
        <v>45693</v>
      </c>
      <c r="E116" s="22">
        <v>45946</v>
      </c>
      <c r="F116" t="s">
        <v>431</v>
      </c>
      <c r="G116" t="s">
        <v>158</v>
      </c>
      <c r="H116">
        <v>6</v>
      </c>
      <c r="I116">
        <v>20296011356</v>
      </c>
      <c r="J116" t="s">
        <v>1409</v>
      </c>
      <c r="K116" s="8">
        <v>45693</v>
      </c>
      <c r="Q116">
        <v>1</v>
      </c>
      <c r="R116">
        <v>973</v>
      </c>
      <c r="S116" s="29" t="s">
        <v>1410</v>
      </c>
      <c r="T116" t="s">
        <v>219</v>
      </c>
      <c r="U116">
        <v>1</v>
      </c>
      <c r="V116">
        <v>1200</v>
      </c>
      <c r="W116">
        <v>1416</v>
      </c>
      <c r="X116">
        <v>0</v>
      </c>
      <c r="Y116">
        <v>1200</v>
      </c>
      <c r="Z116">
        <v>18</v>
      </c>
      <c r="AA116">
        <v>216</v>
      </c>
      <c r="AB116">
        <v>1416</v>
      </c>
      <c r="AC116">
        <v>1</v>
      </c>
      <c r="AE116" t="s">
        <v>239</v>
      </c>
      <c r="AF116" t="s">
        <v>29</v>
      </c>
      <c r="AG116">
        <v>2</v>
      </c>
      <c r="AH116" t="s">
        <v>25</v>
      </c>
      <c r="AI116">
        <v>1106</v>
      </c>
      <c r="AJ116" t="s">
        <v>246</v>
      </c>
      <c r="AK116" t="s">
        <v>1342</v>
      </c>
      <c r="AQ116" t="s">
        <v>431</v>
      </c>
      <c r="AS116" t="str">
        <f t="shared" si="2"/>
        <v>FB011402</v>
      </c>
    </row>
    <row r="117" spans="1:45" ht="15" customHeight="1">
      <c r="A117" t="s">
        <v>221</v>
      </c>
      <c r="B117">
        <v>1401</v>
      </c>
      <c r="C117" t="s">
        <v>27</v>
      </c>
      <c r="D117" s="8">
        <v>45693</v>
      </c>
      <c r="E117" s="22">
        <v>45946</v>
      </c>
      <c r="F117" t="s">
        <v>431</v>
      </c>
      <c r="G117" t="s">
        <v>158</v>
      </c>
      <c r="H117">
        <v>6</v>
      </c>
      <c r="I117">
        <v>20296011356</v>
      </c>
      <c r="J117" t="s">
        <v>1411</v>
      </c>
      <c r="K117" s="8">
        <v>45693</v>
      </c>
      <c r="Q117">
        <v>1</v>
      </c>
      <c r="R117">
        <v>877</v>
      </c>
      <c r="S117" t="s">
        <v>197</v>
      </c>
      <c r="T117" t="s">
        <v>219</v>
      </c>
      <c r="U117">
        <v>1</v>
      </c>
      <c r="V117">
        <v>1693.39</v>
      </c>
      <c r="W117">
        <v>1998.2</v>
      </c>
      <c r="X117">
        <v>0</v>
      </c>
      <c r="Y117">
        <v>1693.39</v>
      </c>
      <c r="Z117">
        <v>18</v>
      </c>
      <c r="AA117">
        <v>304.81</v>
      </c>
      <c r="AB117">
        <v>1998.2</v>
      </c>
      <c r="AC117">
        <v>1</v>
      </c>
      <c r="AE117" t="s">
        <v>239</v>
      </c>
      <c r="AF117" t="s">
        <v>29</v>
      </c>
      <c r="AG117">
        <v>2</v>
      </c>
      <c r="AH117" t="s">
        <v>25</v>
      </c>
      <c r="AI117">
        <v>1106</v>
      </c>
      <c r="AJ117" t="s">
        <v>246</v>
      </c>
      <c r="AK117" t="s">
        <v>1346</v>
      </c>
      <c r="AQ117" t="s">
        <v>431</v>
      </c>
      <c r="AS117" t="str">
        <f t="shared" si="2"/>
        <v>FB011401</v>
      </c>
    </row>
    <row r="118" spans="1:45" ht="15" customHeight="1">
      <c r="A118" t="s">
        <v>221</v>
      </c>
      <c r="B118">
        <v>1400</v>
      </c>
      <c r="C118" t="s">
        <v>27</v>
      </c>
      <c r="D118" s="8">
        <v>45693</v>
      </c>
      <c r="E118" s="22">
        <v>45946</v>
      </c>
      <c r="F118" t="s">
        <v>431</v>
      </c>
      <c r="G118" t="s">
        <v>158</v>
      </c>
      <c r="H118">
        <v>6</v>
      </c>
      <c r="I118">
        <v>20296011356</v>
      </c>
      <c r="J118" t="s">
        <v>1412</v>
      </c>
      <c r="K118" s="8">
        <v>45693</v>
      </c>
      <c r="Q118">
        <v>1</v>
      </c>
      <c r="R118">
        <v>870</v>
      </c>
      <c r="S118" t="s">
        <v>1227</v>
      </c>
      <c r="T118" t="s">
        <v>219</v>
      </c>
      <c r="U118">
        <v>1</v>
      </c>
      <c r="V118">
        <v>660</v>
      </c>
      <c r="W118">
        <v>778.8</v>
      </c>
      <c r="X118">
        <v>0</v>
      </c>
      <c r="Y118">
        <v>660</v>
      </c>
      <c r="Z118">
        <v>18</v>
      </c>
      <c r="AA118">
        <v>118.8</v>
      </c>
      <c r="AB118">
        <v>778.8</v>
      </c>
      <c r="AC118">
        <v>1</v>
      </c>
      <c r="AE118" t="s">
        <v>239</v>
      </c>
      <c r="AF118" t="s">
        <v>29</v>
      </c>
      <c r="AG118">
        <v>2</v>
      </c>
      <c r="AH118" t="s">
        <v>25</v>
      </c>
      <c r="AI118">
        <v>1106</v>
      </c>
      <c r="AJ118" t="s">
        <v>246</v>
      </c>
      <c r="AK118" t="s">
        <v>1346</v>
      </c>
      <c r="AQ118" t="s">
        <v>431</v>
      </c>
      <c r="AS118" t="str">
        <f t="shared" si="2"/>
        <v>FB011400</v>
      </c>
    </row>
    <row r="119" spans="1:45" ht="15" customHeight="1">
      <c r="A119" t="s">
        <v>221</v>
      </c>
      <c r="B119">
        <v>1399</v>
      </c>
      <c r="C119" t="s">
        <v>27</v>
      </c>
      <c r="D119" s="8">
        <v>45693</v>
      </c>
      <c r="E119" s="22">
        <v>45946</v>
      </c>
      <c r="F119" t="s">
        <v>442</v>
      </c>
      <c r="H119">
        <v>6</v>
      </c>
      <c r="I119">
        <v>20603210868</v>
      </c>
      <c r="J119" t="s">
        <v>1413</v>
      </c>
      <c r="K119" s="8">
        <v>45693</v>
      </c>
      <c r="Q119">
        <v>1</v>
      </c>
      <c r="R119">
        <v>972</v>
      </c>
      <c r="S119" t="s">
        <v>1414</v>
      </c>
      <c r="T119" t="s">
        <v>219</v>
      </c>
      <c r="U119">
        <v>1</v>
      </c>
      <c r="V119">
        <v>308</v>
      </c>
      <c r="W119">
        <v>363.44</v>
      </c>
      <c r="X119">
        <v>0</v>
      </c>
      <c r="Y119">
        <v>308</v>
      </c>
      <c r="Z119">
        <v>18</v>
      </c>
      <c r="AA119">
        <v>55.44</v>
      </c>
      <c r="AB119">
        <v>363.44</v>
      </c>
      <c r="AC119">
        <v>1</v>
      </c>
      <c r="AE119" t="s">
        <v>239</v>
      </c>
      <c r="AF119" t="s">
        <v>29</v>
      </c>
      <c r="AG119">
        <v>2</v>
      </c>
      <c r="AH119" t="s">
        <v>25</v>
      </c>
      <c r="AI119">
        <v>1106</v>
      </c>
      <c r="AJ119" t="s">
        <v>246</v>
      </c>
      <c r="AK119" t="s">
        <v>1346</v>
      </c>
      <c r="AQ119" t="s">
        <v>442</v>
      </c>
      <c r="AS119" t="str">
        <f t="shared" si="2"/>
        <v>FB011399</v>
      </c>
    </row>
    <row r="120" spans="1:45" ht="15" customHeight="1">
      <c r="A120" t="s">
        <v>221</v>
      </c>
      <c r="B120">
        <v>1398</v>
      </c>
      <c r="C120" t="s">
        <v>27</v>
      </c>
      <c r="D120" s="8">
        <v>45693</v>
      </c>
      <c r="E120" s="22">
        <v>45946</v>
      </c>
      <c r="F120" t="s">
        <v>442</v>
      </c>
      <c r="H120">
        <v>6</v>
      </c>
      <c r="I120">
        <v>20603210868</v>
      </c>
      <c r="J120" t="s">
        <v>1415</v>
      </c>
      <c r="K120" s="8">
        <v>45693</v>
      </c>
      <c r="Q120">
        <v>1</v>
      </c>
      <c r="R120">
        <v>877</v>
      </c>
      <c r="S120" t="s">
        <v>197</v>
      </c>
      <c r="T120" t="s">
        <v>219</v>
      </c>
      <c r="U120">
        <v>1</v>
      </c>
      <c r="V120">
        <v>298.87</v>
      </c>
      <c r="W120">
        <v>352.67</v>
      </c>
      <c r="X120">
        <v>0</v>
      </c>
      <c r="Y120">
        <v>298.87</v>
      </c>
      <c r="Z120">
        <v>18</v>
      </c>
      <c r="AA120">
        <v>53.8</v>
      </c>
      <c r="AB120">
        <v>352.67</v>
      </c>
      <c r="AC120">
        <v>1</v>
      </c>
      <c r="AE120" t="s">
        <v>239</v>
      </c>
      <c r="AF120" t="s">
        <v>29</v>
      </c>
      <c r="AG120">
        <v>2</v>
      </c>
      <c r="AH120" t="s">
        <v>25</v>
      </c>
      <c r="AI120">
        <v>1106</v>
      </c>
      <c r="AJ120" t="s">
        <v>246</v>
      </c>
      <c r="AK120" t="s">
        <v>1346</v>
      </c>
      <c r="AQ120" t="s">
        <v>442</v>
      </c>
      <c r="AS120" t="str">
        <f t="shared" si="2"/>
        <v>FB011398</v>
      </c>
    </row>
    <row r="121" spans="1:45" ht="15" customHeight="1">
      <c r="A121" t="s">
        <v>221</v>
      </c>
      <c r="B121">
        <v>1397</v>
      </c>
      <c r="C121" t="s">
        <v>27</v>
      </c>
      <c r="D121" s="8">
        <v>45693</v>
      </c>
      <c r="E121" s="22">
        <v>45946</v>
      </c>
      <c r="F121" t="s">
        <v>442</v>
      </c>
      <c r="H121">
        <v>6</v>
      </c>
      <c r="I121">
        <v>20603210868</v>
      </c>
      <c r="J121" t="s">
        <v>1416</v>
      </c>
      <c r="K121" s="8">
        <v>45693</v>
      </c>
      <c r="Q121">
        <v>1</v>
      </c>
      <c r="R121">
        <v>870</v>
      </c>
      <c r="S121" t="s">
        <v>1227</v>
      </c>
      <c r="T121" t="s">
        <v>219</v>
      </c>
      <c r="U121">
        <v>1</v>
      </c>
      <c r="V121">
        <v>183.02</v>
      </c>
      <c r="W121">
        <v>215.96</v>
      </c>
      <c r="X121">
        <v>0</v>
      </c>
      <c r="Y121">
        <v>183.02</v>
      </c>
      <c r="Z121">
        <v>18</v>
      </c>
      <c r="AA121">
        <v>32.94</v>
      </c>
      <c r="AB121">
        <v>215.96</v>
      </c>
      <c r="AC121">
        <v>1</v>
      </c>
      <c r="AE121" t="s">
        <v>239</v>
      </c>
      <c r="AF121" t="s">
        <v>29</v>
      </c>
      <c r="AG121">
        <v>2</v>
      </c>
      <c r="AH121" t="s">
        <v>25</v>
      </c>
      <c r="AI121">
        <v>1106</v>
      </c>
      <c r="AJ121" t="s">
        <v>246</v>
      </c>
      <c r="AK121" t="s">
        <v>1346</v>
      </c>
      <c r="AQ121" t="s">
        <v>442</v>
      </c>
      <c r="AS121" t="str">
        <f t="shared" si="2"/>
        <v>FB011397</v>
      </c>
    </row>
    <row r="122" spans="1:45" ht="15" customHeight="1">
      <c r="A122" t="s">
        <v>1349</v>
      </c>
      <c r="B122">
        <v>735</v>
      </c>
      <c r="C122" t="s">
        <v>27</v>
      </c>
      <c r="D122" s="8">
        <v>45693</v>
      </c>
      <c r="E122" s="22">
        <v>45946</v>
      </c>
      <c r="F122" t="s">
        <v>568</v>
      </c>
      <c r="H122">
        <v>1</v>
      </c>
      <c r="I122">
        <v>47332687</v>
      </c>
      <c r="J122" t="s">
        <v>1417</v>
      </c>
      <c r="K122" s="8">
        <v>45693</v>
      </c>
      <c r="Q122">
        <v>1</v>
      </c>
      <c r="R122">
        <v>877</v>
      </c>
      <c r="S122" t="s">
        <v>197</v>
      </c>
      <c r="T122" t="s">
        <v>219</v>
      </c>
      <c r="U122">
        <v>1</v>
      </c>
      <c r="V122">
        <v>3.48</v>
      </c>
      <c r="W122">
        <v>4.1100000000000003</v>
      </c>
      <c r="X122">
        <v>0</v>
      </c>
      <c r="Y122">
        <v>3.48</v>
      </c>
      <c r="Z122">
        <v>18.100000000000001</v>
      </c>
      <c r="AA122">
        <v>0.63</v>
      </c>
      <c r="AB122">
        <v>4.1100000000000003</v>
      </c>
      <c r="AC122">
        <v>1</v>
      </c>
      <c r="AE122" t="s">
        <v>239</v>
      </c>
      <c r="AF122" t="s">
        <v>29</v>
      </c>
      <c r="AG122">
        <v>2</v>
      </c>
      <c r="AH122" t="s">
        <v>25</v>
      </c>
      <c r="AI122">
        <v>1106</v>
      </c>
      <c r="AJ122" t="s">
        <v>246</v>
      </c>
      <c r="AK122" t="s">
        <v>1346</v>
      </c>
      <c r="AQ122" s="29" t="s">
        <v>1418</v>
      </c>
      <c r="AS122" t="str">
        <f t="shared" si="2"/>
        <v>BB01735</v>
      </c>
    </row>
    <row r="123" spans="1:45" ht="15" customHeight="1">
      <c r="A123" t="s">
        <v>1349</v>
      </c>
      <c r="B123">
        <v>734</v>
      </c>
      <c r="C123" t="s">
        <v>27</v>
      </c>
      <c r="D123" s="8">
        <v>45693</v>
      </c>
      <c r="E123" s="22">
        <v>45946</v>
      </c>
      <c r="F123" t="s">
        <v>568</v>
      </c>
      <c r="H123">
        <v>1</v>
      </c>
      <c r="I123">
        <v>47332687</v>
      </c>
      <c r="J123" t="s">
        <v>1419</v>
      </c>
      <c r="K123" s="8">
        <v>45693</v>
      </c>
      <c r="Q123">
        <v>1</v>
      </c>
      <c r="R123">
        <v>870</v>
      </c>
      <c r="S123" t="s">
        <v>1227</v>
      </c>
      <c r="T123" t="s">
        <v>219</v>
      </c>
      <c r="U123">
        <v>1</v>
      </c>
      <c r="V123">
        <v>3</v>
      </c>
      <c r="W123">
        <v>3.54</v>
      </c>
      <c r="X123">
        <v>0</v>
      </c>
      <c r="Y123">
        <v>3</v>
      </c>
      <c r="Z123">
        <v>18</v>
      </c>
      <c r="AA123">
        <v>0.54</v>
      </c>
      <c r="AB123">
        <v>3.54</v>
      </c>
      <c r="AC123">
        <v>1</v>
      </c>
      <c r="AE123" t="s">
        <v>239</v>
      </c>
      <c r="AF123" t="s">
        <v>29</v>
      </c>
      <c r="AG123">
        <v>2</v>
      </c>
      <c r="AH123" t="s">
        <v>25</v>
      </c>
      <c r="AI123">
        <v>1106</v>
      </c>
      <c r="AJ123" t="s">
        <v>246</v>
      </c>
      <c r="AK123" t="s">
        <v>1346</v>
      </c>
      <c r="AQ123" s="29" t="s">
        <v>1418</v>
      </c>
      <c r="AS123" t="str">
        <f t="shared" si="2"/>
        <v>BB01734</v>
      </c>
    </row>
    <row r="124" spans="1:45" ht="15" customHeight="1">
      <c r="A124" t="s">
        <v>221</v>
      </c>
      <c r="B124">
        <v>1396</v>
      </c>
      <c r="C124" t="s">
        <v>27</v>
      </c>
      <c r="D124" s="8">
        <v>45693</v>
      </c>
      <c r="E124" s="22">
        <v>45946</v>
      </c>
      <c r="F124" t="s">
        <v>449</v>
      </c>
      <c r="H124">
        <v>6</v>
      </c>
      <c r="I124">
        <v>20609584719</v>
      </c>
      <c r="J124" t="s">
        <v>1420</v>
      </c>
      <c r="K124" s="8">
        <v>45693</v>
      </c>
      <c r="Q124">
        <v>1</v>
      </c>
      <c r="R124">
        <v>877</v>
      </c>
      <c r="S124" t="s">
        <v>197</v>
      </c>
      <c r="T124" t="s">
        <v>219</v>
      </c>
      <c r="U124">
        <v>1</v>
      </c>
      <c r="V124">
        <v>54.07</v>
      </c>
      <c r="W124">
        <v>63.8</v>
      </c>
      <c r="X124">
        <v>0</v>
      </c>
      <c r="Y124">
        <v>54.07</v>
      </c>
      <c r="Z124">
        <v>18</v>
      </c>
      <c r="AA124">
        <v>9.73</v>
      </c>
      <c r="AB124">
        <v>63.8</v>
      </c>
      <c r="AC124">
        <v>1</v>
      </c>
      <c r="AE124" t="s">
        <v>239</v>
      </c>
      <c r="AF124" t="s">
        <v>29</v>
      </c>
      <c r="AG124">
        <v>2</v>
      </c>
      <c r="AH124" t="s">
        <v>25</v>
      </c>
      <c r="AI124">
        <v>1106</v>
      </c>
      <c r="AJ124" t="s">
        <v>246</v>
      </c>
      <c r="AK124" t="s">
        <v>1346</v>
      </c>
      <c r="AQ124" t="s">
        <v>449</v>
      </c>
      <c r="AS124" t="str">
        <f t="shared" si="2"/>
        <v>FB011396</v>
      </c>
    </row>
    <row r="125" spans="1:45" ht="15" customHeight="1">
      <c r="A125" t="s">
        <v>221</v>
      </c>
      <c r="B125">
        <v>1395</v>
      </c>
      <c r="C125" t="s">
        <v>27</v>
      </c>
      <c r="D125" s="8">
        <v>45693</v>
      </c>
      <c r="E125" s="22">
        <v>45946</v>
      </c>
      <c r="F125" t="s">
        <v>449</v>
      </c>
      <c r="H125">
        <v>6</v>
      </c>
      <c r="I125">
        <v>20609584719</v>
      </c>
      <c r="J125" t="s">
        <v>1421</v>
      </c>
      <c r="K125" s="8">
        <v>45693</v>
      </c>
      <c r="Q125">
        <v>1</v>
      </c>
      <c r="R125">
        <v>870</v>
      </c>
      <c r="S125" t="s">
        <v>1227</v>
      </c>
      <c r="T125" t="s">
        <v>219</v>
      </c>
      <c r="U125">
        <v>1</v>
      </c>
      <c r="V125">
        <v>29.49</v>
      </c>
      <c r="W125">
        <v>34.799999999999997</v>
      </c>
      <c r="X125">
        <v>0</v>
      </c>
      <c r="Y125">
        <v>29.49</v>
      </c>
      <c r="Z125">
        <v>18.010000000000002</v>
      </c>
      <c r="AA125">
        <v>5.31</v>
      </c>
      <c r="AB125">
        <v>34.799999999999997</v>
      </c>
      <c r="AC125">
        <v>1</v>
      </c>
      <c r="AE125" t="s">
        <v>239</v>
      </c>
      <c r="AF125" t="s">
        <v>29</v>
      </c>
      <c r="AG125">
        <v>2</v>
      </c>
      <c r="AH125" t="s">
        <v>25</v>
      </c>
      <c r="AI125">
        <v>1106</v>
      </c>
      <c r="AJ125" t="s">
        <v>246</v>
      </c>
      <c r="AK125" t="s">
        <v>1346</v>
      </c>
      <c r="AQ125" t="s">
        <v>449</v>
      </c>
      <c r="AS125" t="str">
        <f t="shared" si="2"/>
        <v>FB011395</v>
      </c>
    </row>
    <row r="126" spans="1:45" ht="15" customHeight="1">
      <c r="A126" t="s">
        <v>221</v>
      </c>
      <c r="B126">
        <v>1394</v>
      </c>
      <c r="C126" t="s">
        <v>27</v>
      </c>
      <c r="D126" s="8">
        <v>45693</v>
      </c>
      <c r="E126" s="22">
        <v>45946</v>
      </c>
      <c r="F126" t="s">
        <v>454</v>
      </c>
      <c r="H126">
        <v>6</v>
      </c>
      <c r="I126">
        <v>20610014381</v>
      </c>
      <c r="J126" t="s">
        <v>1422</v>
      </c>
      <c r="K126" s="8">
        <v>45693</v>
      </c>
      <c r="Q126">
        <v>1</v>
      </c>
      <c r="R126">
        <v>877</v>
      </c>
      <c r="S126" t="s">
        <v>197</v>
      </c>
      <c r="T126" t="s">
        <v>219</v>
      </c>
      <c r="U126">
        <v>1</v>
      </c>
      <c r="V126">
        <v>16.440000000000001</v>
      </c>
      <c r="W126">
        <v>19.399999999999999</v>
      </c>
      <c r="X126">
        <v>0</v>
      </c>
      <c r="Y126">
        <v>16.440000000000001</v>
      </c>
      <c r="Z126">
        <v>18</v>
      </c>
      <c r="AA126">
        <v>2.96</v>
      </c>
      <c r="AB126">
        <v>19.399999999999999</v>
      </c>
      <c r="AC126">
        <v>1</v>
      </c>
      <c r="AE126" t="s">
        <v>239</v>
      </c>
      <c r="AF126" t="s">
        <v>29</v>
      </c>
      <c r="AG126">
        <v>2</v>
      </c>
      <c r="AH126" t="s">
        <v>25</v>
      </c>
      <c r="AI126">
        <v>1106</v>
      </c>
      <c r="AJ126" t="s">
        <v>246</v>
      </c>
      <c r="AK126" t="s">
        <v>1346</v>
      </c>
      <c r="AQ126" t="s">
        <v>454</v>
      </c>
      <c r="AS126" t="str">
        <f t="shared" si="2"/>
        <v>FB011394</v>
      </c>
    </row>
    <row r="127" spans="1:45" ht="15" customHeight="1">
      <c r="A127" t="s">
        <v>221</v>
      </c>
      <c r="B127">
        <v>1393</v>
      </c>
      <c r="C127" t="s">
        <v>27</v>
      </c>
      <c r="D127" s="8">
        <v>45693</v>
      </c>
      <c r="E127" s="22">
        <v>45946</v>
      </c>
      <c r="F127" t="s">
        <v>454</v>
      </c>
      <c r="H127">
        <v>6</v>
      </c>
      <c r="I127">
        <v>20610014381</v>
      </c>
      <c r="J127" t="s">
        <v>1423</v>
      </c>
      <c r="K127" s="8">
        <v>45693</v>
      </c>
      <c r="Q127">
        <v>1</v>
      </c>
      <c r="R127">
        <v>870</v>
      </c>
      <c r="S127" t="s">
        <v>1227</v>
      </c>
      <c r="T127" t="s">
        <v>219</v>
      </c>
      <c r="U127">
        <v>1</v>
      </c>
      <c r="V127">
        <v>18.05</v>
      </c>
      <c r="W127">
        <v>21.3</v>
      </c>
      <c r="X127">
        <v>0</v>
      </c>
      <c r="Y127">
        <v>18.05</v>
      </c>
      <c r="Z127">
        <v>18.010000000000002</v>
      </c>
      <c r="AA127">
        <v>3.25</v>
      </c>
      <c r="AB127">
        <v>21.3</v>
      </c>
      <c r="AC127">
        <v>1</v>
      </c>
      <c r="AE127" t="s">
        <v>239</v>
      </c>
      <c r="AF127" t="s">
        <v>29</v>
      </c>
      <c r="AG127">
        <v>2</v>
      </c>
      <c r="AH127" t="s">
        <v>25</v>
      </c>
      <c r="AI127">
        <v>1106</v>
      </c>
      <c r="AJ127" t="s">
        <v>246</v>
      </c>
      <c r="AK127" t="s">
        <v>1346</v>
      </c>
      <c r="AQ127" t="s">
        <v>454</v>
      </c>
      <c r="AS127" t="str">
        <f t="shared" si="2"/>
        <v>FB011393</v>
      </c>
    </row>
    <row r="128" spans="1:45" ht="15" customHeight="1">
      <c r="A128" t="s">
        <v>221</v>
      </c>
      <c r="B128">
        <v>1392</v>
      </c>
      <c r="C128" t="s">
        <v>27</v>
      </c>
      <c r="D128" s="8">
        <v>45693</v>
      </c>
      <c r="E128" s="22">
        <v>45946</v>
      </c>
      <c r="F128" t="s">
        <v>459</v>
      </c>
      <c r="H128">
        <v>6</v>
      </c>
      <c r="I128">
        <v>20516587874</v>
      </c>
      <c r="J128" t="s">
        <v>1424</v>
      </c>
      <c r="K128" s="8">
        <v>45693</v>
      </c>
      <c r="Q128">
        <v>1</v>
      </c>
      <c r="R128">
        <v>877</v>
      </c>
      <c r="S128" t="s">
        <v>197</v>
      </c>
      <c r="T128" t="s">
        <v>219</v>
      </c>
      <c r="U128">
        <v>1</v>
      </c>
      <c r="V128">
        <v>30.34</v>
      </c>
      <c r="W128">
        <v>35.799999999999997</v>
      </c>
      <c r="X128">
        <v>0</v>
      </c>
      <c r="Y128">
        <v>30.34</v>
      </c>
      <c r="Z128">
        <v>18</v>
      </c>
      <c r="AA128">
        <v>5.46</v>
      </c>
      <c r="AB128">
        <v>35.799999999999997</v>
      </c>
      <c r="AC128">
        <v>1</v>
      </c>
      <c r="AE128" t="s">
        <v>239</v>
      </c>
      <c r="AF128" t="s">
        <v>29</v>
      </c>
      <c r="AG128">
        <v>2</v>
      </c>
      <c r="AH128" t="s">
        <v>25</v>
      </c>
      <c r="AI128">
        <v>1106</v>
      </c>
      <c r="AJ128" t="s">
        <v>246</v>
      </c>
      <c r="AK128" t="s">
        <v>1346</v>
      </c>
      <c r="AQ128" t="s">
        <v>459</v>
      </c>
      <c r="AS128" t="str">
        <f t="shared" si="2"/>
        <v>FB011392</v>
      </c>
    </row>
    <row r="129" spans="1:45" ht="15" customHeight="1">
      <c r="A129" t="s">
        <v>221</v>
      </c>
      <c r="B129">
        <v>1391</v>
      </c>
      <c r="C129" t="s">
        <v>27</v>
      </c>
      <c r="D129" s="8">
        <v>45693</v>
      </c>
      <c r="E129" s="22">
        <v>45946</v>
      </c>
      <c r="F129" t="s">
        <v>459</v>
      </c>
      <c r="H129">
        <v>6</v>
      </c>
      <c r="I129">
        <v>20516587874</v>
      </c>
      <c r="J129" t="s">
        <v>1425</v>
      </c>
      <c r="K129" s="8">
        <v>45693</v>
      </c>
      <c r="Q129">
        <v>1</v>
      </c>
      <c r="R129">
        <v>870</v>
      </c>
      <c r="S129" t="s">
        <v>1227</v>
      </c>
      <c r="T129" t="s">
        <v>219</v>
      </c>
      <c r="U129">
        <v>1</v>
      </c>
      <c r="V129">
        <v>17.29</v>
      </c>
      <c r="W129">
        <v>20.399999999999999</v>
      </c>
      <c r="X129">
        <v>0</v>
      </c>
      <c r="Y129">
        <v>17.29</v>
      </c>
      <c r="Z129">
        <v>17.989999999999998</v>
      </c>
      <c r="AA129">
        <v>3.11</v>
      </c>
      <c r="AB129">
        <v>20.399999999999999</v>
      </c>
      <c r="AC129">
        <v>1</v>
      </c>
      <c r="AE129" t="s">
        <v>239</v>
      </c>
      <c r="AF129" t="s">
        <v>29</v>
      </c>
      <c r="AG129">
        <v>2</v>
      </c>
      <c r="AH129" t="s">
        <v>25</v>
      </c>
      <c r="AI129">
        <v>1106</v>
      </c>
      <c r="AJ129" t="s">
        <v>246</v>
      </c>
      <c r="AK129" t="s">
        <v>1346</v>
      </c>
      <c r="AQ129" t="s">
        <v>459</v>
      </c>
      <c r="AS129" t="str">
        <f t="shared" si="2"/>
        <v>FB011391</v>
      </c>
    </row>
    <row r="130" spans="1:45" ht="15" customHeight="1">
      <c r="A130" t="s">
        <v>221</v>
      </c>
      <c r="B130">
        <v>1390</v>
      </c>
      <c r="C130" t="s">
        <v>27</v>
      </c>
      <c r="D130" s="8">
        <v>45693</v>
      </c>
      <c r="E130" s="22">
        <v>45946</v>
      </c>
      <c r="F130" t="s">
        <v>464</v>
      </c>
      <c r="H130">
        <v>6</v>
      </c>
      <c r="I130">
        <v>20600937112</v>
      </c>
      <c r="J130" t="s">
        <v>1426</v>
      </c>
      <c r="K130" s="8">
        <v>45693</v>
      </c>
      <c r="Q130">
        <v>1</v>
      </c>
      <c r="R130">
        <v>877</v>
      </c>
      <c r="S130" t="s">
        <v>197</v>
      </c>
      <c r="T130" t="s">
        <v>219</v>
      </c>
      <c r="U130">
        <v>1</v>
      </c>
      <c r="V130">
        <v>11.47</v>
      </c>
      <c r="W130">
        <v>13.54</v>
      </c>
      <c r="X130">
        <v>0</v>
      </c>
      <c r="Y130">
        <v>11.47</v>
      </c>
      <c r="Z130">
        <v>18.05</v>
      </c>
      <c r="AA130">
        <v>2.0699999999999998</v>
      </c>
      <c r="AB130">
        <v>13.54</v>
      </c>
      <c r="AC130">
        <v>1</v>
      </c>
      <c r="AE130" t="s">
        <v>239</v>
      </c>
      <c r="AF130" t="s">
        <v>29</v>
      </c>
      <c r="AG130">
        <v>2</v>
      </c>
      <c r="AH130" t="s">
        <v>25</v>
      </c>
      <c r="AI130">
        <v>1106</v>
      </c>
      <c r="AJ130" t="s">
        <v>246</v>
      </c>
      <c r="AK130" t="s">
        <v>1346</v>
      </c>
      <c r="AQ130" t="s">
        <v>464</v>
      </c>
      <c r="AS130" t="str">
        <f t="shared" si="2"/>
        <v>FB011390</v>
      </c>
    </row>
    <row r="131" spans="1:45" ht="15" customHeight="1">
      <c r="A131" t="s">
        <v>221</v>
      </c>
      <c r="B131">
        <v>1389</v>
      </c>
      <c r="C131" t="s">
        <v>27</v>
      </c>
      <c r="D131" s="8">
        <v>45693</v>
      </c>
      <c r="E131" s="22">
        <v>45946</v>
      </c>
      <c r="F131" t="s">
        <v>464</v>
      </c>
      <c r="H131">
        <v>6</v>
      </c>
      <c r="I131">
        <v>20600937112</v>
      </c>
      <c r="J131" t="s">
        <v>1427</v>
      </c>
      <c r="K131" s="8">
        <v>45693</v>
      </c>
      <c r="Q131">
        <v>1</v>
      </c>
      <c r="R131">
        <v>870</v>
      </c>
      <c r="S131" t="s">
        <v>1227</v>
      </c>
      <c r="T131" t="s">
        <v>219</v>
      </c>
      <c r="U131">
        <v>1</v>
      </c>
      <c r="V131">
        <v>12.2</v>
      </c>
      <c r="W131">
        <v>14.4</v>
      </c>
      <c r="X131">
        <v>0</v>
      </c>
      <c r="Y131">
        <v>12.2</v>
      </c>
      <c r="Z131">
        <v>18.03</v>
      </c>
      <c r="AA131">
        <v>2.2000000000000002</v>
      </c>
      <c r="AB131">
        <v>14.4</v>
      </c>
      <c r="AC131">
        <v>1</v>
      </c>
      <c r="AE131" t="s">
        <v>239</v>
      </c>
      <c r="AF131" t="s">
        <v>29</v>
      </c>
      <c r="AG131">
        <v>2</v>
      </c>
      <c r="AH131" t="s">
        <v>25</v>
      </c>
      <c r="AI131">
        <v>1106</v>
      </c>
      <c r="AJ131" t="s">
        <v>246</v>
      </c>
      <c r="AK131" t="s">
        <v>1346</v>
      </c>
      <c r="AQ131" t="s">
        <v>464</v>
      </c>
      <c r="AS131" t="str">
        <f t="shared" si="2"/>
        <v>FB011389</v>
      </c>
    </row>
    <row r="132" spans="1:45" ht="15" customHeight="1">
      <c r="A132" t="s">
        <v>221</v>
      </c>
      <c r="B132">
        <v>1388</v>
      </c>
      <c r="C132" t="s">
        <v>27</v>
      </c>
      <c r="D132" s="8">
        <v>45693</v>
      </c>
      <c r="E132" s="22">
        <v>45946</v>
      </c>
      <c r="F132" t="s">
        <v>469</v>
      </c>
      <c r="G132" t="s">
        <v>158</v>
      </c>
      <c r="H132">
        <v>6</v>
      </c>
      <c r="I132">
        <v>20608627422</v>
      </c>
      <c r="J132" t="s">
        <v>1428</v>
      </c>
      <c r="K132" s="8">
        <v>45693</v>
      </c>
      <c r="Q132">
        <v>1</v>
      </c>
      <c r="R132">
        <v>877</v>
      </c>
      <c r="S132" t="s">
        <v>197</v>
      </c>
      <c r="T132" t="s">
        <v>219</v>
      </c>
      <c r="U132">
        <v>1</v>
      </c>
      <c r="V132">
        <v>1553.9</v>
      </c>
      <c r="W132">
        <v>1833.6</v>
      </c>
      <c r="X132">
        <v>0</v>
      </c>
      <c r="Y132">
        <v>1553.9</v>
      </c>
      <c r="Z132">
        <v>18</v>
      </c>
      <c r="AA132">
        <v>279.7</v>
      </c>
      <c r="AB132">
        <v>1833.6</v>
      </c>
      <c r="AC132">
        <v>1</v>
      </c>
      <c r="AE132" t="s">
        <v>239</v>
      </c>
      <c r="AF132" t="s">
        <v>29</v>
      </c>
      <c r="AG132">
        <v>2</v>
      </c>
      <c r="AH132" t="s">
        <v>25</v>
      </c>
      <c r="AI132">
        <v>1106</v>
      </c>
      <c r="AJ132" t="s">
        <v>246</v>
      </c>
      <c r="AK132" t="s">
        <v>1346</v>
      </c>
      <c r="AQ132" t="s">
        <v>469</v>
      </c>
      <c r="AS132" t="str">
        <f t="shared" si="2"/>
        <v>FB011388</v>
      </c>
    </row>
    <row r="133" spans="1:45" ht="15" customHeight="1">
      <c r="A133" t="s">
        <v>221</v>
      </c>
      <c r="B133">
        <v>1387</v>
      </c>
      <c r="C133" t="s">
        <v>27</v>
      </c>
      <c r="D133" s="8">
        <v>45693</v>
      </c>
      <c r="E133" s="22">
        <v>45946</v>
      </c>
      <c r="F133" t="s">
        <v>469</v>
      </c>
      <c r="G133" t="s">
        <v>158</v>
      </c>
      <c r="H133">
        <v>6</v>
      </c>
      <c r="I133">
        <v>20608627422</v>
      </c>
      <c r="J133" t="s">
        <v>1429</v>
      </c>
      <c r="K133" s="8">
        <v>45693</v>
      </c>
      <c r="Q133">
        <v>1</v>
      </c>
      <c r="R133">
        <v>870</v>
      </c>
      <c r="S133" t="s">
        <v>1227</v>
      </c>
      <c r="T133" t="s">
        <v>219</v>
      </c>
      <c r="U133">
        <v>1</v>
      </c>
      <c r="V133">
        <v>1180.25</v>
      </c>
      <c r="W133">
        <v>1392.7</v>
      </c>
      <c r="X133">
        <v>0</v>
      </c>
      <c r="Y133">
        <v>1180.25</v>
      </c>
      <c r="Z133">
        <v>18</v>
      </c>
      <c r="AA133">
        <v>212.45</v>
      </c>
      <c r="AB133">
        <v>1392.7</v>
      </c>
      <c r="AC133">
        <v>1</v>
      </c>
      <c r="AE133" t="s">
        <v>239</v>
      </c>
      <c r="AF133" t="s">
        <v>29</v>
      </c>
      <c r="AG133">
        <v>2</v>
      </c>
      <c r="AH133" t="s">
        <v>25</v>
      </c>
      <c r="AI133">
        <v>1106</v>
      </c>
      <c r="AJ133" t="s">
        <v>246</v>
      </c>
      <c r="AK133" t="s">
        <v>1346</v>
      </c>
      <c r="AQ133" t="s">
        <v>469</v>
      </c>
      <c r="AS133" t="str">
        <f t="shared" si="2"/>
        <v>FB011387</v>
      </c>
    </row>
    <row r="134" spans="1:45" ht="15" customHeight="1">
      <c r="A134" t="s">
        <v>221</v>
      </c>
      <c r="B134">
        <v>1386</v>
      </c>
      <c r="C134" t="s">
        <v>27</v>
      </c>
      <c r="D134" s="8">
        <v>45693</v>
      </c>
      <c r="E134" s="22">
        <v>45946</v>
      </c>
      <c r="F134" t="s">
        <v>422</v>
      </c>
      <c r="H134">
        <v>6</v>
      </c>
      <c r="I134">
        <v>20611890746</v>
      </c>
      <c r="J134" t="s">
        <v>1393</v>
      </c>
      <c r="K134" s="8">
        <v>45693</v>
      </c>
      <c r="Q134">
        <v>1</v>
      </c>
      <c r="R134">
        <v>874</v>
      </c>
      <c r="S134" t="s">
        <v>1390</v>
      </c>
      <c r="T134" t="s">
        <v>219</v>
      </c>
      <c r="U134">
        <v>1</v>
      </c>
      <c r="V134">
        <v>1</v>
      </c>
      <c r="W134">
        <v>1.18</v>
      </c>
      <c r="X134">
        <v>0</v>
      </c>
      <c r="Y134">
        <v>1</v>
      </c>
      <c r="Z134">
        <v>18</v>
      </c>
      <c r="AA134">
        <v>0.18</v>
      </c>
      <c r="AB134">
        <v>1.18</v>
      </c>
      <c r="AC134">
        <v>1</v>
      </c>
      <c r="AE134" t="s">
        <v>239</v>
      </c>
      <c r="AF134" t="s">
        <v>29</v>
      </c>
      <c r="AG134">
        <v>2</v>
      </c>
      <c r="AH134" t="s">
        <v>25</v>
      </c>
      <c r="AI134">
        <v>1106</v>
      </c>
      <c r="AJ134" t="s">
        <v>246</v>
      </c>
      <c r="AK134" t="s">
        <v>1346</v>
      </c>
      <c r="AQ134" t="s">
        <v>422</v>
      </c>
      <c r="AS134" t="str">
        <f t="shared" si="2"/>
        <v>FB011386</v>
      </c>
    </row>
    <row r="135" spans="1:45" ht="15" customHeight="1">
      <c r="A135" t="s">
        <v>221</v>
      </c>
      <c r="B135">
        <v>1385</v>
      </c>
      <c r="C135" t="s">
        <v>27</v>
      </c>
      <c r="D135" s="8">
        <v>45693</v>
      </c>
      <c r="E135" s="22">
        <v>45946</v>
      </c>
      <c r="F135" t="s">
        <v>422</v>
      </c>
      <c r="H135">
        <v>6</v>
      </c>
      <c r="I135">
        <v>20611890746</v>
      </c>
      <c r="J135" t="s">
        <v>1430</v>
      </c>
      <c r="K135" s="8">
        <v>45693</v>
      </c>
      <c r="Q135">
        <v>1</v>
      </c>
      <c r="R135">
        <v>877</v>
      </c>
      <c r="S135" t="s">
        <v>197</v>
      </c>
      <c r="T135" t="s">
        <v>219</v>
      </c>
      <c r="U135">
        <v>1</v>
      </c>
      <c r="V135">
        <v>2327.5300000000002</v>
      </c>
      <c r="W135">
        <v>2746.48</v>
      </c>
      <c r="X135">
        <v>0</v>
      </c>
      <c r="Y135">
        <v>2327.5300000000002</v>
      </c>
      <c r="Z135">
        <v>18</v>
      </c>
      <c r="AA135">
        <v>418.95</v>
      </c>
      <c r="AB135">
        <v>2746.48</v>
      </c>
      <c r="AC135">
        <v>1</v>
      </c>
      <c r="AE135" t="s">
        <v>239</v>
      </c>
      <c r="AF135" t="s">
        <v>29</v>
      </c>
      <c r="AG135">
        <v>2</v>
      </c>
      <c r="AH135" t="s">
        <v>25</v>
      </c>
      <c r="AI135">
        <v>1106</v>
      </c>
      <c r="AJ135" t="s">
        <v>246</v>
      </c>
      <c r="AK135" t="s">
        <v>1346</v>
      </c>
      <c r="AQ135" t="s">
        <v>422</v>
      </c>
      <c r="AS135" t="str">
        <f t="shared" si="2"/>
        <v>FB011385</v>
      </c>
    </row>
    <row r="136" spans="1:45" ht="15" customHeight="1">
      <c r="A136" t="s">
        <v>221</v>
      </c>
      <c r="B136">
        <v>1384</v>
      </c>
      <c r="C136" t="s">
        <v>27</v>
      </c>
      <c r="D136" s="8">
        <v>45693</v>
      </c>
      <c r="E136" s="22">
        <v>45946</v>
      </c>
      <c r="F136" t="s">
        <v>422</v>
      </c>
      <c r="H136">
        <v>6</v>
      </c>
      <c r="I136">
        <v>20611890746</v>
      </c>
      <c r="J136" t="s">
        <v>1431</v>
      </c>
      <c r="K136" s="8">
        <v>45693</v>
      </c>
      <c r="Q136">
        <v>1</v>
      </c>
      <c r="R136">
        <v>870</v>
      </c>
      <c r="S136" t="s">
        <v>1227</v>
      </c>
      <c r="T136" t="s">
        <v>219</v>
      </c>
      <c r="U136">
        <v>1</v>
      </c>
      <c r="V136">
        <v>1440.93</v>
      </c>
      <c r="W136">
        <v>1700.3</v>
      </c>
      <c r="X136">
        <v>0</v>
      </c>
      <c r="Y136">
        <v>1440.93</v>
      </c>
      <c r="Z136">
        <v>18</v>
      </c>
      <c r="AA136">
        <v>259.37</v>
      </c>
      <c r="AB136">
        <v>1700.3</v>
      </c>
      <c r="AC136">
        <v>1</v>
      </c>
      <c r="AE136" t="s">
        <v>239</v>
      </c>
      <c r="AF136" t="s">
        <v>29</v>
      </c>
      <c r="AG136">
        <v>2</v>
      </c>
      <c r="AH136" t="s">
        <v>25</v>
      </c>
      <c r="AI136">
        <v>1106</v>
      </c>
      <c r="AJ136" t="s">
        <v>246</v>
      </c>
      <c r="AK136" t="s">
        <v>1346</v>
      </c>
      <c r="AQ136" t="s">
        <v>422</v>
      </c>
      <c r="AS136" t="str">
        <f t="shared" si="2"/>
        <v>FB011384</v>
      </c>
    </row>
    <row r="137" spans="1:45" ht="15" customHeight="1">
      <c r="A137" t="s">
        <v>1349</v>
      </c>
      <c r="B137">
        <v>733</v>
      </c>
      <c r="C137" t="s">
        <v>27</v>
      </c>
      <c r="D137" s="8">
        <v>45693</v>
      </c>
      <c r="E137" s="22">
        <v>45946</v>
      </c>
      <c r="F137" t="s">
        <v>573</v>
      </c>
      <c r="H137">
        <v>1</v>
      </c>
      <c r="I137">
        <v>45273802</v>
      </c>
      <c r="J137" t="s">
        <v>1432</v>
      </c>
      <c r="K137" s="8">
        <v>45693</v>
      </c>
      <c r="Q137">
        <v>1</v>
      </c>
      <c r="R137">
        <v>877</v>
      </c>
      <c r="S137" t="s">
        <v>197</v>
      </c>
      <c r="T137" t="s">
        <v>219</v>
      </c>
      <c r="U137">
        <v>1</v>
      </c>
      <c r="V137">
        <v>799.58</v>
      </c>
      <c r="W137">
        <v>943.5</v>
      </c>
      <c r="X137">
        <v>0</v>
      </c>
      <c r="Y137">
        <v>799.58</v>
      </c>
      <c r="Z137">
        <v>18</v>
      </c>
      <c r="AA137">
        <v>143.91999999999999</v>
      </c>
      <c r="AB137">
        <v>943.5</v>
      </c>
      <c r="AC137">
        <v>1</v>
      </c>
      <c r="AE137" t="s">
        <v>239</v>
      </c>
      <c r="AF137" t="s">
        <v>29</v>
      </c>
      <c r="AG137">
        <v>2</v>
      </c>
      <c r="AH137" t="s">
        <v>25</v>
      </c>
      <c r="AI137">
        <v>1106</v>
      </c>
      <c r="AJ137" t="s">
        <v>246</v>
      </c>
      <c r="AK137" t="s">
        <v>1346</v>
      </c>
      <c r="AQ137" t="s">
        <v>573</v>
      </c>
      <c r="AS137" t="str">
        <f t="shared" si="2"/>
        <v>BB01733</v>
      </c>
    </row>
    <row r="138" spans="1:45" ht="15" customHeight="1">
      <c r="A138" t="s">
        <v>1349</v>
      </c>
      <c r="B138">
        <v>732</v>
      </c>
      <c r="C138" t="s">
        <v>27</v>
      </c>
      <c r="D138" s="8">
        <v>45693</v>
      </c>
      <c r="E138" s="22">
        <v>45946</v>
      </c>
      <c r="F138" t="s">
        <v>573</v>
      </c>
      <c r="H138">
        <v>1</v>
      </c>
      <c r="I138">
        <v>45273802</v>
      </c>
      <c r="J138" t="s">
        <v>1433</v>
      </c>
      <c r="K138" s="8">
        <v>45693</v>
      </c>
      <c r="Q138">
        <v>1</v>
      </c>
      <c r="R138">
        <v>870</v>
      </c>
      <c r="S138" t="s">
        <v>1227</v>
      </c>
      <c r="T138" t="s">
        <v>219</v>
      </c>
      <c r="U138">
        <v>1</v>
      </c>
      <c r="V138">
        <v>614.24</v>
      </c>
      <c r="W138">
        <v>724.8</v>
      </c>
      <c r="X138">
        <v>0</v>
      </c>
      <c r="Y138">
        <v>614.24</v>
      </c>
      <c r="Z138">
        <v>18</v>
      </c>
      <c r="AA138">
        <v>110.56</v>
      </c>
      <c r="AB138">
        <v>724.8</v>
      </c>
      <c r="AC138">
        <v>1</v>
      </c>
      <c r="AE138" t="s">
        <v>239</v>
      </c>
      <c r="AF138" t="s">
        <v>29</v>
      </c>
      <c r="AG138">
        <v>2</v>
      </c>
      <c r="AH138" t="s">
        <v>25</v>
      </c>
      <c r="AI138">
        <v>1106</v>
      </c>
      <c r="AJ138" t="s">
        <v>246</v>
      </c>
      <c r="AK138" t="s">
        <v>1346</v>
      </c>
      <c r="AQ138" t="s">
        <v>573</v>
      </c>
      <c r="AS138" t="str">
        <f t="shared" si="2"/>
        <v>BB01732</v>
      </c>
    </row>
    <row r="139" spans="1:45" ht="15" customHeight="1">
      <c r="A139" t="s">
        <v>1349</v>
      </c>
      <c r="B139">
        <v>731</v>
      </c>
      <c r="C139" t="s">
        <v>27</v>
      </c>
      <c r="D139" s="8">
        <v>45693</v>
      </c>
      <c r="E139" s="22">
        <v>45946</v>
      </c>
      <c r="F139" t="s">
        <v>573</v>
      </c>
      <c r="H139">
        <v>1</v>
      </c>
      <c r="I139">
        <v>45273802</v>
      </c>
      <c r="J139" t="s">
        <v>1434</v>
      </c>
      <c r="K139" s="8">
        <v>45693</v>
      </c>
      <c r="Q139">
        <v>1</v>
      </c>
      <c r="R139">
        <v>877</v>
      </c>
      <c r="S139" t="s">
        <v>197</v>
      </c>
      <c r="T139" t="s">
        <v>219</v>
      </c>
      <c r="U139">
        <v>1</v>
      </c>
      <c r="V139">
        <v>272.2</v>
      </c>
      <c r="W139">
        <v>321.2</v>
      </c>
      <c r="X139">
        <v>0</v>
      </c>
      <c r="Y139">
        <v>272.2</v>
      </c>
      <c r="Z139">
        <v>18</v>
      </c>
      <c r="AA139">
        <v>49</v>
      </c>
      <c r="AB139">
        <v>321.2</v>
      </c>
      <c r="AC139">
        <v>1</v>
      </c>
      <c r="AE139" t="s">
        <v>239</v>
      </c>
      <c r="AF139" t="s">
        <v>29</v>
      </c>
      <c r="AG139">
        <v>2</v>
      </c>
      <c r="AH139" t="s">
        <v>25</v>
      </c>
      <c r="AI139">
        <v>1106</v>
      </c>
      <c r="AJ139" t="s">
        <v>246</v>
      </c>
      <c r="AK139" t="s">
        <v>1346</v>
      </c>
      <c r="AQ139" t="s">
        <v>573</v>
      </c>
      <c r="AS139" t="str">
        <f t="shared" si="2"/>
        <v>BB01731</v>
      </c>
    </row>
    <row r="140" spans="1:45" ht="15" customHeight="1">
      <c r="A140" t="s">
        <v>1349</v>
      </c>
      <c r="B140">
        <v>730</v>
      </c>
      <c r="C140" t="s">
        <v>27</v>
      </c>
      <c r="D140" s="8">
        <v>45693</v>
      </c>
      <c r="E140" s="22">
        <v>45946</v>
      </c>
      <c r="F140" t="s">
        <v>573</v>
      </c>
      <c r="H140">
        <v>1</v>
      </c>
      <c r="I140">
        <v>45273802</v>
      </c>
      <c r="J140" t="s">
        <v>1435</v>
      </c>
      <c r="K140" s="8">
        <v>45693</v>
      </c>
      <c r="Q140">
        <v>1</v>
      </c>
      <c r="R140">
        <v>870</v>
      </c>
      <c r="S140" t="s">
        <v>1227</v>
      </c>
      <c r="T140" t="s">
        <v>219</v>
      </c>
      <c r="U140">
        <v>1</v>
      </c>
      <c r="V140">
        <v>222.71</v>
      </c>
      <c r="W140">
        <v>262.8</v>
      </c>
      <c r="X140">
        <v>0</v>
      </c>
      <c r="Y140">
        <v>222.71</v>
      </c>
      <c r="Z140">
        <v>18</v>
      </c>
      <c r="AA140">
        <v>40.090000000000003</v>
      </c>
      <c r="AB140">
        <v>262.8</v>
      </c>
      <c r="AC140">
        <v>1</v>
      </c>
      <c r="AE140" t="s">
        <v>239</v>
      </c>
      <c r="AF140" t="s">
        <v>29</v>
      </c>
      <c r="AG140">
        <v>2</v>
      </c>
      <c r="AH140" t="s">
        <v>25</v>
      </c>
      <c r="AI140">
        <v>1106</v>
      </c>
      <c r="AJ140" t="s">
        <v>246</v>
      </c>
      <c r="AK140" t="s">
        <v>1346</v>
      </c>
      <c r="AQ140" t="s">
        <v>573</v>
      </c>
      <c r="AS140" t="str">
        <f t="shared" si="2"/>
        <v>BB01730</v>
      </c>
    </row>
    <row r="141" spans="1:45" ht="15" customHeight="1">
      <c r="A141" t="s">
        <v>221</v>
      </c>
      <c r="B141">
        <v>1383</v>
      </c>
      <c r="C141" t="s">
        <v>27</v>
      </c>
      <c r="D141" s="8">
        <v>45693</v>
      </c>
      <c r="E141" s="22">
        <v>45946</v>
      </c>
      <c r="F141" t="s">
        <v>422</v>
      </c>
      <c r="H141">
        <v>6</v>
      </c>
      <c r="I141">
        <v>20611890746</v>
      </c>
      <c r="J141" t="s">
        <v>1436</v>
      </c>
      <c r="K141" s="8">
        <v>45693</v>
      </c>
      <c r="Q141">
        <v>1</v>
      </c>
      <c r="R141">
        <v>971</v>
      </c>
      <c r="S141" t="s">
        <v>1437</v>
      </c>
      <c r="T141" t="s">
        <v>219</v>
      </c>
      <c r="U141">
        <v>1</v>
      </c>
      <c r="V141">
        <v>650</v>
      </c>
      <c r="W141">
        <v>767</v>
      </c>
      <c r="X141">
        <v>0</v>
      </c>
      <c r="Y141">
        <v>650</v>
      </c>
      <c r="Z141">
        <v>18</v>
      </c>
      <c r="AA141">
        <v>117</v>
      </c>
      <c r="AB141">
        <v>767</v>
      </c>
      <c r="AC141">
        <v>1</v>
      </c>
      <c r="AE141" t="s">
        <v>239</v>
      </c>
      <c r="AF141" t="s">
        <v>29</v>
      </c>
      <c r="AG141">
        <v>2</v>
      </c>
      <c r="AH141" t="s">
        <v>25</v>
      </c>
      <c r="AI141">
        <v>1106</v>
      </c>
      <c r="AJ141" t="s">
        <v>246</v>
      </c>
      <c r="AK141" t="s">
        <v>1360</v>
      </c>
      <c r="AQ141" t="s">
        <v>422</v>
      </c>
      <c r="AS141" t="str">
        <f t="shared" si="2"/>
        <v>FB011383</v>
      </c>
    </row>
    <row r="142" spans="1:45" ht="15" customHeight="1">
      <c r="A142" t="s">
        <v>221</v>
      </c>
      <c r="B142">
        <v>1382</v>
      </c>
      <c r="C142" t="s">
        <v>27</v>
      </c>
      <c r="D142" s="8">
        <v>45693</v>
      </c>
      <c r="E142" s="22">
        <v>45946</v>
      </c>
      <c r="F142" t="s">
        <v>422</v>
      </c>
      <c r="H142">
        <v>6</v>
      </c>
      <c r="I142">
        <v>20611890746</v>
      </c>
      <c r="J142" t="s">
        <v>1438</v>
      </c>
      <c r="K142" s="8">
        <v>45693</v>
      </c>
      <c r="Q142">
        <v>1</v>
      </c>
      <c r="R142">
        <v>970</v>
      </c>
      <c r="S142" s="29" t="s">
        <v>1439</v>
      </c>
      <c r="T142" t="s">
        <v>219</v>
      </c>
      <c r="U142">
        <v>1</v>
      </c>
      <c r="V142">
        <v>600</v>
      </c>
      <c r="W142">
        <v>708</v>
      </c>
      <c r="X142">
        <v>0</v>
      </c>
      <c r="Y142">
        <v>600</v>
      </c>
      <c r="Z142">
        <v>18</v>
      </c>
      <c r="AA142">
        <v>108</v>
      </c>
      <c r="AB142">
        <v>708</v>
      </c>
      <c r="AC142">
        <v>1</v>
      </c>
      <c r="AE142" t="s">
        <v>239</v>
      </c>
      <c r="AF142" t="s">
        <v>29</v>
      </c>
      <c r="AG142">
        <v>2</v>
      </c>
      <c r="AH142" t="s">
        <v>25</v>
      </c>
      <c r="AI142">
        <v>1106</v>
      </c>
      <c r="AJ142" t="s">
        <v>246</v>
      </c>
      <c r="AK142" t="s">
        <v>1342</v>
      </c>
      <c r="AQ142" t="s">
        <v>422</v>
      </c>
      <c r="AS142" t="str">
        <f t="shared" si="2"/>
        <v>FB011382</v>
      </c>
    </row>
    <row r="143" spans="1:45" ht="15" customHeight="1">
      <c r="A143" t="s">
        <v>221</v>
      </c>
      <c r="B143">
        <v>1381</v>
      </c>
      <c r="C143" t="s">
        <v>27</v>
      </c>
      <c r="D143" s="8">
        <v>45693</v>
      </c>
      <c r="E143" s="22">
        <v>45946</v>
      </c>
      <c r="F143" t="s">
        <v>422</v>
      </c>
      <c r="H143">
        <v>6</v>
      </c>
      <c r="I143">
        <v>20611890746</v>
      </c>
      <c r="J143" t="s">
        <v>1440</v>
      </c>
      <c r="K143" s="8">
        <v>45693</v>
      </c>
      <c r="Q143">
        <v>1</v>
      </c>
      <c r="R143">
        <v>969</v>
      </c>
      <c r="S143" s="29" t="s">
        <v>1441</v>
      </c>
      <c r="T143" t="s">
        <v>219</v>
      </c>
      <c r="U143">
        <v>1</v>
      </c>
      <c r="V143">
        <v>1200</v>
      </c>
      <c r="W143">
        <v>1416</v>
      </c>
      <c r="X143">
        <v>0</v>
      </c>
      <c r="Y143">
        <v>1200</v>
      </c>
      <c r="Z143">
        <v>18</v>
      </c>
      <c r="AA143">
        <v>216</v>
      </c>
      <c r="AB143">
        <v>1416</v>
      </c>
      <c r="AC143">
        <v>1</v>
      </c>
      <c r="AE143" t="s">
        <v>239</v>
      </c>
      <c r="AF143" t="s">
        <v>29</v>
      </c>
      <c r="AG143">
        <v>2</v>
      </c>
      <c r="AH143" t="s">
        <v>25</v>
      </c>
      <c r="AI143">
        <v>1106</v>
      </c>
      <c r="AJ143" t="s">
        <v>246</v>
      </c>
      <c r="AK143" t="s">
        <v>1342</v>
      </c>
      <c r="AQ143" t="s">
        <v>422</v>
      </c>
      <c r="AS143" t="str">
        <f t="shared" si="2"/>
        <v>FB011381</v>
      </c>
    </row>
    <row r="144" spans="1:45" ht="15" customHeight="1">
      <c r="A144" t="s">
        <v>221</v>
      </c>
      <c r="B144">
        <v>1380</v>
      </c>
      <c r="C144" t="s">
        <v>27</v>
      </c>
      <c r="D144" s="8">
        <v>45693</v>
      </c>
      <c r="E144" s="22">
        <v>45946</v>
      </c>
      <c r="F144" t="s">
        <v>422</v>
      </c>
      <c r="H144">
        <v>6</v>
      </c>
      <c r="I144">
        <v>20611890746</v>
      </c>
      <c r="J144" t="s">
        <v>1442</v>
      </c>
      <c r="K144" s="8">
        <v>45693</v>
      </c>
      <c r="Q144">
        <v>1</v>
      </c>
      <c r="R144">
        <v>968</v>
      </c>
      <c r="S144" s="29" t="s">
        <v>1443</v>
      </c>
      <c r="T144" t="s">
        <v>219</v>
      </c>
      <c r="U144">
        <v>1</v>
      </c>
      <c r="V144">
        <v>1200</v>
      </c>
      <c r="W144">
        <v>1416</v>
      </c>
      <c r="X144">
        <v>0</v>
      </c>
      <c r="Y144">
        <v>1200</v>
      </c>
      <c r="Z144">
        <v>18</v>
      </c>
      <c r="AA144">
        <v>216</v>
      </c>
      <c r="AB144">
        <v>1416</v>
      </c>
      <c r="AC144">
        <v>1</v>
      </c>
      <c r="AE144" t="s">
        <v>239</v>
      </c>
      <c r="AF144" t="s">
        <v>29</v>
      </c>
      <c r="AG144">
        <v>2</v>
      </c>
      <c r="AH144" t="s">
        <v>25</v>
      </c>
      <c r="AI144">
        <v>1106</v>
      </c>
      <c r="AJ144" t="s">
        <v>246</v>
      </c>
      <c r="AK144" t="s">
        <v>1342</v>
      </c>
      <c r="AQ144" t="s">
        <v>422</v>
      </c>
      <c r="AS144" t="str">
        <f t="shared" si="2"/>
        <v>FB011380</v>
      </c>
    </row>
    <row r="145" spans="1:45" ht="15" customHeight="1">
      <c r="A145" t="s">
        <v>221</v>
      </c>
      <c r="B145">
        <v>1379</v>
      </c>
      <c r="C145" t="s">
        <v>27</v>
      </c>
      <c r="D145" s="8">
        <v>45693</v>
      </c>
      <c r="E145" s="22">
        <v>45946</v>
      </c>
      <c r="F145" t="s">
        <v>422</v>
      </c>
      <c r="H145">
        <v>6</v>
      </c>
      <c r="I145">
        <v>20611890746</v>
      </c>
      <c r="J145" t="s">
        <v>1444</v>
      </c>
      <c r="K145" s="8">
        <v>45693</v>
      </c>
      <c r="Q145">
        <v>1</v>
      </c>
      <c r="R145">
        <v>877</v>
      </c>
      <c r="S145" t="s">
        <v>197</v>
      </c>
      <c r="T145" t="s">
        <v>219</v>
      </c>
      <c r="U145">
        <v>1</v>
      </c>
      <c r="V145">
        <v>2530.92</v>
      </c>
      <c r="W145">
        <v>2986.48</v>
      </c>
      <c r="X145">
        <v>0</v>
      </c>
      <c r="Y145">
        <v>2530.92</v>
      </c>
      <c r="Z145">
        <v>18</v>
      </c>
      <c r="AA145">
        <v>455.56</v>
      </c>
      <c r="AB145">
        <v>2986.48</v>
      </c>
      <c r="AC145">
        <v>1</v>
      </c>
      <c r="AE145" t="s">
        <v>239</v>
      </c>
      <c r="AF145" t="s">
        <v>29</v>
      </c>
      <c r="AG145">
        <v>2</v>
      </c>
      <c r="AH145" t="s">
        <v>25</v>
      </c>
      <c r="AI145">
        <v>1106</v>
      </c>
      <c r="AJ145" t="s">
        <v>246</v>
      </c>
      <c r="AK145" t="s">
        <v>1346</v>
      </c>
      <c r="AQ145" t="s">
        <v>422</v>
      </c>
      <c r="AS145" t="str">
        <f t="shared" si="2"/>
        <v>FB011379</v>
      </c>
    </row>
    <row r="146" spans="1:45" ht="15" customHeight="1">
      <c r="A146" t="s">
        <v>221</v>
      </c>
      <c r="B146">
        <v>1378</v>
      </c>
      <c r="C146" t="s">
        <v>27</v>
      </c>
      <c r="D146" s="8">
        <v>45693</v>
      </c>
      <c r="E146" s="22">
        <v>45946</v>
      </c>
      <c r="F146" t="s">
        <v>422</v>
      </c>
      <c r="H146">
        <v>6</v>
      </c>
      <c r="I146">
        <v>20611890746</v>
      </c>
      <c r="J146" t="s">
        <v>1445</v>
      </c>
      <c r="K146" s="8">
        <v>45693</v>
      </c>
      <c r="Q146">
        <v>1</v>
      </c>
      <c r="R146">
        <v>870</v>
      </c>
      <c r="S146" t="s">
        <v>1227</v>
      </c>
      <c r="T146" t="s">
        <v>219</v>
      </c>
      <c r="U146">
        <v>1</v>
      </c>
      <c r="V146">
        <v>1544.46</v>
      </c>
      <c r="W146">
        <v>1822.46</v>
      </c>
      <c r="X146">
        <v>0</v>
      </c>
      <c r="Y146">
        <v>1544.46</v>
      </c>
      <c r="Z146">
        <v>18</v>
      </c>
      <c r="AA146">
        <v>278</v>
      </c>
      <c r="AB146">
        <v>1822.46</v>
      </c>
      <c r="AC146">
        <v>1</v>
      </c>
      <c r="AE146" t="s">
        <v>239</v>
      </c>
      <c r="AF146" t="s">
        <v>29</v>
      </c>
      <c r="AG146">
        <v>2</v>
      </c>
      <c r="AH146" t="s">
        <v>25</v>
      </c>
      <c r="AI146">
        <v>1106</v>
      </c>
      <c r="AJ146" t="s">
        <v>246</v>
      </c>
      <c r="AK146" t="s">
        <v>1346</v>
      </c>
      <c r="AQ146" t="s">
        <v>422</v>
      </c>
      <c r="AS146" t="str">
        <f t="shared" si="2"/>
        <v>FB011378</v>
      </c>
    </row>
    <row r="147" spans="1:45" ht="15" customHeight="1">
      <c r="A147" t="s">
        <v>1349</v>
      </c>
      <c r="B147">
        <v>729</v>
      </c>
      <c r="C147" t="s">
        <v>27</v>
      </c>
      <c r="D147" s="8">
        <v>45693</v>
      </c>
      <c r="E147" s="22">
        <v>45946</v>
      </c>
      <c r="F147" t="s">
        <v>342</v>
      </c>
      <c r="G147" t="s">
        <v>158</v>
      </c>
      <c r="H147">
        <v>1</v>
      </c>
      <c r="I147">
        <v>43908595</v>
      </c>
      <c r="J147" t="s">
        <v>1446</v>
      </c>
      <c r="K147" s="8">
        <v>45693</v>
      </c>
      <c r="Q147">
        <v>1</v>
      </c>
      <c r="R147">
        <v>967</v>
      </c>
      <c r="S147" t="s">
        <v>1447</v>
      </c>
      <c r="T147" t="s">
        <v>219</v>
      </c>
      <c r="U147">
        <v>1</v>
      </c>
      <c r="V147">
        <v>1885.17</v>
      </c>
      <c r="W147">
        <v>2224.5</v>
      </c>
      <c r="X147">
        <v>0</v>
      </c>
      <c r="Y147">
        <v>1885.17</v>
      </c>
      <c r="Z147">
        <v>18</v>
      </c>
      <c r="AA147">
        <v>339.33</v>
      </c>
      <c r="AB147">
        <v>2224.5</v>
      </c>
      <c r="AC147">
        <v>1</v>
      </c>
      <c r="AE147" t="s">
        <v>239</v>
      </c>
      <c r="AF147" t="s">
        <v>29</v>
      </c>
      <c r="AG147">
        <v>2</v>
      </c>
      <c r="AH147" t="s">
        <v>25</v>
      </c>
      <c r="AI147">
        <v>1106</v>
      </c>
      <c r="AJ147" t="s">
        <v>246</v>
      </c>
      <c r="AK147" t="s">
        <v>1346</v>
      </c>
      <c r="AQ147" t="s">
        <v>342</v>
      </c>
      <c r="AS147" t="str">
        <f t="shared" si="2"/>
        <v>BB01729</v>
      </c>
    </row>
    <row r="148" spans="1:45" ht="15" customHeight="1">
      <c r="A148" t="s">
        <v>1349</v>
      </c>
      <c r="B148">
        <v>728</v>
      </c>
      <c r="C148" t="s">
        <v>27</v>
      </c>
      <c r="D148" s="8">
        <v>45693</v>
      </c>
      <c r="E148" s="22">
        <v>45946</v>
      </c>
      <c r="F148" t="s">
        <v>342</v>
      </c>
      <c r="G148" t="s">
        <v>158</v>
      </c>
      <c r="H148">
        <v>1</v>
      </c>
      <c r="I148">
        <v>43908595</v>
      </c>
      <c r="J148" t="s">
        <v>1448</v>
      </c>
      <c r="K148" s="8">
        <v>45693</v>
      </c>
      <c r="Q148">
        <v>1</v>
      </c>
      <c r="R148">
        <v>885</v>
      </c>
      <c r="S148" t="s">
        <v>1449</v>
      </c>
      <c r="T148" t="s">
        <v>219</v>
      </c>
      <c r="U148">
        <v>1</v>
      </c>
      <c r="V148">
        <v>2021.19</v>
      </c>
      <c r="W148">
        <v>2385</v>
      </c>
      <c r="X148">
        <v>0</v>
      </c>
      <c r="Y148">
        <v>2021.19</v>
      </c>
      <c r="Z148">
        <v>18</v>
      </c>
      <c r="AA148">
        <v>363.81</v>
      </c>
      <c r="AB148">
        <v>2385</v>
      </c>
      <c r="AC148">
        <v>1</v>
      </c>
      <c r="AE148" t="s">
        <v>239</v>
      </c>
      <c r="AF148" t="s">
        <v>29</v>
      </c>
      <c r="AG148">
        <v>2</v>
      </c>
      <c r="AH148" t="s">
        <v>25</v>
      </c>
      <c r="AI148">
        <v>1106</v>
      </c>
      <c r="AJ148" t="s">
        <v>246</v>
      </c>
      <c r="AK148" t="s">
        <v>1346</v>
      </c>
      <c r="AQ148" t="s">
        <v>342</v>
      </c>
      <c r="AS148" t="str">
        <f t="shared" si="2"/>
        <v>BB01728</v>
      </c>
    </row>
    <row r="149" spans="1:45" ht="15" customHeight="1">
      <c r="A149" t="s">
        <v>1349</v>
      </c>
      <c r="B149">
        <v>727</v>
      </c>
      <c r="C149" t="s">
        <v>27</v>
      </c>
      <c r="D149" s="8">
        <v>45693</v>
      </c>
      <c r="E149" s="22">
        <v>45946</v>
      </c>
      <c r="F149" t="s">
        <v>342</v>
      </c>
      <c r="G149" t="s">
        <v>158</v>
      </c>
      <c r="H149">
        <v>1</v>
      </c>
      <c r="I149">
        <v>43908595</v>
      </c>
      <c r="J149" t="s">
        <v>1450</v>
      </c>
      <c r="K149" s="8">
        <v>45693</v>
      </c>
      <c r="Q149">
        <v>1</v>
      </c>
      <c r="R149">
        <v>992</v>
      </c>
      <c r="S149" t="s">
        <v>1265</v>
      </c>
      <c r="T149" t="s">
        <v>219</v>
      </c>
      <c r="U149">
        <v>1</v>
      </c>
      <c r="V149">
        <v>32</v>
      </c>
      <c r="W149">
        <v>37.76</v>
      </c>
      <c r="X149">
        <v>0</v>
      </c>
      <c r="Y149">
        <v>32</v>
      </c>
      <c r="Z149">
        <v>18</v>
      </c>
      <c r="AA149">
        <v>5.76</v>
      </c>
      <c r="AB149">
        <v>37.76</v>
      </c>
      <c r="AC149">
        <v>1</v>
      </c>
      <c r="AE149" t="s">
        <v>239</v>
      </c>
      <c r="AF149" t="s">
        <v>29</v>
      </c>
      <c r="AG149">
        <v>2</v>
      </c>
      <c r="AH149" t="s">
        <v>25</v>
      </c>
      <c r="AI149">
        <v>1106</v>
      </c>
      <c r="AJ149" t="s">
        <v>246</v>
      </c>
      <c r="AK149" t="s">
        <v>1346</v>
      </c>
      <c r="AQ149" t="s">
        <v>342</v>
      </c>
      <c r="AS149" t="str">
        <f t="shared" ref="AS149:AS212" si="3">+CONCATENATE(A149,B149)</f>
        <v>BB01727</v>
      </c>
    </row>
    <row r="150" spans="1:45" ht="15" customHeight="1">
      <c r="A150" t="s">
        <v>1349</v>
      </c>
      <c r="B150">
        <v>726</v>
      </c>
      <c r="C150" t="s">
        <v>27</v>
      </c>
      <c r="D150" s="8">
        <v>45693</v>
      </c>
      <c r="E150" s="22">
        <v>45946</v>
      </c>
      <c r="F150" t="s">
        <v>342</v>
      </c>
      <c r="G150" t="s">
        <v>158</v>
      </c>
      <c r="H150">
        <v>1</v>
      </c>
      <c r="I150">
        <v>43908595</v>
      </c>
      <c r="J150" t="s">
        <v>1451</v>
      </c>
      <c r="K150" s="8">
        <v>45693</v>
      </c>
      <c r="Q150">
        <v>1</v>
      </c>
      <c r="R150">
        <v>966</v>
      </c>
      <c r="S150" t="s">
        <v>1452</v>
      </c>
      <c r="T150" t="s">
        <v>219</v>
      </c>
      <c r="U150">
        <v>1</v>
      </c>
      <c r="V150">
        <v>300</v>
      </c>
      <c r="W150">
        <v>354</v>
      </c>
      <c r="X150">
        <v>0</v>
      </c>
      <c r="Y150">
        <v>300</v>
      </c>
      <c r="Z150">
        <v>18</v>
      </c>
      <c r="AA150">
        <v>54</v>
      </c>
      <c r="AB150">
        <v>354</v>
      </c>
      <c r="AC150">
        <v>1</v>
      </c>
      <c r="AE150" t="s">
        <v>239</v>
      </c>
      <c r="AF150" t="s">
        <v>29</v>
      </c>
      <c r="AG150">
        <v>2</v>
      </c>
      <c r="AH150" t="s">
        <v>25</v>
      </c>
      <c r="AI150">
        <v>1106</v>
      </c>
      <c r="AJ150" t="s">
        <v>246</v>
      </c>
      <c r="AK150" t="s">
        <v>1360</v>
      </c>
      <c r="AQ150" t="s">
        <v>342</v>
      </c>
      <c r="AS150" t="str">
        <f t="shared" si="3"/>
        <v>BB01726</v>
      </c>
    </row>
    <row r="151" spans="1:45" ht="15" customHeight="1">
      <c r="A151" t="s">
        <v>1349</v>
      </c>
      <c r="B151">
        <v>725</v>
      </c>
      <c r="C151" t="s">
        <v>27</v>
      </c>
      <c r="D151" s="8">
        <v>45693</v>
      </c>
      <c r="E151" s="22">
        <v>45946</v>
      </c>
      <c r="F151" t="s">
        <v>342</v>
      </c>
      <c r="G151" t="s">
        <v>158</v>
      </c>
      <c r="H151">
        <v>1</v>
      </c>
      <c r="I151">
        <v>43908595</v>
      </c>
      <c r="J151" t="s">
        <v>1453</v>
      </c>
      <c r="K151" s="8">
        <v>45693</v>
      </c>
      <c r="Q151">
        <v>1</v>
      </c>
      <c r="R151">
        <v>993</v>
      </c>
      <c r="S151" t="s">
        <v>1454</v>
      </c>
      <c r="T151" t="s">
        <v>219</v>
      </c>
      <c r="U151">
        <v>1</v>
      </c>
      <c r="V151">
        <v>100</v>
      </c>
      <c r="W151">
        <v>118</v>
      </c>
      <c r="X151">
        <v>0</v>
      </c>
      <c r="Y151">
        <v>100</v>
      </c>
      <c r="Z151">
        <v>18</v>
      </c>
      <c r="AA151">
        <v>18</v>
      </c>
      <c r="AB151">
        <v>118</v>
      </c>
      <c r="AC151">
        <v>1</v>
      </c>
      <c r="AE151" t="s">
        <v>239</v>
      </c>
      <c r="AF151" t="s">
        <v>29</v>
      </c>
      <c r="AG151">
        <v>2</v>
      </c>
      <c r="AH151" t="s">
        <v>25</v>
      </c>
      <c r="AI151">
        <v>1106</v>
      </c>
      <c r="AJ151" t="s">
        <v>246</v>
      </c>
      <c r="AK151" t="s">
        <v>1396</v>
      </c>
      <c r="AQ151" t="s">
        <v>342</v>
      </c>
      <c r="AS151" t="str">
        <f t="shared" si="3"/>
        <v>BB01725</v>
      </c>
    </row>
    <row r="152" spans="1:45" ht="15" customHeight="1">
      <c r="A152" t="s">
        <v>1349</v>
      </c>
      <c r="B152">
        <v>724</v>
      </c>
      <c r="C152" t="s">
        <v>27</v>
      </c>
      <c r="D152" s="8">
        <v>45693</v>
      </c>
      <c r="E152" s="22">
        <v>45946</v>
      </c>
      <c r="F152" t="s">
        <v>342</v>
      </c>
      <c r="G152" t="s">
        <v>158</v>
      </c>
      <c r="H152">
        <v>1</v>
      </c>
      <c r="I152">
        <v>43908595</v>
      </c>
      <c r="J152" t="s">
        <v>1455</v>
      </c>
      <c r="K152" s="8">
        <v>45693</v>
      </c>
      <c r="Q152">
        <v>1</v>
      </c>
      <c r="R152">
        <v>965</v>
      </c>
      <c r="S152" s="29" t="s">
        <v>1456</v>
      </c>
      <c r="T152" t="s">
        <v>219</v>
      </c>
      <c r="U152">
        <v>1</v>
      </c>
      <c r="V152">
        <v>930</v>
      </c>
      <c r="W152">
        <v>1097.4000000000001</v>
      </c>
      <c r="X152">
        <v>0</v>
      </c>
      <c r="Y152">
        <v>930</v>
      </c>
      <c r="Z152">
        <v>18</v>
      </c>
      <c r="AA152">
        <v>167.4</v>
      </c>
      <c r="AB152">
        <v>1097.4000000000001</v>
      </c>
      <c r="AC152">
        <v>1</v>
      </c>
      <c r="AE152" t="s">
        <v>239</v>
      </c>
      <c r="AF152" t="s">
        <v>29</v>
      </c>
      <c r="AG152">
        <v>2</v>
      </c>
      <c r="AH152" t="s">
        <v>25</v>
      </c>
      <c r="AI152">
        <v>1106</v>
      </c>
      <c r="AJ152" t="s">
        <v>246</v>
      </c>
      <c r="AK152" t="s">
        <v>1342</v>
      </c>
      <c r="AQ152" t="s">
        <v>342</v>
      </c>
      <c r="AS152" t="str">
        <f t="shared" si="3"/>
        <v>BB01724</v>
      </c>
    </row>
    <row r="153" spans="1:45" ht="15" customHeight="1">
      <c r="A153" t="s">
        <v>221</v>
      </c>
      <c r="B153">
        <v>1377</v>
      </c>
      <c r="C153" t="s">
        <v>27</v>
      </c>
      <c r="D153" s="8">
        <v>45693</v>
      </c>
      <c r="E153" s="22">
        <v>45946</v>
      </c>
      <c r="F153" t="s">
        <v>492</v>
      </c>
      <c r="H153">
        <v>6</v>
      </c>
      <c r="I153">
        <v>20609649039</v>
      </c>
      <c r="J153" t="s">
        <v>1457</v>
      </c>
      <c r="K153" s="8">
        <v>45693</v>
      </c>
      <c r="Q153">
        <v>1</v>
      </c>
      <c r="R153">
        <v>877</v>
      </c>
      <c r="S153" t="s">
        <v>197</v>
      </c>
      <c r="T153" t="s">
        <v>219</v>
      </c>
      <c r="U153">
        <v>1</v>
      </c>
      <c r="V153">
        <v>25.85</v>
      </c>
      <c r="W153">
        <v>30.5</v>
      </c>
      <c r="X153">
        <v>0</v>
      </c>
      <c r="Y153">
        <v>25.85</v>
      </c>
      <c r="Z153">
        <v>17.989999999999998</v>
      </c>
      <c r="AA153">
        <v>4.6500000000000004</v>
      </c>
      <c r="AB153">
        <v>30.5</v>
      </c>
      <c r="AC153">
        <v>1</v>
      </c>
      <c r="AE153" t="s">
        <v>239</v>
      </c>
      <c r="AF153" t="s">
        <v>29</v>
      </c>
      <c r="AG153">
        <v>2</v>
      </c>
      <c r="AH153" t="s">
        <v>25</v>
      </c>
      <c r="AI153">
        <v>1106</v>
      </c>
      <c r="AJ153" t="s">
        <v>246</v>
      </c>
      <c r="AK153" t="s">
        <v>1346</v>
      </c>
      <c r="AQ153" t="s">
        <v>492</v>
      </c>
      <c r="AS153" t="str">
        <f t="shared" si="3"/>
        <v>FB011377</v>
      </c>
    </row>
    <row r="154" spans="1:45" ht="15" customHeight="1">
      <c r="A154" t="s">
        <v>221</v>
      </c>
      <c r="B154">
        <v>1376</v>
      </c>
      <c r="C154" t="s">
        <v>27</v>
      </c>
      <c r="D154" s="8">
        <v>45693</v>
      </c>
      <c r="E154" s="22">
        <v>45946</v>
      </c>
      <c r="F154" t="s">
        <v>492</v>
      </c>
      <c r="H154">
        <v>6</v>
      </c>
      <c r="I154">
        <v>20609649039</v>
      </c>
      <c r="J154" t="s">
        <v>1458</v>
      </c>
      <c r="K154" s="8">
        <v>45693</v>
      </c>
      <c r="Q154">
        <v>1</v>
      </c>
      <c r="R154">
        <v>870</v>
      </c>
      <c r="S154" t="s">
        <v>1227</v>
      </c>
      <c r="T154" t="s">
        <v>219</v>
      </c>
      <c r="U154">
        <v>1</v>
      </c>
      <c r="V154">
        <v>20.34</v>
      </c>
      <c r="W154">
        <v>24</v>
      </c>
      <c r="X154">
        <v>0</v>
      </c>
      <c r="Y154">
        <v>20.34</v>
      </c>
      <c r="Z154">
        <v>17.989999999999998</v>
      </c>
      <c r="AA154">
        <v>3.66</v>
      </c>
      <c r="AB154">
        <v>24</v>
      </c>
      <c r="AC154">
        <v>1</v>
      </c>
      <c r="AE154" t="s">
        <v>239</v>
      </c>
      <c r="AF154" t="s">
        <v>29</v>
      </c>
      <c r="AG154">
        <v>2</v>
      </c>
      <c r="AH154" t="s">
        <v>25</v>
      </c>
      <c r="AI154">
        <v>1106</v>
      </c>
      <c r="AJ154" t="s">
        <v>246</v>
      </c>
      <c r="AK154" t="s">
        <v>1346</v>
      </c>
      <c r="AQ154" t="s">
        <v>492</v>
      </c>
      <c r="AS154" t="str">
        <f t="shared" si="3"/>
        <v>FB011376</v>
      </c>
    </row>
    <row r="155" spans="1:45" ht="15" customHeight="1">
      <c r="A155" t="s">
        <v>221</v>
      </c>
      <c r="B155">
        <v>1375</v>
      </c>
      <c r="C155" t="s">
        <v>27</v>
      </c>
      <c r="D155" s="8">
        <v>45693</v>
      </c>
      <c r="E155" s="22">
        <v>45946</v>
      </c>
      <c r="F155" t="s">
        <v>497</v>
      </c>
      <c r="H155">
        <v>6</v>
      </c>
      <c r="I155">
        <v>20611587741</v>
      </c>
      <c r="J155" t="s">
        <v>1459</v>
      </c>
      <c r="K155" s="8">
        <v>45693</v>
      </c>
      <c r="Q155">
        <v>1</v>
      </c>
      <c r="R155">
        <v>877</v>
      </c>
      <c r="S155" t="s">
        <v>197</v>
      </c>
      <c r="T155" t="s">
        <v>219</v>
      </c>
      <c r="U155">
        <v>1</v>
      </c>
      <c r="V155">
        <v>24.75</v>
      </c>
      <c r="W155">
        <v>29.2</v>
      </c>
      <c r="X155">
        <v>0</v>
      </c>
      <c r="Y155">
        <v>24.75</v>
      </c>
      <c r="Z155">
        <v>17.98</v>
      </c>
      <c r="AA155">
        <v>4.45</v>
      </c>
      <c r="AB155">
        <v>29.2</v>
      </c>
      <c r="AC155">
        <v>1</v>
      </c>
      <c r="AE155" t="s">
        <v>239</v>
      </c>
      <c r="AF155" t="s">
        <v>29</v>
      </c>
      <c r="AG155">
        <v>2</v>
      </c>
      <c r="AH155" t="s">
        <v>25</v>
      </c>
      <c r="AI155">
        <v>1106</v>
      </c>
      <c r="AJ155" t="s">
        <v>246</v>
      </c>
      <c r="AK155" t="s">
        <v>1346</v>
      </c>
      <c r="AQ155" t="s">
        <v>497</v>
      </c>
      <c r="AS155" t="str">
        <f t="shared" si="3"/>
        <v>FB011375</v>
      </c>
    </row>
    <row r="156" spans="1:45" ht="15" customHeight="1">
      <c r="A156" t="s">
        <v>221</v>
      </c>
      <c r="B156">
        <v>1374</v>
      </c>
      <c r="C156" t="s">
        <v>27</v>
      </c>
      <c r="D156" s="8">
        <v>45693</v>
      </c>
      <c r="E156" s="22">
        <v>45946</v>
      </c>
      <c r="F156" t="s">
        <v>497</v>
      </c>
      <c r="H156">
        <v>6</v>
      </c>
      <c r="I156">
        <v>20611587741</v>
      </c>
      <c r="J156" t="s">
        <v>1460</v>
      </c>
      <c r="K156" s="8">
        <v>45693</v>
      </c>
      <c r="Q156">
        <v>1</v>
      </c>
      <c r="R156">
        <v>870</v>
      </c>
      <c r="S156" t="s">
        <v>1227</v>
      </c>
      <c r="T156" t="s">
        <v>219</v>
      </c>
      <c r="U156">
        <v>1</v>
      </c>
      <c r="V156">
        <v>18.05</v>
      </c>
      <c r="W156">
        <v>21.3</v>
      </c>
      <c r="X156">
        <v>0</v>
      </c>
      <c r="Y156">
        <v>18.05</v>
      </c>
      <c r="Z156">
        <v>18.010000000000002</v>
      </c>
      <c r="AA156">
        <v>3.25</v>
      </c>
      <c r="AB156">
        <v>21.3</v>
      </c>
      <c r="AC156">
        <v>1</v>
      </c>
      <c r="AE156" t="s">
        <v>239</v>
      </c>
      <c r="AF156" t="s">
        <v>29</v>
      </c>
      <c r="AG156">
        <v>2</v>
      </c>
      <c r="AH156" t="s">
        <v>25</v>
      </c>
      <c r="AI156">
        <v>1106</v>
      </c>
      <c r="AJ156" t="s">
        <v>246</v>
      </c>
      <c r="AK156" t="s">
        <v>1346</v>
      </c>
      <c r="AQ156" t="s">
        <v>497</v>
      </c>
      <c r="AS156" t="str">
        <f t="shared" si="3"/>
        <v>FB011374</v>
      </c>
    </row>
    <row r="157" spans="1:45" ht="15" customHeight="1">
      <c r="A157" t="s">
        <v>221</v>
      </c>
      <c r="B157">
        <v>1373</v>
      </c>
      <c r="C157" t="s">
        <v>27</v>
      </c>
      <c r="D157" s="8">
        <v>45693</v>
      </c>
      <c r="E157" s="22">
        <v>45946</v>
      </c>
      <c r="F157" t="s">
        <v>422</v>
      </c>
      <c r="H157">
        <v>6</v>
      </c>
      <c r="I157">
        <v>20611890746</v>
      </c>
      <c r="J157" t="s">
        <v>1461</v>
      </c>
      <c r="K157" s="8">
        <v>45693</v>
      </c>
      <c r="Q157">
        <v>1</v>
      </c>
      <c r="R157">
        <v>964</v>
      </c>
      <c r="S157" s="29" t="s">
        <v>1462</v>
      </c>
      <c r="T157" t="s">
        <v>219</v>
      </c>
      <c r="U157">
        <v>1</v>
      </c>
      <c r="V157">
        <v>600</v>
      </c>
      <c r="W157">
        <v>708</v>
      </c>
      <c r="X157">
        <v>0</v>
      </c>
      <c r="Y157">
        <v>600</v>
      </c>
      <c r="Z157">
        <v>18</v>
      </c>
      <c r="AA157">
        <v>108</v>
      </c>
      <c r="AB157">
        <v>708</v>
      </c>
      <c r="AC157">
        <v>1</v>
      </c>
      <c r="AE157" t="s">
        <v>239</v>
      </c>
      <c r="AF157" t="s">
        <v>29</v>
      </c>
      <c r="AG157">
        <v>2</v>
      </c>
      <c r="AH157" t="s">
        <v>25</v>
      </c>
      <c r="AI157">
        <v>1106</v>
      </c>
      <c r="AJ157" t="s">
        <v>246</v>
      </c>
      <c r="AK157" t="s">
        <v>1342</v>
      </c>
      <c r="AQ157" t="s">
        <v>422</v>
      </c>
      <c r="AS157" t="str">
        <f t="shared" si="3"/>
        <v>FB011373</v>
      </c>
    </row>
    <row r="158" spans="1:45" ht="15" customHeight="1">
      <c r="A158" t="s">
        <v>221</v>
      </c>
      <c r="B158">
        <v>1372</v>
      </c>
      <c r="C158" t="s">
        <v>27</v>
      </c>
      <c r="D158" s="8">
        <v>45693</v>
      </c>
      <c r="E158" s="22">
        <v>45946</v>
      </c>
      <c r="F158" t="s">
        <v>422</v>
      </c>
      <c r="H158">
        <v>6</v>
      </c>
      <c r="I158">
        <v>20611890746</v>
      </c>
      <c r="J158" t="s">
        <v>1463</v>
      </c>
      <c r="K158" s="8">
        <v>45693</v>
      </c>
      <c r="Q158">
        <v>1</v>
      </c>
      <c r="R158">
        <v>877</v>
      </c>
      <c r="S158" t="s">
        <v>197</v>
      </c>
      <c r="T158" t="s">
        <v>219</v>
      </c>
      <c r="U158">
        <v>1</v>
      </c>
      <c r="V158">
        <v>1264.92</v>
      </c>
      <c r="W158">
        <v>1492.6</v>
      </c>
      <c r="X158">
        <v>0</v>
      </c>
      <c r="Y158">
        <v>1264.92</v>
      </c>
      <c r="Z158">
        <v>18</v>
      </c>
      <c r="AA158">
        <v>227.68</v>
      </c>
      <c r="AB158">
        <v>1492.6</v>
      </c>
      <c r="AC158">
        <v>1</v>
      </c>
      <c r="AE158" t="s">
        <v>239</v>
      </c>
      <c r="AF158" t="s">
        <v>29</v>
      </c>
      <c r="AG158">
        <v>2</v>
      </c>
      <c r="AH158" t="s">
        <v>25</v>
      </c>
      <c r="AI158">
        <v>1106</v>
      </c>
      <c r="AJ158" t="s">
        <v>246</v>
      </c>
      <c r="AK158" t="s">
        <v>1346</v>
      </c>
      <c r="AQ158" t="s">
        <v>422</v>
      </c>
      <c r="AS158" t="str">
        <f t="shared" si="3"/>
        <v>FB011372</v>
      </c>
    </row>
    <row r="159" spans="1:45" ht="15" customHeight="1">
      <c r="A159" t="s">
        <v>221</v>
      </c>
      <c r="B159">
        <v>1371</v>
      </c>
      <c r="C159" t="s">
        <v>27</v>
      </c>
      <c r="D159" s="8">
        <v>45693</v>
      </c>
      <c r="E159" s="22">
        <v>45946</v>
      </c>
      <c r="F159" t="s">
        <v>422</v>
      </c>
      <c r="H159">
        <v>6</v>
      </c>
      <c r="I159">
        <v>20611890746</v>
      </c>
      <c r="J159" t="s">
        <v>1464</v>
      </c>
      <c r="K159" s="8">
        <v>45693</v>
      </c>
      <c r="Q159">
        <v>1</v>
      </c>
      <c r="R159">
        <v>870</v>
      </c>
      <c r="S159" t="s">
        <v>1227</v>
      </c>
      <c r="T159" t="s">
        <v>219</v>
      </c>
      <c r="U159">
        <v>1</v>
      </c>
      <c r="V159">
        <v>896.27</v>
      </c>
      <c r="W159">
        <v>1057.5999999999999</v>
      </c>
      <c r="X159">
        <v>0</v>
      </c>
      <c r="Y159">
        <v>896.27</v>
      </c>
      <c r="Z159">
        <v>18</v>
      </c>
      <c r="AA159">
        <v>161.33000000000001</v>
      </c>
      <c r="AB159">
        <v>1057.5999999999999</v>
      </c>
      <c r="AC159">
        <v>1</v>
      </c>
      <c r="AE159" t="s">
        <v>239</v>
      </c>
      <c r="AF159" t="s">
        <v>29</v>
      </c>
      <c r="AG159">
        <v>2</v>
      </c>
      <c r="AH159" t="s">
        <v>25</v>
      </c>
      <c r="AI159">
        <v>1106</v>
      </c>
      <c r="AJ159" t="s">
        <v>246</v>
      </c>
      <c r="AK159" t="s">
        <v>1346</v>
      </c>
      <c r="AQ159" t="s">
        <v>422</v>
      </c>
      <c r="AS159" t="str">
        <f t="shared" si="3"/>
        <v>FB011371</v>
      </c>
    </row>
    <row r="160" spans="1:45" ht="15" customHeight="1">
      <c r="A160" t="s">
        <v>221</v>
      </c>
      <c r="B160">
        <v>1370</v>
      </c>
      <c r="C160" t="s">
        <v>27</v>
      </c>
      <c r="D160" s="8">
        <v>45693</v>
      </c>
      <c r="E160" s="22">
        <v>45946</v>
      </c>
      <c r="F160" t="s">
        <v>508</v>
      </c>
      <c r="H160">
        <v>6</v>
      </c>
      <c r="I160">
        <v>10038775753</v>
      </c>
      <c r="J160" t="s">
        <v>1465</v>
      </c>
      <c r="K160" s="8">
        <v>45693</v>
      </c>
      <c r="Q160">
        <v>1</v>
      </c>
      <c r="R160">
        <v>877</v>
      </c>
      <c r="S160" t="s">
        <v>197</v>
      </c>
      <c r="T160" t="s">
        <v>219</v>
      </c>
      <c r="U160">
        <v>1</v>
      </c>
      <c r="V160">
        <v>4.95</v>
      </c>
      <c r="W160">
        <v>5.84</v>
      </c>
      <c r="X160">
        <v>0</v>
      </c>
      <c r="Y160">
        <v>4.95</v>
      </c>
      <c r="Z160">
        <v>17.98</v>
      </c>
      <c r="AA160">
        <v>0.89</v>
      </c>
      <c r="AB160">
        <v>5.84</v>
      </c>
      <c r="AC160">
        <v>1</v>
      </c>
      <c r="AE160" t="s">
        <v>239</v>
      </c>
      <c r="AF160" t="s">
        <v>29</v>
      </c>
      <c r="AG160">
        <v>2</v>
      </c>
      <c r="AH160" t="s">
        <v>25</v>
      </c>
      <c r="AI160">
        <v>1106</v>
      </c>
      <c r="AJ160" t="s">
        <v>246</v>
      </c>
      <c r="AK160" t="s">
        <v>1346</v>
      </c>
      <c r="AQ160" t="s">
        <v>508</v>
      </c>
      <c r="AS160" t="str">
        <f t="shared" si="3"/>
        <v>FB011370</v>
      </c>
    </row>
    <row r="161" spans="1:45" ht="15" customHeight="1">
      <c r="A161" t="s">
        <v>221</v>
      </c>
      <c r="B161">
        <v>1369</v>
      </c>
      <c r="C161" t="s">
        <v>27</v>
      </c>
      <c r="D161" s="8">
        <v>45693</v>
      </c>
      <c r="E161" s="22">
        <v>45946</v>
      </c>
      <c r="F161" t="s">
        <v>508</v>
      </c>
      <c r="H161">
        <v>6</v>
      </c>
      <c r="I161">
        <v>10038775753</v>
      </c>
      <c r="J161" t="s">
        <v>1466</v>
      </c>
      <c r="K161" s="8">
        <v>45693</v>
      </c>
      <c r="Q161">
        <v>1</v>
      </c>
      <c r="R161">
        <v>870</v>
      </c>
      <c r="S161" t="s">
        <v>1227</v>
      </c>
      <c r="T161" t="s">
        <v>219</v>
      </c>
      <c r="U161">
        <v>1</v>
      </c>
      <c r="V161">
        <v>5</v>
      </c>
      <c r="W161">
        <v>5.9</v>
      </c>
      <c r="X161">
        <v>0</v>
      </c>
      <c r="Y161">
        <v>5</v>
      </c>
      <c r="Z161">
        <v>18</v>
      </c>
      <c r="AA161">
        <v>0.9</v>
      </c>
      <c r="AB161">
        <v>5.9</v>
      </c>
      <c r="AC161">
        <v>1</v>
      </c>
      <c r="AE161" t="s">
        <v>239</v>
      </c>
      <c r="AF161" t="s">
        <v>29</v>
      </c>
      <c r="AG161">
        <v>2</v>
      </c>
      <c r="AH161" t="s">
        <v>25</v>
      </c>
      <c r="AI161">
        <v>1106</v>
      </c>
      <c r="AJ161" t="s">
        <v>246</v>
      </c>
      <c r="AK161" t="s">
        <v>1346</v>
      </c>
      <c r="AQ161" t="s">
        <v>508</v>
      </c>
      <c r="AS161" t="str">
        <f t="shared" si="3"/>
        <v>FB011369</v>
      </c>
    </row>
    <row r="162" spans="1:45" ht="15" customHeight="1">
      <c r="A162" t="s">
        <v>221</v>
      </c>
      <c r="B162">
        <v>1368</v>
      </c>
      <c r="C162" t="s">
        <v>27</v>
      </c>
      <c r="D162" s="8">
        <v>45693</v>
      </c>
      <c r="E162" s="22">
        <v>45946</v>
      </c>
      <c r="F162" t="s">
        <v>422</v>
      </c>
      <c r="H162">
        <v>6</v>
      </c>
      <c r="I162">
        <v>20611890746</v>
      </c>
      <c r="J162" t="s">
        <v>1467</v>
      </c>
      <c r="K162" s="8">
        <v>45693</v>
      </c>
      <c r="Q162">
        <v>1</v>
      </c>
      <c r="R162">
        <v>963</v>
      </c>
      <c r="S162" t="s">
        <v>1468</v>
      </c>
      <c r="T162" t="s">
        <v>219</v>
      </c>
      <c r="U162">
        <v>1</v>
      </c>
      <c r="V162">
        <v>1</v>
      </c>
      <c r="W162">
        <v>1.18</v>
      </c>
      <c r="X162">
        <v>0</v>
      </c>
      <c r="Y162">
        <v>1</v>
      </c>
      <c r="Z162">
        <v>18</v>
      </c>
      <c r="AA162">
        <v>0.18</v>
      </c>
      <c r="AB162">
        <v>1.18</v>
      </c>
      <c r="AC162">
        <v>1</v>
      </c>
      <c r="AE162" t="s">
        <v>239</v>
      </c>
      <c r="AF162" t="s">
        <v>29</v>
      </c>
      <c r="AG162">
        <v>2</v>
      </c>
      <c r="AH162" t="s">
        <v>25</v>
      </c>
      <c r="AI162">
        <v>1106</v>
      </c>
      <c r="AJ162" t="s">
        <v>246</v>
      </c>
      <c r="AK162" t="s">
        <v>1346</v>
      </c>
      <c r="AQ162" t="s">
        <v>422</v>
      </c>
      <c r="AS162" t="str">
        <f t="shared" si="3"/>
        <v>FB011368</v>
      </c>
    </row>
    <row r="163" spans="1:45" ht="15" customHeight="1">
      <c r="A163" t="s">
        <v>221</v>
      </c>
      <c r="B163">
        <v>1367</v>
      </c>
      <c r="C163" t="s">
        <v>27</v>
      </c>
      <c r="D163" s="8">
        <v>45693</v>
      </c>
      <c r="E163" s="22">
        <v>45946</v>
      </c>
      <c r="F163" t="s">
        <v>422</v>
      </c>
      <c r="H163">
        <v>6</v>
      </c>
      <c r="I163">
        <v>20611890746</v>
      </c>
      <c r="J163" t="s">
        <v>1469</v>
      </c>
      <c r="K163" s="8">
        <v>45693</v>
      </c>
      <c r="Q163">
        <v>1</v>
      </c>
      <c r="R163">
        <v>962</v>
      </c>
      <c r="S163" s="29" t="s">
        <v>1470</v>
      </c>
      <c r="T163" t="s">
        <v>219</v>
      </c>
      <c r="U163">
        <v>1</v>
      </c>
      <c r="V163">
        <v>600</v>
      </c>
      <c r="W163">
        <v>708</v>
      </c>
      <c r="X163">
        <v>0</v>
      </c>
      <c r="Y163">
        <v>600</v>
      </c>
      <c r="Z163">
        <v>18</v>
      </c>
      <c r="AA163">
        <v>108</v>
      </c>
      <c r="AB163">
        <v>708</v>
      </c>
      <c r="AC163">
        <v>1</v>
      </c>
      <c r="AE163" t="s">
        <v>239</v>
      </c>
      <c r="AF163" t="s">
        <v>29</v>
      </c>
      <c r="AG163">
        <v>2</v>
      </c>
      <c r="AH163" t="s">
        <v>25</v>
      </c>
      <c r="AI163">
        <v>1106</v>
      </c>
      <c r="AJ163" t="s">
        <v>246</v>
      </c>
      <c r="AK163" t="s">
        <v>1342</v>
      </c>
      <c r="AQ163" t="s">
        <v>422</v>
      </c>
      <c r="AS163" t="str">
        <f t="shared" si="3"/>
        <v>FB011367</v>
      </c>
    </row>
    <row r="164" spans="1:45" ht="15" customHeight="1">
      <c r="A164" t="s">
        <v>221</v>
      </c>
      <c r="B164">
        <v>1366</v>
      </c>
      <c r="C164" t="s">
        <v>27</v>
      </c>
      <c r="D164" s="8">
        <v>45693</v>
      </c>
      <c r="E164" s="22">
        <v>45946</v>
      </c>
      <c r="F164" t="s">
        <v>422</v>
      </c>
      <c r="H164">
        <v>6</v>
      </c>
      <c r="I164">
        <v>20611890746</v>
      </c>
      <c r="J164" t="s">
        <v>1471</v>
      </c>
      <c r="K164" s="8">
        <v>45693</v>
      </c>
      <c r="Q164">
        <v>1</v>
      </c>
      <c r="R164">
        <v>877</v>
      </c>
      <c r="S164" t="s">
        <v>197</v>
      </c>
      <c r="T164" t="s">
        <v>219</v>
      </c>
      <c r="U164">
        <v>1</v>
      </c>
      <c r="V164">
        <v>1854.82</v>
      </c>
      <c r="W164">
        <v>2188.69</v>
      </c>
      <c r="X164">
        <v>0</v>
      </c>
      <c r="Y164">
        <v>1854.82</v>
      </c>
      <c r="Z164">
        <v>18</v>
      </c>
      <c r="AA164">
        <v>333.87</v>
      </c>
      <c r="AB164">
        <v>2188.69</v>
      </c>
      <c r="AC164">
        <v>1</v>
      </c>
      <c r="AE164" t="s">
        <v>239</v>
      </c>
      <c r="AF164" t="s">
        <v>29</v>
      </c>
      <c r="AG164">
        <v>2</v>
      </c>
      <c r="AH164" t="s">
        <v>25</v>
      </c>
      <c r="AI164">
        <v>1106</v>
      </c>
      <c r="AJ164" t="s">
        <v>246</v>
      </c>
      <c r="AK164" t="s">
        <v>1346</v>
      </c>
      <c r="AQ164" t="s">
        <v>422</v>
      </c>
      <c r="AS164" t="str">
        <f t="shared" si="3"/>
        <v>FB011366</v>
      </c>
    </row>
    <row r="165" spans="1:45" ht="15" customHeight="1">
      <c r="A165" t="s">
        <v>221</v>
      </c>
      <c r="B165">
        <v>1365</v>
      </c>
      <c r="C165" t="s">
        <v>27</v>
      </c>
      <c r="D165" s="8">
        <v>45693</v>
      </c>
      <c r="E165" s="22">
        <v>45946</v>
      </c>
      <c r="F165" t="s">
        <v>422</v>
      </c>
      <c r="H165">
        <v>6</v>
      </c>
      <c r="I165">
        <v>20611890746</v>
      </c>
      <c r="J165" t="s">
        <v>1472</v>
      </c>
      <c r="K165" s="8">
        <v>45693</v>
      </c>
      <c r="Q165">
        <v>1</v>
      </c>
      <c r="R165">
        <v>870</v>
      </c>
      <c r="S165" t="s">
        <v>1227</v>
      </c>
      <c r="T165" t="s">
        <v>219</v>
      </c>
      <c r="U165">
        <v>1</v>
      </c>
      <c r="V165">
        <v>1170.3900000000001</v>
      </c>
      <c r="W165">
        <v>1381.06</v>
      </c>
      <c r="X165">
        <v>0</v>
      </c>
      <c r="Y165">
        <v>1170.3900000000001</v>
      </c>
      <c r="Z165">
        <v>18</v>
      </c>
      <c r="AA165">
        <v>210.67</v>
      </c>
      <c r="AB165">
        <v>1381.06</v>
      </c>
      <c r="AC165">
        <v>1</v>
      </c>
      <c r="AE165" t="s">
        <v>239</v>
      </c>
      <c r="AF165" t="s">
        <v>29</v>
      </c>
      <c r="AG165">
        <v>2</v>
      </c>
      <c r="AH165" t="s">
        <v>25</v>
      </c>
      <c r="AI165">
        <v>1106</v>
      </c>
      <c r="AJ165" t="s">
        <v>246</v>
      </c>
      <c r="AK165" t="s">
        <v>1346</v>
      </c>
      <c r="AQ165" t="s">
        <v>422</v>
      </c>
      <c r="AS165" t="str">
        <f t="shared" si="3"/>
        <v>FB011365</v>
      </c>
    </row>
    <row r="166" spans="1:45" ht="15" customHeight="1">
      <c r="A166" t="s">
        <v>221</v>
      </c>
      <c r="B166">
        <v>1364</v>
      </c>
      <c r="C166" t="s">
        <v>27</v>
      </c>
      <c r="D166" s="8">
        <v>45693</v>
      </c>
      <c r="E166" s="22">
        <v>45946</v>
      </c>
      <c r="F166" t="s">
        <v>521</v>
      </c>
      <c r="H166">
        <v>6</v>
      </c>
      <c r="I166">
        <v>10473186603</v>
      </c>
      <c r="J166" t="s">
        <v>1473</v>
      </c>
      <c r="K166" s="8">
        <v>45693</v>
      </c>
      <c r="Q166">
        <v>1</v>
      </c>
      <c r="R166">
        <v>877</v>
      </c>
      <c r="S166" t="s">
        <v>197</v>
      </c>
      <c r="T166" t="s">
        <v>219</v>
      </c>
      <c r="U166">
        <v>1</v>
      </c>
      <c r="V166">
        <v>138.18</v>
      </c>
      <c r="W166">
        <v>163.05000000000001</v>
      </c>
      <c r="X166">
        <v>0</v>
      </c>
      <c r="Y166">
        <v>138.18</v>
      </c>
      <c r="Z166">
        <v>18</v>
      </c>
      <c r="AA166">
        <v>24.87</v>
      </c>
      <c r="AB166">
        <v>163.05000000000001</v>
      </c>
      <c r="AC166">
        <v>1</v>
      </c>
      <c r="AE166" t="s">
        <v>239</v>
      </c>
      <c r="AF166" t="s">
        <v>29</v>
      </c>
      <c r="AG166">
        <v>2</v>
      </c>
      <c r="AH166" t="s">
        <v>25</v>
      </c>
      <c r="AI166">
        <v>1106</v>
      </c>
      <c r="AJ166" t="s">
        <v>246</v>
      </c>
      <c r="AK166" t="s">
        <v>1346</v>
      </c>
      <c r="AQ166" t="s">
        <v>521</v>
      </c>
      <c r="AS166" t="str">
        <f t="shared" si="3"/>
        <v>FB011364</v>
      </c>
    </row>
    <row r="167" spans="1:45" ht="15" customHeight="1">
      <c r="A167" t="s">
        <v>221</v>
      </c>
      <c r="B167">
        <v>1363</v>
      </c>
      <c r="C167" t="s">
        <v>27</v>
      </c>
      <c r="D167" s="8">
        <v>45693</v>
      </c>
      <c r="E167" s="22">
        <v>45946</v>
      </c>
      <c r="F167" t="s">
        <v>521</v>
      </c>
      <c r="H167">
        <v>6</v>
      </c>
      <c r="I167">
        <v>10473186603</v>
      </c>
      <c r="J167" t="s">
        <v>1474</v>
      </c>
      <c r="K167" s="8">
        <v>45693</v>
      </c>
      <c r="Q167">
        <v>1</v>
      </c>
      <c r="R167">
        <v>870</v>
      </c>
      <c r="S167" t="s">
        <v>1227</v>
      </c>
      <c r="T167" t="s">
        <v>219</v>
      </c>
      <c r="U167">
        <v>1</v>
      </c>
      <c r="V167">
        <v>132.97</v>
      </c>
      <c r="W167">
        <v>156.9</v>
      </c>
      <c r="X167">
        <v>0</v>
      </c>
      <c r="Y167">
        <v>132.97</v>
      </c>
      <c r="Z167">
        <v>18</v>
      </c>
      <c r="AA167">
        <v>23.93</v>
      </c>
      <c r="AB167">
        <v>156.9</v>
      </c>
      <c r="AC167">
        <v>1</v>
      </c>
      <c r="AE167" t="s">
        <v>239</v>
      </c>
      <c r="AF167" t="s">
        <v>29</v>
      </c>
      <c r="AG167">
        <v>2</v>
      </c>
      <c r="AH167" t="s">
        <v>25</v>
      </c>
      <c r="AI167">
        <v>1106</v>
      </c>
      <c r="AJ167" t="s">
        <v>246</v>
      </c>
      <c r="AK167" t="s">
        <v>1346</v>
      </c>
      <c r="AQ167" t="s">
        <v>521</v>
      </c>
      <c r="AS167" t="str">
        <f t="shared" si="3"/>
        <v>FB011363</v>
      </c>
    </row>
    <row r="168" spans="1:45" ht="15" customHeight="1">
      <c r="A168" t="s">
        <v>221</v>
      </c>
      <c r="B168">
        <v>1362</v>
      </c>
      <c r="C168" t="s">
        <v>27</v>
      </c>
      <c r="D168" s="8">
        <v>45692</v>
      </c>
      <c r="E168" s="22">
        <v>45946</v>
      </c>
      <c r="F168" t="s">
        <v>422</v>
      </c>
      <c r="H168">
        <v>6</v>
      </c>
      <c r="I168">
        <v>20611890746</v>
      </c>
      <c r="J168" t="s">
        <v>1475</v>
      </c>
      <c r="K168" s="8">
        <v>45692</v>
      </c>
      <c r="Q168">
        <v>1</v>
      </c>
      <c r="R168">
        <v>961</v>
      </c>
      <c r="S168" t="s">
        <v>1476</v>
      </c>
      <c r="T168" t="s">
        <v>219</v>
      </c>
      <c r="U168">
        <v>1</v>
      </c>
      <c r="V168">
        <v>20</v>
      </c>
      <c r="W168">
        <v>23.6</v>
      </c>
      <c r="X168">
        <v>0</v>
      </c>
      <c r="Y168">
        <v>20</v>
      </c>
      <c r="Z168">
        <v>18</v>
      </c>
      <c r="AA168">
        <v>3.6</v>
      </c>
      <c r="AB168">
        <v>23.6</v>
      </c>
      <c r="AC168">
        <v>1</v>
      </c>
      <c r="AE168" t="s">
        <v>239</v>
      </c>
      <c r="AF168" t="s">
        <v>29</v>
      </c>
      <c r="AG168">
        <v>2</v>
      </c>
      <c r="AH168" t="s">
        <v>25</v>
      </c>
      <c r="AI168">
        <v>1106</v>
      </c>
      <c r="AJ168" t="s">
        <v>246</v>
      </c>
      <c r="AK168" t="s">
        <v>1477</v>
      </c>
      <c r="AQ168" t="s">
        <v>422</v>
      </c>
      <c r="AS168" t="str">
        <f t="shared" si="3"/>
        <v>FB011362</v>
      </c>
    </row>
    <row r="169" spans="1:45" ht="15" customHeight="1">
      <c r="A169" t="s">
        <v>217</v>
      </c>
      <c r="B169">
        <v>218</v>
      </c>
      <c r="C169" t="s">
        <v>27</v>
      </c>
      <c r="D169" s="8">
        <v>45691</v>
      </c>
      <c r="E169" s="22">
        <v>45946</v>
      </c>
      <c r="F169" t="s">
        <v>383</v>
      </c>
      <c r="H169">
        <v>6</v>
      </c>
      <c r="I169">
        <v>20611066971</v>
      </c>
      <c r="J169" t="s">
        <v>1478</v>
      </c>
      <c r="K169" s="8">
        <v>45691</v>
      </c>
      <c r="Q169">
        <v>1</v>
      </c>
      <c r="R169">
        <v>960</v>
      </c>
      <c r="S169" t="s">
        <v>1479</v>
      </c>
      <c r="T169" t="s">
        <v>219</v>
      </c>
      <c r="U169">
        <v>1</v>
      </c>
      <c r="V169">
        <v>830</v>
      </c>
      <c r="W169">
        <v>979.4</v>
      </c>
      <c r="X169">
        <v>0</v>
      </c>
      <c r="Y169">
        <v>830</v>
      </c>
      <c r="Z169">
        <v>18</v>
      </c>
      <c r="AA169">
        <v>149.4</v>
      </c>
      <c r="AB169">
        <v>979.4</v>
      </c>
      <c r="AC169">
        <v>1</v>
      </c>
      <c r="AE169" t="s">
        <v>239</v>
      </c>
      <c r="AF169" t="s">
        <v>29</v>
      </c>
      <c r="AG169">
        <v>2</v>
      </c>
      <c r="AH169" t="s">
        <v>25</v>
      </c>
      <c r="AI169">
        <v>1106</v>
      </c>
      <c r="AJ169" t="s">
        <v>246</v>
      </c>
      <c r="AK169" t="s">
        <v>1342</v>
      </c>
      <c r="AQ169" t="s">
        <v>383</v>
      </c>
      <c r="AS169" t="str">
        <f t="shared" si="3"/>
        <v>FFF1218</v>
      </c>
    </row>
    <row r="170" spans="1:45" ht="15" customHeight="1">
      <c r="A170" t="s">
        <v>1349</v>
      </c>
      <c r="B170">
        <v>721</v>
      </c>
      <c r="C170" t="s">
        <v>27</v>
      </c>
      <c r="D170" s="8">
        <v>45688</v>
      </c>
      <c r="E170" s="22">
        <v>45946</v>
      </c>
      <c r="F170" t="s">
        <v>603</v>
      </c>
      <c r="H170">
        <v>1</v>
      </c>
      <c r="I170">
        <v>44849029</v>
      </c>
      <c r="J170" t="s">
        <v>1480</v>
      </c>
      <c r="K170" s="8">
        <v>45688</v>
      </c>
      <c r="Q170">
        <v>1</v>
      </c>
      <c r="R170">
        <v>877</v>
      </c>
      <c r="S170" t="s">
        <v>197</v>
      </c>
      <c r="T170" t="s">
        <v>219</v>
      </c>
      <c r="U170">
        <v>1</v>
      </c>
      <c r="V170">
        <v>24.56</v>
      </c>
      <c r="W170">
        <v>28.98</v>
      </c>
      <c r="X170">
        <v>0</v>
      </c>
      <c r="Y170">
        <v>24.56</v>
      </c>
      <c r="Z170">
        <v>18</v>
      </c>
      <c r="AA170">
        <v>4.42</v>
      </c>
      <c r="AB170">
        <v>28.98</v>
      </c>
      <c r="AC170">
        <v>1</v>
      </c>
      <c r="AE170" t="s">
        <v>239</v>
      </c>
      <c r="AF170" t="s">
        <v>29</v>
      </c>
      <c r="AG170">
        <v>2</v>
      </c>
      <c r="AH170" t="s">
        <v>25</v>
      </c>
      <c r="AI170">
        <v>1106</v>
      </c>
      <c r="AJ170" t="s">
        <v>246</v>
      </c>
      <c r="AK170" t="s">
        <v>1346</v>
      </c>
      <c r="AQ170" t="s">
        <v>603</v>
      </c>
      <c r="AS170" t="str">
        <f t="shared" si="3"/>
        <v>BB01721</v>
      </c>
    </row>
    <row r="171" spans="1:45" ht="15" customHeight="1">
      <c r="A171" t="s">
        <v>1349</v>
      </c>
      <c r="B171">
        <v>720</v>
      </c>
      <c r="C171" t="s">
        <v>27</v>
      </c>
      <c r="D171" s="8">
        <v>45688</v>
      </c>
      <c r="E171" s="22">
        <v>45946</v>
      </c>
      <c r="F171" t="s">
        <v>603</v>
      </c>
      <c r="H171">
        <v>1</v>
      </c>
      <c r="I171">
        <v>44849029</v>
      </c>
      <c r="J171" t="s">
        <v>1481</v>
      </c>
      <c r="K171" s="8">
        <v>45688</v>
      </c>
      <c r="Q171">
        <v>1</v>
      </c>
      <c r="R171">
        <v>870</v>
      </c>
      <c r="S171" t="s">
        <v>1227</v>
      </c>
      <c r="T171" t="s">
        <v>219</v>
      </c>
      <c r="U171">
        <v>1</v>
      </c>
      <c r="V171">
        <v>26.45</v>
      </c>
      <c r="W171">
        <v>31.21</v>
      </c>
      <c r="X171">
        <v>0</v>
      </c>
      <c r="Y171">
        <v>26.45</v>
      </c>
      <c r="Z171">
        <v>18</v>
      </c>
      <c r="AA171">
        <v>4.76</v>
      </c>
      <c r="AB171">
        <v>31.21</v>
      </c>
      <c r="AC171">
        <v>1</v>
      </c>
      <c r="AE171" t="s">
        <v>239</v>
      </c>
      <c r="AF171" t="s">
        <v>29</v>
      </c>
      <c r="AG171">
        <v>2</v>
      </c>
      <c r="AH171" t="s">
        <v>25</v>
      </c>
      <c r="AI171">
        <v>1106</v>
      </c>
      <c r="AJ171" t="s">
        <v>246</v>
      </c>
      <c r="AK171" t="s">
        <v>1346</v>
      </c>
      <c r="AQ171" t="s">
        <v>603</v>
      </c>
      <c r="AS171" t="str">
        <f t="shared" si="3"/>
        <v>BB01720</v>
      </c>
    </row>
    <row r="172" spans="1:45" ht="15" customHeight="1">
      <c r="A172" t="s">
        <v>1349</v>
      </c>
      <c r="B172">
        <v>719</v>
      </c>
      <c r="C172" t="s">
        <v>27</v>
      </c>
      <c r="D172" s="8">
        <v>45688</v>
      </c>
      <c r="E172" s="22">
        <v>45946</v>
      </c>
      <c r="F172" t="s">
        <v>608</v>
      </c>
      <c r="G172" t="s">
        <v>158</v>
      </c>
      <c r="H172">
        <v>1</v>
      </c>
      <c r="I172">
        <v>47633477</v>
      </c>
      <c r="J172" t="s">
        <v>1482</v>
      </c>
      <c r="K172" s="8">
        <v>45688</v>
      </c>
      <c r="Q172">
        <v>1</v>
      </c>
      <c r="R172">
        <v>877</v>
      </c>
      <c r="S172" t="s">
        <v>197</v>
      </c>
      <c r="T172" t="s">
        <v>219</v>
      </c>
      <c r="U172">
        <v>1</v>
      </c>
      <c r="V172">
        <v>117.97</v>
      </c>
      <c r="W172">
        <v>139.19999999999999</v>
      </c>
      <c r="X172">
        <v>0</v>
      </c>
      <c r="Y172">
        <v>117.97</v>
      </c>
      <c r="Z172">
        <v>18</v>
      </c>
      <c r="AA172">
        <v>21.23</v>
      </c>
      <c r="AB172">
        <v>139.19999999999999</v>
      </c>
      <c r="AC172">
        <v>1</v>
      </c>
      <c r="AE172" t="s">
        <v>239</v>
      </c>
      <c r="AF172" t="s">
        <v>29</v>
      </c>
      <c r="AG172">
        <v>2</v>
      </c>
      <c r="AH172" t="s">
        <v>25</v>
      </c>
      <c r="AI172">
        <v>1106</v>
      </c>
      <c r="AJ172" t="s">
        <v>246</v>
      </c>
      <c r="AK172" t="s">
        <v>1346</v>
      </c>
      <c r="AQ172" t="s">
        <v>608</v>
      </c>
      <c r="AS172" t="str">
        <f t="shared" si="3"/>
        <v>BB01719</v>
      </c>
    </row>
    <row r="173" spans="1:45" ht="15" customHeight="1">
      <c r="A173" t="s">
        <v>1349</v>
      </c>
      <c r="B173">
        <v>718</v>
      </c>
      <c r="C173" t="s">
        <v>27</v>
      </c>
      <c r="D173" s="8">
        <v>45688</v>
      </c>
      <c r="E173" s="22">
        <v>45946</v>
      </c>
      <c r="F173" t="s">
        <v>608</v>
      </c>
      <c r="G173" t="s">
        <v>158</v>
      </c>
      <c r="H173">
        <v>1</v>
      </c>
      <c r="I173">
        <v>47633477</v>
      </c>
      <c r="J173" t="s">
        <v>1483</v>
      </c>
      <c r="K173" s="8">
        <v>45688</v>
      </c>
      <c r="Q173">
        <v>1</v>
      </c>
      <c r="R173">
        <v>870</v>
      </c>
      <c r="S173" t="s">
        <v>1227</v>
      </c>
      <c r="T173" t="s">
        <v>219</v>
      </c>
      <c r="U173">
        <v>1</v>
      </c>
      <c r="V173">
        <v>96.1</v>
      </c>
      <c r="W173">
        <v>113.4</v>
      </c>
      <c r="X173">
        <v>0</v>
      </c>
      <c r="Y173">
        <v>96.1</v>
      </c>
      <c r="Z173">
        <v>18</v>
      </c>
      <c r="AA173">
        <v>17.3</v>
      </c>
      <c r="AB173">
        <v>113.4</v>
      </c>
      <c r="AC173">
        <v>1</v>
      </c>
      <c r="AE173" t="s">
        <v>239</v>
      </c>
      <c r="AF173" t="s">
        <v>29</v>
      </c>
      <c r="AG173">
        <v>2</v>
      </c>
      <c r="AH173" t="s">
        <v>25</v>
      </c>
      <c r="AI173">
        <v>1106</v>
      </c>
      <c r="AJ173" t="s">
        <v>246</v>
      </c>
      <c r="AK173" t="s">
        <v>1346</v>
      </c>
      <c r="AQ173" t="s">
        <v>608</v>
      </c>
      <c r="AS173" t="str">
        <f t="shared" si="3"/>
        <v>BB01718</v>
      </c>
    </row>
    <row r="174" spans="1:45" ht="15" customHeight="1">
      <c r="A174" t="s">
        <v>221</v>
      </c>
      <c r="B174">
        <v>1361</v>
      </c>
      <c r="C174" t="s">
        <v>27</v>
      </c>
      <c r="D174" s="8">
        <v>45688</v>
      </c>
      <c r="E174" s="22">
        <v>45946</v>
      </c>
      <c r="F174" t="s">
        <v>598</v>
      </c>
      <c r="H174">
        <v>6</v>
      </c>
      <c r="I174">
        <v>10703039346</v>
      </c>
      <c r="J174" t="s">
        <v>1484</v>
      </c>
      <c r="K174" s="8">
        <v>45688</v>
      </c>
      <c r="Q174">
        <v>1</v>
      </c>
      <c r="R174">
        <v>877</v>
      </c>
      <c r="S174" t="s">
        <v>197</v>
      </c>
      <c r="T174" t="s">
        <v>219</v>
      </c>
      <c r="U174">
        <v>1</v>
      </c>
      <c r="V174">
        <v>212.8</v>
      </c>
      <c r="W174">
        <v>251.1</v>
      </c>
      <c r="X174">
        <v>0</v>
      </c>
      <c r="Y174">
        <v>212.8</v>
      </c>
      <c r="Z174">
        <v>18</v>
      </c>
      <c r="AA174">
        <v>38.299999999999997</v>
      </c>
      <c r="AB174">
        <v>251.1</v>
      </c>
      <c r="AC174">
        <v>1</v>
      </c>
      <c r="AE174" t="s">
        <v>239</v>
      </c>
      <c r="AF174" t="s">
        <v>29</v>
      </c>
      <c r="AG174">
        <v>2</v>
      </c>
      <c r="AH174" t="s">
        <v>25</v>
      </c>
      <c r="AI174">
        <v>1106</v>
      </c>
      <c r="AJ174" t="s">
        <v>246</v>
      </c>
      <c r="AK174" t="s">
        <v>1346</v>
      </c>
      <c r="AQ174" t="s">
        <v>598</v>
      </c>
      <c r="AS174" t="str">
        <f t="shared" si="3"/>
        <v>FB011361</v>
      </c>
    </row>
    <row r="175" spans="1:45" ht="15" customHeight="1">
      <c r="A175" t="s">
        <v>221</v>
      </c>
      <c r="B175">
        <v>1360</v>
      </c>
      <c r="C175" t="s">
        <v>27</v>
      </c>
      <c r="D175" s="8">
        <v>45688</v>
      </c>
      <c r="E175" s="22">
        <v>45946</v>
      </c>
      <c r="F175" t="s">
        <v>598</v>
      </c>
      <c r="H175">
        <v>6</v>
      </c>
      <c r="I175">
        <v>10703039346</v>
      </c>
      <c r="J175" t="s">
        <v>1485</v>
      </c>
      <c r="K175" s="8">
        <v>45688</v>
      </c>
      <c r="Q175">
        <v>1</v>
      </c>
      <c r="R175">
        <v>870</v>
      </c>
      <c r="S175" t="s">
        <v>1227</v>
      </c>
      <c r="T175" t="s">
        <v>219</v>
      </c>
      <c r="U175">
        <v>1</v>
      </c>
      <c r="V175">
        <v>125.25</v>
      </c>
      <c r="W175">
        <v>147.80000000000001</v>
      </c>
      <c r="X175">
        <v>0</v>
      </c>
      <c r="Y175">
        <v>125.25</v>
      </c>
      <c r="Z175">
        <v>18</v>
      </c>
      <c r="AA175">
        <v>22.55</v>
      </c>
      <c r="AB175">
        <v>147.80000000000001</v>
      </c>
      <c r="AC175">
        <v>1</v>
      </c>
      <c r="AE175" t="s">
        <v>239</v>
      </c>
      <c r="AF175" t="s">
        <v>29</v>
      </c>
      <c r="AG175">
        <v>2</v>
      </c>
      <c r="AH175" t="s">
        <v>25</v>
      </c>
      <c r="AI175">
        <v>1106</v>
      </c>
      <c r="AJ175" t="s">
        <v>246</v>
      </c>
      <c r="AK175" t="s">
        <v>1346</v>
      </c>
      <c r="AQ175" t="s">
        <v>598</v>
      </c>
      <c r="AS175" t="str">
        <f t="shared" si="3"/>
        <v>FB011360</v>
      </c>
    </row>
    <row r="176" spans="1:45" ht="15" customHeight="1">
      <c r="A176" t="s">
        <v>1349</v>
      </c>
      <c r="B176">
        <v>717</v>
      </c>
      <c r="C176" t="s">
        <v>27</v>
      </c>
      <c r="D176" s="8">
        <v>45687</v>
      </c>
      <c r="E176" s="22">
        <v>45946</v>
      </c>
      <c r="F176" t="s">
        <v>573</v>
      </c>
      <c r="H176">
        <v>1</v>
      </c>
      <c r="I176">
        <v>45273802</v>
      </c>
      <c r="J176" t="s">
        <v>1486</v>
      </c>
      <c r="K176" s="8">
        <v>45687</v>
      </c>
      <c r="Q176">
        <v>1</v>
      </c>
      <c r="R176">
        <v>877</v>
      </c>
      <c r="S176" t="s">
        <v>197</v>
      </c>
      <c r="T176" t="s">
        <v>219</v>
      </c>
      <c r="U176">
        <v>1</v>
      </c>
      <c r="V176">
        <v>374.24</v>
      </c>
      <c r="W176">
        <v>441.6</v>
      </c>
      <c r="X176">
        <v>0</v>
      </c>
      <c r="Y176">
        <v>374.24</v>
      </c>
      <c r="Z176">
        <v>18</v>
      </c>
      <c r="AA176">
        <v>67.36</v>
      </c>
      <c r="AB176">
        <v>441.6</v>
      </c>
      <c r="AC176">
        <v>1</v>
      </c>
      <c r="AE176" t="s">
        <v>239</v>
      </c>
      <c r="AF176" t="s">
        <v>29</v>
      </c>
      <c r="AG176">
        <v>2</v>
      </c>
      <c r="AH176" t="s">
        <v>25</v>
      </c>
      <c r="AI176">
        <v>1106</v>
      </c>
      <c r="AJ176" t="s">
        <v>246</v>
      </c>
      <c r="AK176" t="s">
        <v>1346</v>
      </c>
      <c r="AQ176" t="s">
        <v>573</v>
      </c>
      <c r="AS176" t="str">
        <f t="shared" si="3"/>
        <v>BB01717</v>
      </c>
    </row>
    <row r="177" spans="1:45" ht="15" customHeight="1">
      <c r="A177" t="s">
        <v>1349</v>
      </c>
      <c r="B177">
        <v>716</v>
      </c>
      <c r="C177" t="s">
        <v>27</v>
      </c>
      <c r="D177" s="8">
        <v>45687</v>
      </c>
      <c r="E177" s="22">
        <v>45946</v>
      </c>
      <c r="F177" t="s">
        <v>573</v>
      </c>
      <c r="H177">
        <v>1</v>
      </c>
      <c r="I177">
        <v>45273802</v>
      </c>
      <c r="J177" t="s">
        <v>1487</v>
      </c>
      <c r="K177" s="8">
        <v>45687</v>
      </c>
      <c r="Q177">
        <v>1</v>
      </c>
      <c r="R177">
        <v>870</v>
      </c>
      <c r="S177" t="s">
        <v>1227</v>
      </c>
      <c r="T177" t="s">
        <v>219</v>
      </c>
      <c r="U177">
        <v>1</v>
      </c>
      <c r="V177">
        <v>279.66000000000003</v>
      </c>
      <c r="W177">
        <v>330</v>
      </c>
      <c r="X177">
        <v>0</v>
      </c>
      <c r="Y177">
        <v>279.66000000000003</v>
      </c>
      <c r="Z177">
        <v>18</v>
      </c>
      <c r="AA177">
        <v>50.34</v>
      </c>
      <c r="AB177">
        <v>330</v>
      </c>
      <c r="AC177">
        <v>1</v>
      </c>
      <c r="AE177" t="s">
        <v>239</v>
      </c>
      <c r="AF177" t="s">
        <v>29</v>
      </c>
      <c r="AG177">
        <v>2</v>
      </c>
      <c r="AH177" t="s">
        <v>25</v>
      </c>
      <c r="AI177">
        <v>1106</v>
      </c>
      <c r="AJ177" t="s">
        <v>246</v>
      </c>
      <c r="AK177" t="s">
        <v>1346</v>
      </c>
      <c r="AQ177" t="s">
        <v>573</v>
      </c>
      <c r="AS177" t="str">
        <f t="shared" si="3"/>
        <v>BB01716</v>
      </c>
    </row>
    <row r="178" spans="1:45" ht="15" customHeight="1">
      <c r="A178" t="s">
        <v>1349</v>
      </c>
      <c r="B178">
        <v>715</v>
      </c>
      <c r="C178" t="s">
        <v>27</v>
      </c>
      <c r="D178" s="8">
        <v>45687</v>
      </c>
      <c r="E178" s="22">
        <v>45946</v>
      </c>
      <c r="F178" t="s">
        <v>617</v>
      </c>
      <c r="H178">
        <v>1</v>
      </c>
      <c r="I178">
        <v>75329338</v>
      </c>
      <c r="J178" t="s">
        <v>1488</v>
      </c>
      <c r="K178" s="8">
        <v>45687</v>
      </c>
      <c r="Q178">
        <v>1</v>
      </c>
      <c r="R178">
        <v>959</v>
      </c>
      <c r="S178" t="s">
        <v>1489</v>
      </c>
      <c r="T178" t="s">
        <v>219</v>
      </c>
      <c r="U178">
        <v>1</v>
      </c>
      <c r="V178">
        <v>32.5</v>
      </c>
      <c r="W178">
        <v>38.35</v>
      </c>
      <c r="X178">
        <v>0</v>
      </c>
      <c r="Y178">
        <v>32.5</v>
      </c>
      <c r="Z178">
        <v>18</v>
      </c>
      <c r="AA178">
        <v>5.85</v>
      </c>
      <c r="AB178">
        <v>38.35</v>
      </c>
      <c r="AC178">
        <v>1</v>
      </c>
      <c r="AE178" t="s">
        <v>239</v>
      </c>
      <c r="AF178" t="s">
        <v>29</v>
      </c>
      <c r="AG178">
        <v>2</v>
      </c>
      <c r="AH178" t="s">
        <v>25</v>
      </c>
      <c r="AI178">
        <v>1106</v>
      </c>
      <c r="AJ178" t="s">
        <v>246</v>
      </c>
      <c r="AK178" t="s">
        <v>1490</v>
      </c>
      <c r="AQ178" t="s">
        <v>1491</v>
      </c>
      <c r="AS178" t="str">
        <f t="shared" si="3"/>
        <v>BB01715</v>
      </c>
    </row>
    <row r="179" spans="1:45" ht="15" customHeight="1">
      <c r="A179" t="s">
        <v>1349</v>
      </c>
      <c r="B179">
        <v>714</v>
      </c>
      <c r="C179" t="s">
        <v>27</v>
      </c>
      <c r="D179" s="8">
        <v>45687</v>
      </c>
      <c r="E179" s="22">
        <v>45946</v>
      </c>
      <c r="F179" t="s">
        <v>617</v>
      </c>
      <c r="H179">
        <v>1</v>
      </c>
      <c r="I179">
        <v>75329338</v>
      </c>
      <c r="J179" t="s">
        <v>1492</v>
      </c>
      <c r="K179" s="8">
        <v>45687</v>
      </c>
      <c r="Q179">
        <v>1</v>
      </c>
      <c r="R179">
        <v>877</v>
      </c>
      <c r="S179" t="s">
        <v>197</v>
      </c>
      <c r="T179" t="s">
        <v>219</v>
      </c>
      <c r="U179">
        <v>1</v>
      </c>
      <c r="V179">
        <v>4.83</v>
      </c>
      <c r="W179">
        <v>5.7</v>
      </c>
      <c r="X179">
        <v>0</v>
      </c>
      <c r="Y179">
        <v>4.83</v>
      </c>
      <c r="Z179">
        <v>18.010000000000002</v>
      </c>
      <c r="AA179">
        <v>0.87</v>
      </c>
      <c r="AB179">
        <v>5.7</v>
      </c>
      <c r="AC179">
        <v>1</v>
      </c>
      <c r="AE179" t="s">
        <v>239</v>
      </c>
      <c r="AF179" t="s">
        <v>29</v>
      </c>
      <c r="AG179">
        <v>2</v>
      </c>
      <c r="AH179" t="s">
        <v>25</v>
      </c>
      <c r="AI179">
        <v>1106</v>
      </c>
      <c r="AJ179" t="s">
        <v>246</v>
      </c>
      <c r="AK179" t="s">
        <v>1346</v>
      </c>
      <c r="AQ179" t="s">
        <v>1491</v>
      </c>
      <c r="AS179" t="str">
        <f t="shared" si="3"/>
        <v>BB01714</v>
      </c>
    </row>
    <row r="180" spans="1:45" ht="15" customHeight="1">
      <c r="A180" t="s">
        <v>1349</v>
      </c>
      <c r="B180">
        <v>713</v>
      </c>
      <c r="C180" t="s">
        <v>27</v>
      </c>
      <c r="D180" s="8">
        <v>45687</v>
      </c>
      <c r="E180" s="22">
        <v>45946</v>
      </c>
      <c r="F180" t="s">
        <v>617</v>
      </c>
      <c r="H180">
        <v>1</v>
      </c>
      <c r="I180">
        <v>75329338</v>
      </c>
      <c r="J180" t="s">
        <v>1493</v>
      </c>
      <c r="K180" s="8">
        <v>45687</v>
      </c>
      <c r="Q180">
        <v>1</v>
      </c>
      <c r="R180">
        <v>870</v>
      </c>
      <c r="S180" t="s">
        <v>1227</v>
      </c>
      <c r="T180" t="s">
        <v>219</v>
      </c>
      <c r="U180">
        <v>1</v>
      </c>
      <c r="V180">
        <v>35.549999999999997</v>
      </c>
      <c r="W180">
        <v>41.95</v>
      </c>
      <c r="X180">
        <v>0</v>
      </c>
      <c r="Y180">
        <v>35.549999999999997</v>
      </c>
      <c r="Z180">
        <v>18</v>
      </c>
      <c r="AA180">
        <v>6.4</v>
      </c>
      <c r="AB180">
        <v>41.95</v>
      </c>
      <c r="AC180">
        <v>1</v>
      </c>
      <c r="AE180" t="s">
        <v>239</v>
      </c>
      <c r="AF180" t="s">
        <v>29</v>
      </c>
      <c r="AG180">
        <v>2</v>
      </c>
      <c r="AH180" t="s">
        <v>25</v>
      </c>
      <c r="AI180">
        <v>1106</v>
      </c>
      <c r="AJ180" t="s">
        <v>246</v>
      </c>
      <c r="AK180" t="s">
        <v>1346</v>
      </c>
      <c r="AQ180" t="s">
        <v>1491</v>
      </c>
      <c r="AS180" t="str">
        <f t="shared" si="3"/>
        <v>BB01713</v>
      </c>
    </row>
    <row r="181" spans="1:45" ht="15" customHeight="1">
      <c r="A181" t="s">
        <v>1349</v>
      </c>
      <c r="B181">
        <v>712</v>
      </c>
      <c r="C181" t="s">
        <v>27</v>
      </c>
      <c r="D181" s="8">
        <v>45687</v>
      </c>
      <c r="E181" s="22">
        <v>45946</v>
      </c>
      <c r="F181" t="s">
        <v>624</v>
      </c>
      <c r="H181">
        <v>1</v>
      </c>
      <c r="I181">
        <v>74023096</v>
      </c>
      <c r="J181" t="s">
        <v>1494</v>
      </c>
      <c r="K181" s="8">
        <v>45687</v>
      </c>
      <c r="Q181">
        <v>1</v>
      </c>
      <c r="R181">
        <v>877</v>
      </c>
      <c r="S181" t="s">
        <v>197</v>
      </c>
      <c r="T181" t="s">
        <v>219</v>
      </c>
      <c r="U181">
        <v>1</v>
      </c>
      <c r="V181">
        <v>370.08</v>
      </c>
      <c r="W181">
        <v>436.7</v>
      </c>
      <c r="X181">
        <v>0</v>
      </c>
      <c r="Y181">
        <v>370.08</v>
      </c>
      <c r="Z181">
        <v>18</v>
      </c>
      <c r="AA181">
        <v>66.62</v>
      </c>
      <c r="AB181">
        <v>436.7</v>
      </c>
      <c r="AC181">
        <v>1</v>
      </c>
      <c r="AE181" t="s">
        <v>239</v>
      </c>
      <c r="AF181" t="s">
        <v>29</v>
      </c>
      <c r="AG181">
        <v>2</v>
      </c>
      <c r="AH181" t="s">
        <v>25</v>
      </c>
      <c r="AI181">
        <v>1106</v>
      </c>
      <c r="AJ181" t="s">
        <v>246</v>
      </c>
      <c r="AK181" t="s">
        <v>1346</v>
      </c>
      <c r="AQ181" t="s">
        <v>624</v>
      </c>
      <c r="AS181" t="str">
        <f t="shared" si="3"/>
        <v>BB01712</v>
      </c>
    </row>
    <row r="182" spans="1:45" ht="15" customHeight="1">
      <c r="A182" t="s">
        <v>1349</v>
      </c>
      <c r="B182">
        <v>711</v>
      </c>
      <c r="C182" t="s">
        <v>27</v>
      </c>
      <c r="D182" s="8">
        <v>45687</v>
      </c>
      <c r="E182" s="22">
        <v>45946</v>
      </c>
      <c r="F182" t="s">
        <v>624</v>
      </c>
      <c r="H182">
        <v>1</v>
      </c>
      <c r="I182">
        <v>74023096</v>
      </c>
      <c r="J182" t="s">
        <v>1495</v>
      </c>
      <c r="K182" s="8">
        <v>45687</v>
      </c>
      <c r="Q182">
        <v>1</v>
      </c>
      <c r="R182">
        <v>870</v>
      </c>
      <c r="S182" t="s">
        <v>1227</v>
      </c>
      <c r="T182" t="s">
        <v>219</v>
      </c>
      <c r="U182">
        <v>1</v>
      </c>
      <c r="V182">
        <v>283.73</v>
      </c>
      <c r="W182">
        <v>334.8</v>
      </c>
      <c r="X182">
        <v>0</v>
      </c>
      <c r="Y182">
        <v>283.73</v>
      </c>
      <c r="Z182">
        <v>18</v>
      </c>
      <c r="AA182">
        <v>51.07</v>
      </c>
      <c r="AB182">
        <v>334.8</v>
      </c>
      <c r="AC182">
        <v>1</v>
      </c>
      <c r="AE182" t="s">
        <v>239</v>
      </c>
      <c r="AF182" t="s">
        <v>29</v>
      </c>
      <c r="AG182">
        <v>2</v>
      </c>
      <c r="AH182" t="s">
        <v>25</v>
      </c>
      <c r="AI182">
        <v>1106</v>
      </c>
      <c r="AJ182" t="s">
        <v>246</v>
      </c>
      <c r="AK182" t="s">
        <v>1346</v>
      </c>
      <c r="AQ182" t="s">
        <v>624</v>
      </c>
      <c r="AS182" t="str">
        <f t="shared" si="3"/>
        <v>BB01711</v>
      </c>
    </row>
    <row r="183" spans="1:45" ht="15" customHeight="1">
      <c r="A183" t="s">
        <v>221</v>
      </c>
      <c r="B183">
        <v>1359</v>
      </c>
      <c r="C183" t="s">
        <v>27</v>
      </c>
      <c r="D183" s="8">
        <v>45686</v>
      </c>
      <c r="E183" s="22">
        <v>45946</v>
      </c>
      <c r="F183" t="s">
        <v>629</v>
      </c>
      <c r="H183">
        <v>6</v>
      </c>
      <c r="I183">
        <v>10064263248</v>
      </c>
      <c r="J183" t="s">
        <v>1496</v>
      </c>
      <c r="K183" s="8">
        <v>45686</v>
      </c>
      <c r="Q183">
        <v>1</v>
      </c>
      <c r="R183">
        <v>871</v>
      </c>
      <c r="S183" t="s">
        <v>1381</v>
      </c>
      <c r="T183" t="s">
        <v>219</v>
      </c>
      <c r="U183">
        <v>1</v>
      </c>
      <c r="V183">
        <v>53.56</v>
      </c>
      <c r="W183">
        <v>63.2</v>
      </c>
      <c r="X183">
        <v>0</v>
      </c>
      <c r="Y183">
        <v>53.56</v>
      </c>
      <c r="Z183">
        <v>18</v>
      </c>
      <c r="AA183">
        <v>9.64</v>
      </c>
      <c r="AB183">
        <v>63.2</v>
      </c>
      <c r="AC183">
        <v>1</v>
      </c>
      <c r="AE183" t="s">
        <v>239</v>
      </c>
      <c r="AF183" t="s">
        <v>29</v>
      </c>
      <c r="AG183">
        <v>2</v>
      </c>
      <c r="AH183" t="s">
        <v>25</v>
      </c>
      <c r="AI183">
        <v>1106</v>
      </c>
      <c r="AJ183" t="s">
        <v>246</v>
      </c>
      <c r="AK183" t="s">
        <v>1346</v>
      </c>
      <c r="AQ183" t="s">
        <v>629</v>
      </c>
      <c r="AS183" t="str">
        <f t="shared" si="3"/>
        <v>FB011359</v>
      </c>
    </row>
    <row r="184" spans="1:45" ht="15" customHeight="1">
      <c r="A184" t="s">
        <v>221</v>
      </c>
      <c r="B184">
        <v>1358</v>
      </c>
      <c r="C184" t="s">
        <v>27</v>
      </c>
      <c r="D184" s="8">
        <v>45686</v>
      </c>
      <c r="E184" s="22">
        <v>45946</v>
      </c>
      <c r="F184" t="s">
        <v>629</v>
      </c>
      <c r="H184">
        <v>6</v>
      </c>
      <c r="I184">
        <v>10064263248</v>
      </c>
      <c r="J184" t="s">
        <v>1497</v>
      </c>
      <c r="K184" s="8">
        <v>45686</v>
      </c>
      <c r="Q184">
        <v>1</v>
      </c>
      <c r="R184">
        <v>878</v>
      </c>
      <c r="S184" t="s">
        <v>1498</v>
      </c>
      <c r="T184" t="s">
        <v>219</v>
      </c>
      <c r="U184">
        <v>1</v>
      </c>
      <c r="V184">
        <v>34.75</v>
      </c>
      <c r="W184">
        <v>41</v>
      </c>
      <c r="X184">
        <v>0</v>
      </c>
      <c r="Y184">
        <v>34.75</v>
      </c>
      <c r="Z184">
        <v>17.989999999999998</v>
      </c>
      <c r="AA184">
        <v>6.25</v>
      </c>
      <c r="AB184">
        <v>41</v>
      </c>
      <c r="AC184">
        <v>1</v>
      </c>
      <c r="AE184" t="s">
        <v>239</v>
      </c>
      <c r="AF184" t="s">
        <v>29</v>
      </c>
      <c r="AG184">
        <v>2</v>
      </c>
      <c r="AH184" t="s">
        <v>25</v>
      </c>
      <c r="AI184">
        <v>1106</v>
      </c>
      <c r="AJ184" t="s">
        <v>246</v>
      </c>
      <c r="AK184" t="s">
        <v>1346</v>
      </c>
      <c r="AQ184" t="s">
        <v>629</v>
      </c>
      <c r="AS184" t="str">
        <f t="shared" si="3"/>
        <v>FB011358</v>
      </c>
    </row>
    <row r="185" spans="1:45" ht="15" customHeight="1">
      <c r="A185" t="s">
        <v>1349</v>
      </c>
      <c r="B185">
        <v>710</v>
      </c>
      <c r="C185" t="s">
        <v>27</v>
      </c>
      <c r="D185" s="8">
        <v>45686</v>
      </c>
      <c r="E185" s="22">
        <v>45946</v>
      </c>
      <c r="F185" t="s">
        <v>681</v>
      </c>
      <c r="H185">
        <v>1</v>
      </c>
      <c r="I185">
        <v>48831337</v>
      </c>
      <c r="J185" t="s">
        <v>1499</v>
      </c>
      <c r="K185" s="8">
        <v>45686</v>
      </c>
      <c r="Q185">
        <v>1</v>
      </c>
      <c r="R185">
        <v>949</v>
      </c>
      <c r="S185" t="s">
        <v>1500</v>
      </c>
      <c r="T185" t="s">
        <v>219</v>
      </c>
      <c r="U185">
        <v>1</v>
      </c>
      <c r="V185">
        <v>483.73</v>
      </c>
      <c r="W185">
        <v>570.79999999999995</v>
      </c>
      <c r="X185">
        <v>0</v>
      </c>
      <c r="Y185">
        <v>483.73</v>
      </c>
      <c r="Z185">
        <v>18</v>
      </c>
      <c r="AA185">
        <v>87.07</v>
      </c>
      <c r="AB185">
        <v>570.79999999999995</v>
      </c>
      <c r="AC185">
        <v>1</v>
      </c>
      <c r="AE185" t="s">
        <v>239</v>
      </c>
      <c r="AF185" t="s">
        <v>29</v>
      </c>
      <c r="AG185">
        <v>2</v>
      </c>
      <c r="AH185" t="s">
        <v>25</v>
      </c>
      <c r="AI185">
        <v>1106</v>
      </c>
      <c r="AJ185" t="s">
        <v>246</v>
      </c>
      <c r="AK185" t="s">
        <v>1346</v>
      </c>
      <c r="AQ185" t="s">
        <v>681</v>
      </c>
      <c r="AS185" t="str">
        <f t="shared" si="3"/>
        <v>BB01710</v>
      </c>
    </row>
    <row r="186" spans="1:45" ht="15" customHeight="1">
      <c r="A186" t="s">
        <v>1349</v>
      </c>
      <c r="B186">
        <v>709</v>
      </c>
      <c r="C186" t="s">
        <v>27</v>
      </c>
      <c r="D186" s="8">
        <v>45686</v>
      </c>
      <c r="E186" s="22">
        <v>45946</v>
      </c>
      <c r="F186" t="s">
        <v>681</v>
      </c>
      <c r="H186">
        <v>1</v>
      </c>
      <c r="I186">
        <v>48831337</v>
      </c>
      <c r="J186" t="s">
        <v>1501</v>
      </c>
      <c r="K186" s="8">
        <v>45686</v>
      </c>
      <c r="Q186">
        <v>1</v>
      </c>
      <c r="R186">
        <v>958</v>
      </c>
      <c r="S186" s="29" t="s">
        <v>1502</v>
      </c>
      <c r="T186" t="s">
        <v>219</v>
      </c>
      <c r="U186">
        <v>1</v>
      </c>
      <c r="V186">
        <v>3100</v>
      </c>
      <c r="W186">
        <v>3658</v>
      </c>
      <c r="X186">
        <v>0</v>
      </c>
      <c r="Y186">
        <v>3100</v>
      </c>
      <c r="Z186">
        <v>18</v>
      </c>
      <c r="AA186">
        <v>558</v>
      </c>
      <c r="AB186">
        <v>3658</v>
      </c>
      <c r="AC186">
        <v>1</v>
      </c>
      <c r="AE186" t="s">
        <v>239</v>
      </c>
      <c r="AF186" t="s">
        <v>29</v>
      </c>
      <c r="AG186">
        <v>2</v>
      </c>
      <c r="AH186" t="s">
        <v>25</v>
      </c>
      <c r="AI186">
        <v>1106</v>
      </c>
      <c r="AJ186" t="s">
        <v>246</v>
      </c>
      <c r="AK186" t="s">
        <v>1342</v>
      </c>
      <c r="AQ186" t="s">
        <v>681</v>
      </c>
      <c r="AS186" t="str">
        <f t="shared" si="3"/>
        <v>BB01709</v>
      </c>
    </row>
    <row r="187" spans="1:45" ht="15" customHeight="1">
      <c r="A187" t="s">
        <v>1349</v>
      </c>
      <c r="B187">
        <v>708</v>
      </c>
      <c r="C187" t="s">
        <v>27</v>
      </c>
      <c r="D187" s="8">
        <v>45686</v>
      </c>
      <c r="E187" s="22">
        <v>45946</v>
      </c>
      <c r="F187" t="s">
        <v>681</v>
      </c>
      <c r="H187">
        <v>1</v>
      </c>
      <c r="I187">
        <v>48831337</v>
      </c>
      <c r="J187" t="s">
        <v>1503</v>
      </c>
      <c r="K187" s="8">
        <v>45686</v>
      </c>
      <c r="Q187">
        <v>1</v>
      </c>
      <c r="R187">
        <v>877</v>
      </c>
      <c r="S187" t="s">
        <v>197</v>
      </c>
      <c r="T187" t="s">
        <v>219</v>
      </c>
      <c r="U187">
        <v>1</v>
      </c>
      <c r="V187">
        <v>5235.68</v>
      </c>
      <c r="W187">
        <v>6178.1</v>
      </c>
      <c r="X187">
        <v>0</v>
      </c>
      <c r="Y187">
        <v>5235.68</v>
      </c>
      <c r="Z187">
        <v>18</v>
      </c>
      <c r="AA187">
        <v>942.42</v>
      </c>
      <c r="AB187">
        <v>6178.1</v>
      </c>
      <c r="AC187">
        <v>1</v>
      </c>
      <c r="AE187" t="s">
        <v>239</v>
      </c>
      <c r="AF187" t="s">
        <v>29</v>
      </c>
      <c r="AG187">
        <v>2</v>
      </c>
      <c r="AH187" t="s">
        <v>25</v>
      </c>
      <c r="AI187">
        <v>1106</v>
      </c>
      <c r="AJ187" t="s">
        <v>246</v>
      </c>
      <c r="AK187" t="s">
        <v>1346</v>
      </c>
      <c r="AQ187" t="s">
        <v>681</v>
      </c>
      <c r="AS187" t="str">
        <f t="shared" si="3"/>
        <v>BB01708</v>
      </c>
    </row>
    <row r="188" spans="1:45" ht="15" customHeight="1">
      <c r="A188" t="s">
        <v>1349</v>
      </c>
      <c r="B188">
        <v>707</v>
      </c>
      <c r="C188" t="s">
        <v>27</v>
      </c>
      <c r="D188" s="8">
        <v>45686</v>
      </c>
      <c r="E188" s="22">
        <v>45946</v>
      </c>
      <c r="F188" t="s">
        <v>681</v>
      </c>
      <c r="H188">
        <v>1</v>
      </c>
      <c r="I188">
        <v>48831337</v>
      </c>
      <c r="J188" t="s">
        <v>1504</v>
      </c>
      <c r="K188" s="8">
        <v>45686</v>
      </c>
      <c r="Q188">
        <v>1</v>
      </c>
      <c r="R188">
        <v>870</v>
      </c>
      <c r="S188" t="s">
        <v>1227</v>
      </c>
      <c r="T188" t="s">
        <v>219</v>
      </c>
      <c r="U188">
        <v>1</v>
      </c>
      <c r="V188">
        <v>4611.78</v>
      </c>
      <c r="W188">
        <v>5441.9</v>
      </c>
      <c r="X188">
        <v>0</v>
      </c>
      <c r="Y188">
        <v>4611.78</v>
      </c>
      <c r="Z188">
        <v>18</v>
      </c>
      <c r="AA188">
        <v>830.12</v>
      </c>
      <c r="AB188">
        <v>5441.9</v>
      </c>
      <c r="AC188">
        <v>1</v>
      </c>
      <c r="AE188" t="s">
        <v>239</v>
      </c>
      <c r="AF188" t="s">
        <v>29</v>
      </c>
      <c r="AG188">
        <v>2</v>
      </c>
      <c r="AH188" t="s">
        <v>25</v>
      </c>
      <c r="AI188">
        <v>1106</v>
      </c>
      <c r="AJ188" t="s">
        <v>246</v>
      </c>
      <c r="AK188" t="s">
        <v>1346</v>
      </c>
      <c r="AQ188" t="s">
        <v>681</v>
      </c>
      <c r="AS188" t="str">
        <f t="shared" si="3"/>
        <v>BB01707</v>
      </c>
    </row>
    <row r="189" spans="1:45" ht="15" customHeight="1">
      <c r="A189" t="s">
        <v>221</v>
      </c>
      <c r="B189">
        <v>1357</v>
      </c>
      <c r="C189" t="s">
        <v>27</v>
      </c>
      <c r="D189" s="8">
        <v>45686</v>
      </c>
      <c r="E189" s="22">
        <v>45946</v>
      </c>
      <c r="F189" t="s">
        <v>634</v>
      </c>
      <c r="H189">
        <v>6</v>
      </c>
      <c r="I189">
        <v>20101214771</v>
      </c>
      <c r="J189" t="s">
        <v>1505</v>
      </c>
      <c r="K189" s="8">
        <v>45686</v>
      </c>
      <c r="Q189">
        <v>1</v>
      </c>
      <c r="R189">
        <v>955</v>
      </c>
      <c r="S189" t="s">
        <v>1506</v>
      </c>
      <c r="T189" t="s">
        <v>219</v>
      </c>
      <c r="U189">
        <v>1</v>
      </c>
      <c r="V189">
        <v>423.73</v>
      </c>
      <c r="W189">
        <v>500</v>
      </c>
      <c r="X189">
        <v>0</v>
      </c>
      <c r="Y189">
        <v>423.73</v>
      </c>
      <c r="Z189">
        <v>18</v>
      </c>
      <c r="AA189">
        <v>76.27</v>
      </c>
      <c r="AB189">
        <v>500</v>
      </c>
      <c r="AC189">
        <v>1</v>
      </c>
      <c r="AE189" t="s">
        <v>239</v>
      </c>
      <c r="AF189" t="s">
        <v>29</v>
      </c>
      <c r="AG189">
        <v>2</v>
      </c>
      <c r="AH189" t="s">
        <v>25</v>
      </c>
      <c r="AI189">
        <v>1106</v>
      </c>
      <c r="AJ189" t="s">
        <v>246</v>
      </c>
      <c r="AK189" t="s">
        <v>1360</v>
      </c>
      <c r="AQ189" t="s">
        <v>634</v>
      </c>
      <c r="AS189" t="str">
        <f t="shared" si="3"/>
        <v>FB011357</v>
      </c>
    </row>
    <row r="190" spans="1:45" ht="15" customHeight="1">
      <c r="A190" t="s">
        <v>221</v>
      </c>
      <c r="B190">
        <v>1356</v>
      </c>
      <c r="C190" t="s">
        <v>27</v>
      </c>
      <c r="D190" s="8">
        <v>45686</v>
      </c>
      <c r="E190" s="22">
        <v>45946</v>
      </c>
      <c r="F190" t="s">
        <v>634</v>
      </c>
      <c r="H190">
        <v>6</v>
      </c>
      <c r="I190">
        <v>20101214771</v>
      </c>
      <c r="J190" t="s">
        <v>1507</v>
      </c>
      <c r="K190" s="8">
        <v>45686</v>
      </c>
      <c r="Q190">
        <v>1</v>
      </c>
      <c r="R190">
        <v>957</v>
      </c>
      <c r="S190" t="s">
        <v>1508</v>
      </c>
      <c r="T190" t="s">
        <v>219</v>
      </c>
      <c r="U190">
        <v>1</v>
      </c>
      <c r="V190">
        <v>30</v>
      </c>
      <c r="W190">
        <v>35.4</v>
      </c>
      <c r="X190">
        <v>0</v>
      </c>
      <c r="Y190">
        <v>30</v>
      </c>
      <c r="Z190">
        <v>18</v>
      </c>
      <c r="AA190">
        <v>5.4</v>
      </c>
      <c r="AB190">
        <v>35.4</v>
      </c>
      <c r="AC190">
        <v>1</v>
      </c>
      <c r="AE190" t="s">
        <v>239</v>
      </c>
      <c r="AF190" t="s">
        <v>29</v>
      </c>
      <c r="AG190">
        <v>2</v>
      </c>
      <c r="AH190" t="s">
        <v>25</v>
      </c>
      <c r="AI190">
        <v>1106</v>
      </c>
      <c r="AJ190" t="s">
        <v>246</v>
      </c>
      <c r="AK190" t="s">
        <v>1346</v>
      </c>
      <c r="AQ190" t="s">
        <v>634</v>
      </c>
      <c r="AS190" t="str">
        <f t="shared" si="3"/>
        <v>FB011356</v>
      </c>
    </row>
    <row r="191" spans="1:45" ht="15" customHeight="1">
      <c r="A191" t="s">
        <v>221</v>
      </c>
      <c r="B191">
        <v>1355</v>
      </c>
      <c r="C191" t="s">
        <v>27</v>
      </c>
      <c r="D191" s="8">
        <v>45686</v>
      </c>
      <c r="E191" s="22">
        <v>45946</v>
      </c>
      <c r="F191" t="s">
        <v>634</v>
      </c>
      <c r="H191">
        <v>6</v>
      </c>
      <c r="I191">
        <v>20101214771</v>
      </c>
      <c r="J191" t="s">
        <v>1509</v>
      </c>
      <c r="K191" s="8">
        <v>45686</v>
      </c>
      <c r="Q191">
        <v>1</v>
      </c>
      <c r="R191">
        <v>956</v>
      </c>
      <c r="S191" t="s">
        <v>1510</v>
      </c>
      <c r="T191" t="s">
        <v>219</v>
      </c>
      <c r="U191">
        <v>1</v>
      </c>
      <c r="V191">
        <v>150</v>
      </c>
      <c r="W191">
        <v>177</v>
      </c>
      <c r="X191">
        <v>0</v>
      </c>
      <c r="Y191">
        <v>150</v>
      </c>
      <c r="Z191">
        <v>18</v>
      </c>
      <c r="AA191">
        <v>27</v>
      </c>
      <c r="AB191">
        <v>177</v>
      </c>
      <c r="AC191">
        <v>1</v>
      </c>
      <c r="AE191" t="s">
        <v>239</v>
      </c>
      <c r="AF191" t="s">
        <v>29</v>
      </c>
      <c r="AG191">
        <v>2</v>
      </c>
      <c r="AH191" t="s">
        <v>25</v>
      </c>
      <c r="AI191">
        <v>1106</v>
      </c>
      <c r="AJ191" t="s">
        <v>246</v>
      </c>
      <c r="AK191" t="s">
        <v>1408</v>
      </c>
      <c r="AQ191" t="s">
        <v>634</v>
      </c>
      <c r="AS191" t="str">
        <f t="shared" si="3"/>
        <v>FB011355</v>
      </c>
    </row>
    <row r="192" spans="1:45" ht="15" customHeight="1">
      <c r="A192" t="s">
        <v>221</v>
      </c>
      <c r="B192">
        <v>1354</v>
      </c>
      <c r="C192" t="s">
        <v>27</v>
      </c>
      <c r="D192" s="8">
        <v>45686</v>
      </c>
      <c r="E192" s="22">
        <v>45946</v>
      </c>
      <c r="F192" t="s">
        <v>634</v>
      </c>
      <c r="H192">
        <v>6</v>
      </c>
      <c r="I192">
        <v>20101214771</v>
      </c>
      <c r="J192" t="s">
        <v>1511</v>
      </c>
      <c r="K192" s="8">
        <v>45686</v>
      </c>
      <c r="Q192">
        <v>1</v>
      </c>
      <c r="R192">
        <v>877</v>
      </c>
      <c r="S192" t="s">
        <v>197</v>
      </c>
      <c r="T192" t="s">
        <v>219</v>
      </c>
      <c r="U192">
        <v>1</v>
      </c>
      <c r="V192">
        <v>1608.31</v>
      </c>
      <c r="W192">
        <v>1897.8</v>
      </c>
      <c r="X192">
        <v>0</v>
      </c>
      <c r="Y192">
        <v>1608.31</v>
      </c>
      <c r="Z192">
        <v>18</v>
      </c>
      <c r="AA192">
        <v>289.49</v>
      </c>
      <c r="AB192">
        <v>1897.8</v>
      </c>
      <c r="AC192">
        <v>1</v>
      </c>
      <c r="AE192" t="s">
        <v>239</v>
      </c>
      <c r="AF192" t="s">
        <v>29</v>
      </c>
      <c r="AG192">
        <v>2</v>
      </c>
      <c r="AH192" t="s">
        <v>25</v>
      </c>
      <c r="AI192">
        <v>1106</v>
      </c>
      <c r="AJ192" t="s">
        <v>246</v>
      </c>
      <c r="AK192" t="s">
        <v>1346</v>
      </c>
      <c r="AQ192" t="s">
        <v>634</v>
      </c>
      <c r="AS192" t="str">
        <f t="shared" si="3"/>
        <v>FB011354</v>
      </c>
    </row>
    <row r="193" spans="1:45" ht="15" customHeight="1">
      <c r="A193" t="s">
        <v>221</v>
      </c>
      <c r="B193">
        <v>1353</v>
      </c>
      <c r="C193" t="s">
        <v>27</v>
      </c>
      <c r="D193" s="8">
        <v>45686</v>
      </c>
      <c r="E193" s="22">
        <v>45946</v>
      </c>
      <c r="F193" t="s">
        <v>634</v>
      </c>
      <c r="H193">
        <v>6</v>
      </c>
      <c r="I193">
        <v>20101214771</v>
      </c>
      <c r="J193" t="s">
        <v>1512</v>
      </c>
      <c r="K193" s="8">
        <v>45686</v>
      </c>
      <c r="Q193">
        <v>1</v>
      </c>
      <c r="R193">
        <v>870</v>
      </c>
      <c r="S193" t="s">
        <v>1227</v>
      </c>
      <c r="T193" t="s">
        <v>219</v>
      </c>
      <c r="U193">
        <v>1</v>
      </c>
      <c r="V193">
        <v>991.19</v>
      </c>
      <c r="W193">
        <v>1169.5999999999999</v>
      </c>
      <c r="X193">
        <v>0</v>
      </c>
      <c r="Y193">
        <v>991.19</v>
      </c>
      <c r="Z193">
        <v>18</v>
      </c>
      <c r="AA193">
        <v>178.41</v>
      </c>
      <c r="AB193">
        <v>1169.5999999999999</v>
      </c>
      <c r="AC193">
        <v>1</v>
      </c>
      <c r="AE193" t="s">
        <v>239</v>
      </c>
      <c r="AF193" t="s">
        <v>29</v>
      </c>
      <c r="AG193">
        <v>2</v>
      </c>
      <c r="AH193" t="s">
        <v>25</v>
      </c>
      <c r="AI193">
        <v>1106</v>
      </c>
      <c r="AJ193" t="s">
        <v>246</v>
      </c>
      <c r="AK193" t="s">
        <v>1346</v>
      </c>
      <c r="AQ193" t="s">
        <v>634</v>
      </c>
      <c r="AS193" t="str">
        <f t="shared" si="3"/>
        <v>FB011353</v>
      </c>
    </row>
    <row r="194" spans="1:45" ht="15" customHeight="1">
      <c r="A194" t="s">
        <v>221</v>
      </c>
      <c r="B194">
        <v>1352</v>
      </c>
      <c r="C194" t="s">
        <v>27</v>
      </c>
      <c r="D194" s="8">
        <v>45686</v>
      </c>
      <c r="E194" s="22">
        <v>45946</v>
      </c>
      <c r="F194" t="s">
        <v>634</v>
      </c>
      <c r="H194">
        <v>6</v>
      </c>
      <c r="I194">
        <v>20101214771</v>
      </c>
      <c r="J194" t="s">
        <v>1505</v>
      </c>
      <c r="K194" s="8">
        <v>45686</v>
      </c>
      <c r="Q194">
        <v>1</v>
      </c>
      <c r="R194">
        <v>955</v>
      </c>
      <c r="S194" t="s">
        <v>1506</v>
      </c>
      <c r="T194" t="s">
        <v>219</v>
      </c>
      <c r="U194">
        <v>1</v>
      </c>
      <c r="V194">
        <v>423.73</v>
      </c>
      <c r="W194">
        <v>500</v>
      </c>
      <c r="X194">
        <v>0</v>
      </c>
      <c r="Y194">
        <v>423.73</v>
      </c>
      <c r="Z194">
        <v>18</v>
      </c>
      <c r="AA194">
        <v>76.27</v>
      </c>
      <c r="AB194">
        <v>500</v>
      </c>
      <c r="AC194">
        <v>1</v>
      </c>
      <c r="AE194" t="s">
        <v>239</v>
      </c>
      <c r="AF194" t="s">
        <v>29</v>
      </c>
      <c r="AG194">
        <v>2</v>
      </c>
      <c r="AH194" t="s">
        <v>25</v>
      </c>
      <c r="AI194">
        <v>1106</v>
      </c>
      <c r="AJ194" t="s">
        <v>246</v>
      </c>
      <c r="AK194" t="s">
        <v>1360</v>
      </c>
      <c r="AQ194" t="s">
        <v>634</v>
      </c>
      <c r="AS194" t="str">
        <f t="shared" si="3"/>
        <v>FB011352</v>
      </c>
    </row>
    <row r="195" spans="1:45" ht="15" customHeight="1">
      <c r="A195" t="s">
        <v>221</v>
      </c>
      <c r="B195">
        <v>1351</v>
      </c>
      <c r="C195" t="s">
        <v>27</v>
      </c>
      <c r="D195" s="8">
        <v>45686</v>
      </c>
      <c r="E195" s="22">
        <v>45946</v>
      </c>
      <c r="F195" t="s">
        <v>634</v>
      </c>
      <c r="H195">
        <v>6</v>
      </c>
      <c r="I195">
        <v>20101214771</v>
      </c>
      <c r="J195" t="s">
        <v>1513</v>
      </c>
      <c r="K195" s="8">
        <v>45686</v>
      </c>
      <c r="Q195">
        <v>1</v>
      </c>
      <c r="R195">
        <v>877</v>
      </c>
      <c r="S195" t="s">
        <v>197</v>
      </c>
      <c r="T195" t="s">
        <v>219</v>
      </c>
      <c r="U195">
        <v>1</v>
      </c>
      <c r="V195">
        <v>418.22</v>
      </c>
      <c r="W195">
        <v>493.5</v>
      </c>
      <c r="X195">
        <v>0</v>
      </c>
      <c r="Y195">
        <v>418.22</v>
      </c>
      <c r="Z195">
        <v>18</v>
      </c>
      <c r="AA195">
        <v>75.28</v>
      </c>
      <c r="AB195">
        <v>493.5</v>
      </c>
      <c r="AC195">
        <v>1</v>
      </c>
      <c r="AE195" t="s">
        <v>239</v>
      </c>
      <c r="AF195" t="s">
        <v>29</v>
      </c>
      <c r="AG195">
        <v>2</v>
      </c>
      <c r="AH195" t="s">
        <v>25</v>
      </c>
      <c r="AI195">
        <v>1106</v>
      </c>
      <c r="AJ195" t="s">
        <v>246</v>
      </c>
      <c r="AK195" t="s">
        <v>1346</v>
      </c>
      <c r="AQ195" t="s">
        <v>634</v>
      </c>
      <c r="AS195" t="str">
        <f t="shared" si="3"/>
        <v>FB011351</v>
      </c>
    </row>
    <row r="196" spans="1:45" ht="15" customHeight="1">
      <c r="A196" t="s">
        <v>221</v>
      </c>
      <c r="B196">
        <v>1350</v>
      </c>
      <c r="C196" t="s">
        <v>27</v>
      </c>
      <c r="D196" s="8">
        <v>45686</v>
      </c>
      <c r="E196" s="22">
        <v>45946</v>
      </c>
      <c r="F196" t="s">
        <v>634</v>
      </c>
      <c r="H196">
        <v>6</v>
      </c>
      <c r="I196">
        <v>20101214771</v>
      </c>
      <c r="J196" t="s">
        <v>1514</v>
      </c>
      <c r="K196" s="8">
        <v>45686</v>
      </c>
      <c r="Q196">
        <v>1</v>
      </c>
      <c r="R196">
        <v>870</v>
      </c>
      <c r="S196" t="s">
        <v>1227</v>
      </c>
      <c r="T196" t="s">
        <v>219</v>
      </c>
      <c r="U196">
        <v>1</v>
      </c>
      <c r="V196">
        <v>250.51</v>
      </c>
      <c r="W196">
        <v>295.60000000000002</v>
      </c>
      <c r="X196">
        <v>0</v>
      </c>
      <c r="Y196">
        <v>250.51</v>
      </c>
      <c r="Z196">
        <v>18</v>
      </c>
      <c r="AA196">
        <v>45.09</v>
      </c>
      <c r="AB196">
        <v>295.60000000000002</v>
      </c>
      <c r="AC196">
        <v>1</v>
      </c>
      <c r="AE196" t="s">
        <v>239</v>
      </c>
      <c r="AF196" t="s">
        <v>29</v>
      </c>
      <c r="AG196">
        <v>2</v>
      </c>
      <c r="AH196" t="s">
        <v>25</v>
      </c>
      <c r="AI196">
        <v>1106</v>
      </c>
      <c r="AJ196" t="s">
        <v>246</v>
      </c>
      <c r="AK196" t="s">
        <v>1346</v>
      </c>
      <c r="AQ196" t="s">
        <v>634</v>
      </c>
      <c r="AS196" t="str">
        <f t="shared" si="3"/>
        <v>FB011350</v>
      </c>
    </row>
    <row r="197" spans="1:45" ht="15" customHeight="1">
      <c r="A197" t="s">
        <v>221</v>
      </c>
      <c r="B197">
        <v>1349</v>
      </c>
      <c r="C197" t="s">
        <v>27</v>
      </c>
      <c r="D197" s="8">
        <v>45686</v>
      </c>
      <c r="E197" s="22">
        <v>45946</v>
      </c>
      <c r="F197" t="s">
        <v>634</v>
      </c>
      <c r="H197">
        <v>6</v>
      </c>
      <c r="I197">
        <v>20101214771</v>
      </c>
      <c r="J197" t="s">
        <v>1515</v>
      </c>
      <c r="K197" s="8">
        <v>45686</v>
      </c>
      <c r="Q197">
        <v>1</v>
      </c>
      <c r="R197">
        <v>954</v>
      </c>
      <c r="S197" t="s">
        <v>1516</v>
      </c>
      <c r="T197" t="s">
        <v>219</v>
      </c>
      <c r="U197">
        <v>1</v>
      </c>
      <c r="V197">
        <v>438.73</v>
      </c>
      <c r="W197">
        <v>517.70000000000005</v>
      </c>
      <c r="X197">
        <v>0</v>
      </c>
      <c r="Y197">
        <v>438.73</v>
      </c>
      <c r="Z197">
        <v>18</v>
      </c>
      <c r="AA197">
        <v>78.97</v>
      </c>
      <c r="AB197">
        <v>517.70000000000005</v>
      </c>
      <c r="AC197">
        <v>1</v>
      </c>
      <c r="AE197" t="s">
        <v>239</v>
      </c>
      <c r="AF197" t="s">
        <v>29</v>
      </c>
      <c r="AG197">
        <v>2</v>
      </c>
      <c r="AH197" t="s">
        <v>25</v>
      </c>
      <c r="AI197">
        <v>1106</v>
      </c>
      <c r="AJ197" t="s">
        <v>246</v>
      </c>
      <c r="AK197" t="s">
        <v>1360</v>
      </c>
      <c r="AQ197" t="s">
        <v>634</v>
      </c>
      <c r="AS197" t="str">
        <f t="shared" si="3"/>
        <v>FB011349</v>
      </c>
    </row>
    <row r="198" spans="1:45" ht="15" customHeight="1">
      <c r="A198" t="s">
        <v>221</v>
      </c>
      <c r="B198">
        <v>1348</v>
      </c>
      <c r="C198" t="s">
        <v>27</v>
      </c>
      <c r="D198" s="8">
        <v>45686</v>
      </c>
      <c r="E198" s="22">
        <v>45946</v>
      </c>
      <c r="F198" t="s">
        <v>634</v>
      </c>
      <c r="H198">
        <v>6</v>
      </c>
      <c r="I198">
        <v>20101214771</v>
      </c>
      <c r="J198" t="s">
        <v>1517</v>
      </c>
      <c r="K198" s="8">
        <v>45686</v>
      </c>
      <c r="Q198">
        <v>1</v>
      </c>
      <c r="R198">
        <v>877</v>
      </c>
      <c r="S198" t="s">
        <v>197</v>
      </c>
      <c r="T198" t="s">
        <v>219</v>
      </c>
      <c r="U198">
        <v>1</v>
      </c>
      <c r="V198">
        <v>139.75</v>
      </c>
      <c r="W198">
        <v>164.9</v>
      </c>
      <c r="X198">
        <v>0</v>
      </c>
      <c r="Y198">
        <v>139.75</v>
      </c>
      <c r="Z198">
        <v>18</v>
      </c>
      <c r="AA198">
        <v>25.15</v>
      </c>
      <c r="AB198">
        <v>164.9</v>
      </c>
      <c r="AC198">
        <v>1</v>
      </c>
      <c r="AE198" t="s">
        <v>239</v>
      </c>
      <c r="AF198" t="s">
        <v>29</v>
      </c>
      <c r="AG198">
        <v>2</v>
      </c>
      <c r="AH198" t="s">
        <v>25</v>
      </c>
      <c r="AI198">
        <v>1106</v>
      </c>
      <c r="AJ198" t="s">
        <v>246</v>
      </c>
      <c r="AK198" t="s">
        <v>1346</v>
      </c>
      <c r="AQ198" t="s">
        <v>634</v>
      </c>
      <c r="AS198" t="str">
        <f t="shared" si="3"/>
        <v>FB011348</v>
      </c>
    </row>
    <row r="199" spans="1:45" ht="15" customHeight="1">
      <c r="A199" t="s">
        <v>221</v>
      </c>
      <c r="B199">
        <v>1347</v>
      </c>
      <c r="C199" t="s">
        <v>27</v>
      </c>
      <c r="D199" s="8">
        <v>45686</v>
      </c>
      <c r="E199" s="22">
        <v>45946</v>
      </c>
      <c r="F199" t="s">
        <v>634</v>
      </c>
      <c r="H199">
        <v>6</v>
      </c>
      <c r="I199">
        <v>20101214771</v>
      </c>
      <c r="J199" t="s">
        <v>1518</v>
      </c>
      <c r="K199" s="8">
        <v>45686</v>
      </c>
      <c r="Q199">
        <v>1</v>
      </c>
      <c r="R199">
        <v>870</v>
      </c>
      <c r="S199" t="s">
        <v>1227</v>
      </c>
      <c r="T199" t="s">
        <v>219</v>
      </c>
      <c r="U199">
        <v>1</v>
      </c>
      <c r="V199">
        <v>79.150000000000006</v>
      </c>
      <c r="W199">
        <v>93.4</v>
      </c>
      <c r="X199">
        <v>0</v>
      </c>
      <c r="Y199">
        <v>79.150000000000006</v>
      </c>
      <c r="Z199">
        <v>18</v>
      </c>
      <c r="AA199">
        <v>14.25</v>
      </c>
      <c r="AB199">
        <v>93.4</v>
      </c>
      <c r="AC199">
        <v>1</v>
      </c>
      <c r="AE199" t="s">
        <v>239</v>
      </c>
      <c r="AF199" t="s">
        <v>29</v>
      </c>
      <c r="AG199">
        <v>2</v>
      </c>
      <c r="AH199" t="s">
        <v>25</v>
      </c>
      <c r="AI199">
        <v>1106</v>
      </c>
      <c r="AJ199" t="s">
        <v>246</v>
      </c>
      <c r="AK199" t="s">
        <v>1346</v>
      </c>
      <c r="AQ199" t="s">
        <v>634</v>
      </c>
      <c r="AS199" t="str">
        <f t="shared" si="3"/>
        <v>FB011347</v>
      </c>
    </row>
    <row r="200" spans="1:45" ht="15" customHeight="1">
      <c r="A200" t="s">
        <v>221</v>
      </c>
      <c r="B200">
        <v>1346</v>
      </c>
      <c r="C200" t="s">
        <v>27</v>
      </c>
      <c r="D200" s="8">
        <v>45686</v>
      </c>
      <c r="E200" s="22">
        <v>45946</v>
      </c>
      <c r="F200" t="s">
        <v>634</v>
      </c>
      <c r="H200">
        <v>6</v>
      </c>
      <c r="I200">
        <v>20101214771</v>
      </c>
      <c r="J200" t="s">
        <v>1519</v>
      </c>
      <c r="K200" s="8">
        <v>45686</v>
      </c>
      <c r="Q200">
        <v>1</v>
      </c>
      <c r="R200">
        <v>953</v>
      </c>
      <c r="S200" t="s">
        <v>1520</v>
      </c>
      <c r="T200" t="s">
        <v>219</v>
      </c>
      <c r="U200">
        <v>1</v>
      </c>
      <c r="V200">
        <v>447.73</v>
      </c>
      <c r="W200">
        <v>528.32000000000005</v>
      </c>
      <c r="X200">
        <v>0</v>
      </c>
      <c r="Y200">
        <v>447.73</v>
      </c>
      <c r="Z200">
        <v>18</v>
      </c>
      <c r="AA200">
        <v>80.59</v>
      </c>
      <c r="AB200">
        <v>528.32000000000005</v>
      </c>
      <c r="AC200">
        <v>1</v>
      </c>
      <c r="AE200" t="s">
        <v>239</v>
      </c>
      <c r="AF200" t="s">
        <v>29</v>
      </c>
      <c r="AG200">
        <v>2</v>
      </c>
      <c r="AH200" t="s">
        <v>25</v>
      </c>
      <c r="AI200">
        <v>1106</v>
      </c>
      <c r="AJ200" t="s">
        <v>246</v>
      </c>
      <c r="AK200" t="s">
        <v>1346</v>
      </c>
      <c r="AQ200" t="s">
        <v>634</v>
      </c>
      <c r="AS200" t="str">
        <f t="shared" si="3"/>
        <v>FB011346</v>
      </c>
    </row>
    <row r="201" spans="1:45" ht="15" customHeight="1">
      <c r="A201" t="s">
        <v>221</v>
      </c>
      <c r="B201">
        <v>1345</v>
      </c>
      <c r="C201" t="s">
        <v>27</v>
      </c>
      <c r="D201" s="8">
        <v>45686</v>
      </c>
      <c r="E201" s="22">
        <v>45946</v>
      </c>
      <c r="F201" t="s">
        <v>634</v>
      </c>
      <c r="H201">
        <v>6</v>
      </c>
      <c r="I201">
        <v>20101214771</v>
      </c>
      <c r="J201" t="s">
        <v>1521</v>
      </c>
      <c r="K201" s="8">
        <v>45686</v>
      </c>
      <c r="Q201">
        <v>1</v>
      </c>
      <c r="R201">
        <v>952</v>
      </c>
      <c r="S201" t="s">
        <v>1522</v>
      </c>
      <c r="T201" t="s">
        <v>219</v>
      </c>
      <c r="U201">
        <v>1</v>
      </c>
      <c r="V201">
        <v>150</v>
      </c>
      <c r="W201">
        <v>177</v>
      </c>
      <c r="X201">
        <v>0</v>
      </c>
      <c r="Y201">
        <v>150</v>
      </c>
      <c r="Z201">
        <v>18</v>
      </c>
      <c r="AA201">
        <v>27</v>
      </c>
      <c r="AB201">
        <v>177</v>
      </c>
      <c r="AC201">
        <v>1</v>
      </c>
      <c r="AE201" t="s">
        <v>239</v>
      </c>
      <c r="AF201" t="s">
        <v>29</v>
      </c>
      <c r="AG201">
        <v>2</v>
      </c>
      <c r="AH201" t="s">
        <v>25</v>
      </c>
      <c r="AI201">
        <v>1106</v>
      </c>
      <c r="AJ201" t="s">
        <v>246</v>
      </c>
      <c r="AK201" t="s">
        <v>1408</v>
      </c>
      <c r="AQ201" t="s">
        <v>634</v>
      </c>
      <c r="AS201" t="str">
        <f t="shared" si="3"/>
        <v>FB011345</v>
      </c>
    </row>
    <row r="202" spans="1:45" ht="15" customHeight="1">
      <c r="A202" t="s">
        <v>221</v>
      </c>
      <c r="B202">
        <v>1344</v>
      </c>
      <c r="C202" t="s">
        <v>27</v>
      </c>
      <c r="D202" s="8">
        <v>45686</v>
      </c>
      <c r="E202" s="22">
        <v>45946</v>
      </c>
      <c r="F202" t="s">
        <v>634</v>
      </c>
      <c r="H202">
        <v>6</v>
      </c>
      <c r="I202">
        <v>20101214771</v>
      </c>
      <c r="J202" t="s">
        <v>1523</v>
      </c>
      <c r="K202" s="8">
        <v>45686</v>
      </c>
      <c r="Q202">
        <v>1</v>
      </c>
      <c r="R202">
        <v>877</v>
      </c>
      <c r="S202" t="s">
        <v>197</v>
      </c>
      <c r="T202" t="s">
        <v>219</v>
      </c>
      <c r="U202">
        <v>1</v>
      </c>
      <c r="V202">
        <v>2377.37</v>
      </c>
      <c r="W202">
        <v>2805.3</v>
      </c>
      <c r="X202">
        <v>0</v>
      </c>
      <c r="Y202">
        <v>2377.37</v>
      </c>
      <c r="Z202">
        <v>18</v>
      </c>
      <c r="AA202">
        <v>427.93</v>
      </c>
      <c r="AB202">
        <v>2805.3</v>
      </c>
      <c r="AC202">
        <v>1</v>
      </c>
      <c r="AE202" t="s">
        <v>239</v>
      </c>
      <c r="AF202" t="s">
        <v>29</v>
      </c>
      <c r="AG202">
        <v>2</v>
      </c>
      <c r="AH202" t="s">
        <v>25</v>
      </c>
      <c r="AI202">
        <v>1106</v>
      </c>
      <c r="AJ202" t="s">
        <v>246</v>
      </c>
      <c r="AK202" t="s">
        <v>1346</v>
      </c>
      <c r="AQ202" t="s">
        <v>634</v>
      </c>
      <c r="AS202" t="str">
        <f t="shared" si="3"/>
        <v>FB011344</v>
      </c>
    </row>
    <row r="203" spans="1:45" ht="15" customHeight="1">
      <c r="A203" t="s">
        <v>221</v>
      </c>
      <c r="B203">
        <v>1343</v>
      </c>
      <c r="C203" t="s">
        <v>27</v>
      </c>
      <c r="D203" s="8">
        <v>45686</v>
      </c>
      <c r="E203" s="22">
        <v>45946</v>
      </c>
      <c r="F203" t="s">
        <v>634</v>
      </c>
      <c r="H203">
        <v>6</v>
      </c>
      <c r="I203">
        <v>20101214771</v>
      </c>
      <c r="J203" t="s">
        <v>1524</v>
      </c>
      <c r="K203" s="8">
        <v>45686</v>
      </c>
      <c r="Q203">
        <v>1</v>
      </c>
      <c r="R203">
        <v>870</v>
      </c>
      <c r="S203" t="s">
        <v>1227</v>
      </c>
      <c r="T203" t="s">
        <v>219</v>
      </c>
      <c r="U203">
        <v>1</v>
      </c>
      <c r="V203">
        <v>1467.71</v>
      </c>
      <c r="W203">
        <v>1731.9</v>
      </c>
      <c r="X203">
        <v>0</v>
      </c>
      <c r="Y203">
        <v>1467.71</v>
      </c>
      <c r="Z203">
        <v>18</v>
      </c>
      <c r="AA203">
        <v>264.19</v>
      </c>
      <c r="AB203">
        <v>1731.9</v>
      </c>
      <c r="AC203">
        <v>1</v>
      </c>
      <c r="AE203" t="s">
        <v>239</v>
      </c>
      <c r="AF203" t="s">
        <v>29</v>
      </c>
      <c r="AG203">
        <v>2</v>
      </c>
      <c r="AH203" t="s">
        <v>25</v>
      </c>
      <c r="AI203">
        <v>1106</v>
      </c>
      <c r="AJ203" t="s">
        <v>246</v>
      </c>
      <c r="AK203" t="s">
        <v>1346</v>
      </c>
      <c r="AQ203" t="s">
        <v>634</v>
      </c>
      <c r="AS203" t="str">
        <f t="shared" si="3"/>
        <v>FB011343</v>
      </c>
    </row>
    <row r="204" spans="1:45" ht="15" customHeight="1">
      <c r="A204" t="s">
        <v>221</v>
      </c>
      <c r="B204">
        <v>1342</v>
      </c>
      <c r="C204" t="s">
        <v>27</v>
      </c>
      <c r="D204" s="8">
        <v>45686</v>
      </c>
      <c r="E204" s="22">
        <v>45946</v>
      </c>
      <c r="F204" t="s">
        <v>634</v>
      </c>
      <c r="H204">
        <v>6</v>
      </c>
      <c r="I204">
        <v>20101214771</v>
      </c>
      <c r="J204" t="s">
        <v>1525</v>
      </c>
      <c r="K204" s="8">
        <v>45686</v>
      </c>
      <c r="Q204">
        <v>1</v>
      </c>
      <c r="R204">
        <v>951</v>
      </c>
      <c r="S204" t="s">
        <v>1526</v>
      </c>
      <c r="T204" t="s">
        <v>219</v>
      </c>
      <c r="U204">
        <v>1</v>
      </c>
      <c r="V204">
        <v>423.73</v>
      </c>
      <c r="W204">
        <v>500</v>
      </c>
      <c r="X204">
        <v>0</v>
      </c>
      <c r="Y204">
        <v>423.73</v>
      </c>
      <c r="Z204">
        <v>18</v>
      </c>
      <c r="AA204">
        <v>76.27</v>
      </c>
      <c r="AB204">
        <v>500</v>
      </c>
      <c r="AC204">
        <v>1</v>
      </c>
      <c r="AE204" t="s">
        <v>239</v>
      </c>
      <c r="AF204" t="s">
        <v>29</v>
      </c>
      <c r="AG204">
        <v>2</v>
      </c>
      <c r="AH204" t="s">
        <v>25</v>
      </c>
      <c r="AI204">
        <v>1106</v>
      </c>
      <c r="AJ204" t="s">
        <v>246</v>
      </c>
      <c r="AK204" t="s">
        <v>1360</v>
      </c>
      <c r="AQ204" t="s">
        <v>634</v>
      </c>
      <c r="AS204" t="str">
        <f t="shared" si="3"/>
        <v>FB011342</v>
      </c>
    </row>
    <row r="205" spans="1:45" ht="15" customHeight="1">
      <c r="A205" t="s">
        <v>221</v>
      </c>
      <c r="B205">
        <v>1341</v>
      </c>
      <c r="C205" t="s">
        <v>27</v>
      </c>
      <c r="D205" s="8">
        <v>45686</v>
      </c>
      <c r="E205" s="22">
        <v>45946</v>
      </c>
      <c r="F205" t="s">
        <v>634</v>
      </c>
      <c r="H205">
        <v>6</v>
      </c>
      <c r="I205">
        <v>20101214771</v>
      </c>
      <c r="J205" t="s">
        <v>1527</v>
      </c>
      <c r="K205" s="8">
        <v>45686</v>
      </c>
      <c r="Q205">
        <v>1</v>
      </c>
      <c r="R205">
        <v>877</v>
      </c>
      <c r="S205" t="s">
        <v>197</v>
      </c>
      <c r="T205" t="s">
        <v>219</v>
      </c>
      <c r="U205">
        <v>1</v>
      </c>
      <c r="V205">
        <v>526.1</v>
      </c>
      <c r="W205">
        <v>620.79999999999995</v>
      </c>
      <c r="X205">
        <v>0</v>
      </c>
      <c r="Y205">
        <v>526.1</v>
      </c>
      <c r="Z205">
        <v>18</v>
      </c>
      <c r="AA205">
        <v>94.7</v>
      </c>
      <c r="AB205">
        <v>620.79999999999995</v>
      </c>
      <c r="AC205">
        <v>1</v>
      </c>
      <c r="AE205" t="s">
        <v>239</v>
      </c>
      <c r="AF205" t="s">
        <v>29</v>
      </c>
      <c r="AG205">
        <v>2</v>
      </c>
      <c r="AH205" t="s">
        <v>25</v>
      </c>
      <c r="AI205">
        <v>1106</v>
      </c>
      <c r="AJ205" t="s">
        <v>246</v>
      </c>
      <c r="AK205" t="s">
        <v>1346</v>
      </c>
      <c r="AQ205" t="s">
        <v>634</v>
      </c>
      <c r="AS205" t="str">
        <f t="shared" si="3"/>
        <v>FB011341</v>
      </c>
    </row>
    <row r="206" spans="1:45" ht="15" customHeight="1">
      <c r="A206" t="s">
        <v>221</v>
      </c>
      <c r="B206">
        <v>1340</v>
      </c>
      <c r="C206" t="s">
        <v>27</v>
      </c>
      <c r="D206" s="8">
        <v>45686</v>
      </c>
      <c r="E206" s="22">
        <v>45946</v>
      </c>
      <c r="F206" t="s">
        <v>634</v>
      </c>
      <c r="H206">
        <v>6</v>
      </c>
      <c r="I206">
        <v>20101214771</v>
      </c>
      <c r="J206" t="s">
        <v>1528</v>
      </c>
      <c r="K206" s="8">
        <v>45686</v>
      </c>
      <c r="Q206">
        <v>1</v>
      </c>
      <c r="R206">
        <v>870</v>
      </c>
      <c r="S206" t="s">
        <v>1227</v>
      </c>
      <c r="T206" t="s">
        <v>219</v>
      </c>
      <c r="U206">
        <v>1</v>
      </c>
      <c r="V206">
        <v>304.83</v>
      </c>
      <c r="W206">
        <v>359.7</v>
      </c>
      <c r="X206">
        <v>0</v>
      </c>
      <c r="Y206">
        <v>304.83</v>
      </c>
      <c r="Z206">
        <v>18</v>
      </c>
      <c r="AA206">
        <v>54.87</v>
      </c>
      <c r="AB206">
        <v>359.7</v>
      </c>
      <c r="AC206">
        <v>1</v>
      </c>
      <c r="AE206" t="s">
        <v>239</v>
      </c>
      <c r="AF206" t="s">
        <v>29</v>
      </c>
      <c r="AG206">
        <v>2</v>
      </c>
      <c r="AH206" t="s">
        <v>25</v>
      </c>
      <c r="AI206">
        <v>1106</v>
      </c>
      <c r="AJ206" t="s">
        <v>246</v>
      </c>
      <c r="AK206" t="s">
        <v>1346</v>
      </c>
      <c r="AQ206" t="s">
        <v>634</v>
      </c>
      <c r="AS206" t="str">
        <f t="shared" si="3"/>
        <v>FB011340</v>
      </c>
    </row>
    <row r="207" spans="1:45" ht="15" customHeight="1">
      <c r="A207" t="s">
        <v>221</v>
      </c>
      <c r="B207">
        <v>1339</v>
      </c>
      <c r="C207" t="s">
        <v>27</v>
      </c>
      <c r="D207" s="8">
        <v>45686</v>
      </c>
      <c r="E207" s="22">
        <v>45946</v>
      </c>
      <c r="F207" t="s">
        <v>634</v>
      </c>
      <c r="H207">
        <v>6</v>
      </c>
      <c r="I207">
        <v>20101214771</v>
      </c>
      <c r="J207" t="s">
        <v>1529</v>
      </c>
      <c r="K207" s="8">
        <v>45686</v>
      </c>
      <c r="Q207">
        <v>1</v>
      </c>
      <c r="R207">
        <v>950</v>
      </c>
      <c r="S207" t="s">
        <v>1530</v>
      </c>
      <c r="T207" t="s">
        <v>219</v>
      </c>
      <c r="U207">
        <v>1</v>
      </c>
      <c r="V207">
        <v>423.73</v>
      </c>
      <c r="W207">
        <v>500</v>
      </c>
      <c r="X207">
        <v>0</v>
      </c>
      <c r="Y207">
        <v>423.73</v>
      </c>
      <c r="Z207">
        <v>18</v>
      </c>
      <c r="AA207">
        <v>76.27</v>
      </c>
      <c r="AB207">
        <v>500</v>
      </c>
      <c r="AC207">
        <v>1</v>
      </c>
      <c r="AE207" t="s">
        <v>239</v>
      </c>
      <c r="AF207" t="s">
        <v>29</v>
      </c>
      <c r="AG207">
        <v>2</v>
      </c>
      <c r="AH207" t="s">
        <v>25</v>
      </c>
      <c r="AI207">
        <v>1106</v>
      </c>
      <c r="AJ207" t="s">
        <v>246</v>
      </c>
      <c r="AK207" t="s">
        <v>1360</v>
      </c>
      <c r="AQ207" t="s">
        <v>634</v>
      </c>
      <c r="AS207" t="str">
        <f t="shared" si="3"/>
        <v>FB011339</v>
      </c>
    </row>
    <row r="208" spans="1:45" ht="15" customHeight="1">
      <c r="A208" t="s">
        <v>221</v>
      </c>
      <c r="B208">
        <v>1338</v>
      </c>
      <c r="C208" t="s">
        <v>27</v>
      </c>
      <c r="D208" s="8">
        <v>45686</v>
      </c>
      <c r="E208" s="22">
        <v>45946</v>
      </c>
      <c r="F208" t="s">
        <v>634</v>
      </c>
      <c r="H208">
        <v>6</v>
      </c>
      <c r="I208">
        <v>20101214771</v>
      </c>
      <c r="J208" t="s">
        <v>1531</v>
      </c>
      <c r="K208" s="8">
        <v>45686</v>
      </c>
      <c r="Q208">
        <v>1</v>
      </c>
      <c r="R208">
        <v>874</v>
      </c>
      <c r="S208" t="s">
        <v>1390</v>
      </c>
      <c r="T208" t="s">
        <v>219</v>
      </c>
      <c r="U208">
        <v>1</v>
      </c>
      <c r="V208">
        <v>10</v>
      </c>
      <c r="W208">
        <v>11.8</v>
      </c>
      <c r="X208">
        <v>0</v>
      </c>
      <c r="Y208">
        <v>10</v>
      </c>
      <c r="Z208">
        <v>18</v>
      </c>
      <c r="AA208">
        <v>1.8</v>
      </c>
      <c r="AB208">
        <v>11.8</v>
      </c>
      <c r="AC208">
        <v>1</v>
      </c>
      <c r="AE208" t="s">
        <v>239</v>
      </c>
      <c r="AF208" t="s">
        <v>29</v>
      </c>
      <c r="AG208">
        <v>2</v>
      </c>
      <c r="AH208" t="s">
        <v>25</v>
      </c>
      <c r="AI208">
        <v>1106</v>
      </c>
      <c r="AJ208" t="s">
        <v>246</v>
      </c>
      <c r="AK208" t="s">
        <v>1346</v>
      </c>
      <c r="AQ208" t="s">
        <v>634</v>
      </c>
      <c r="AS208" t="str">
        <f t="shared" si="3"/>
        <v>FB011338</v>
      </c>
    </row>
    <row r="209" spans="1:45" ht="15" customHeight="1">
      <c r="A209" t="s">
        <v>221</v>
      </c>
      <c r="B209">
        <v>1337</v>
      </c>
      <c r="C209" t="s">
        <v>27</v>
      </c>
      <c r="D209" s="8">
        <v>45686</v>
      </c>
      <c r="E209" s="22">
        <v>45946</v>
      </c>
      <c r="F209" t="s">
        <v>634</v>
      </c>
      <c r="H209">
        <v>6</v>
      </c>
      <c r="I209">
        <v>20101214771</v>
      </c>
      <c r="J209" t="s">
        <v>1532</v>
      </c>
      <c r="K209" s="8">
        <v>45686</v>
      </c>
      <c r="Q209">
        <v>1</v>
      </c>
      <c r="R209">
        <v>913</v>
      </c>
      <c r="S209" t="s">
        <v>1533</v>
      </c>
      <c r="T209" t="s">
        <v>219</v>
      </c>
      <c r="U209">
        <v>1</v>
      </c>
      <c r="V209">
        <v>300</v>
      </c>
      <c r="W209">
        <v>354</v>
      </c>
      <c r="X209">
        <v>0</v>
      </c>
      <c r="Y209">
        <v>300</v>
      </c>
      <c r="Z209">
        <v>18</v>
      </c>
      <c r="AA209">
        <v>54</v>
      </c>
      <c r="AB209">
        <v>354</v>
      </c>
      <c r="AC209">
        <v>1</v>
      </c>
      <c r="AE209" t="s">
        <v>239</v>
      </c>
      <c r="AF209" t="s">
        <v>29</v>
      </c>
      <c r="AG209">
        <v>2</v>
      </c>
      <c r="AH209" t="s">
        <v>25</v>
      </c>
      <c r="AI209">
        <v>1106</v>
      </c>
      <c r="AJ209" t="s">
        <v>246</v>
      </c>
      <c r="AK209" t="s">
        <v>1408</v>
      </c>
      <c r="AQ209" t="s">
        <v>634</v>
      </c>
      <c r="AS209" t="str">
        <f t="shared" si="3"/>
        <v>FB011337</v>
      </c>
    </row>
    <row r="210" spans="1:45" ht="15" customHeight="1">
      <c r="A210" t="s">
        <v>221</v>
      </c>
      <c r="B210">
        <v>1336</v>
      </c>
      <c r="C210" t="s">
        <v>27</v>
      </c>
      <c r="D210" s="8">
        <v>45686</v>
      </c>
      <c r="E210" s="22">
        <v>45946</v>
      </c>
      <c r="F210" t="s">
        <v>634</v>
      </c>
      <c r="H210">
        <v>6</v>
      </c>
      <c r="I210">
        <v>20101214771</v>
      </c>
      <c r="J210" t="s">
        <v>1534</v>
      </c>
      <c r="K210" s="8">
        <v>45686</v>
      </c>
      <c r="Q210">
        <v>1</v>
      </c>
      <c r="R210">
        <v>877</v>
      </c>
      <c r="S210" t="s">
        <v>197</v>
      </c>
      <c r="T210" t="s">
        <v>219</v>
      </c>
      <c r="U210">
        <v>1</v>
      </c>
      <c r="V210">
        <v>3637.63</v>
      </c>
      <c r="W210">
        <v>4292.3999999999996</v>
      </c>
      <c r="X210">
        <v>0</v>
      </c>
      <c r="Y210">
        <v>3637.63</v>
      </c>
      <c r="Z210">
        <v>18</v>
      </c>
      <c r="AA210">
        <v>654.77</v>
      </c>
      <c r="AB210">
        <v>4292.3999999999996</v>
      </c>
      <c r="AC210">
        <v>1</v>
      </c>
      <c r="AE210" t="s">
        <v>239</v>
      </c>
      <c r="AF210" t="s">
        <v>29</v>
      </c>
      <c r="AG210">
        <v>2</v>
      </c>
      <c r="AH210" t="s">
        <v>25</v>
      </c>
      <c r="AI210">
        <v>1106</v>
      </c>
      <c r="AJ210" t="s">
        <v>246</v>
      </c>
      <c r="AK210" t="s">
        <v>1346</v>
      </c>
      <c r="AQ210" t="s">
        <v>634</v>
      </c>
      <c r="AS210" t="str">
        <f t="shared" si="3"/>
        <v>FB011336</v>
      </c>
    </row>
    <row r="211" spans="1:45" ht="15" customHeight="1">
      <c r="A211" t="s">
        <v>221</v>
      </c>
      <c r="B211">
        <v>1335</v>
      </c>
      <c r="C211" t="s">
        <v>27</v>
      </c>
      <c r="D211" s="8">
        <v>45686</v>
      </c>
      <c r="E211" s="22">
        <v>45946</v>
      </c>
      <c r="F211" t="s">
        <v>634</v>
      </c>
      <c r="H211">
        <v>6</v>
      </c>
      <c r="I211">
        <v>20101214771</v>
      </c>
      <c r="J211" t="s">
        <v>1535</v>
      </c>
      <c r="K211" s="8">
        <v>45686</v>
      </c>
      <c r="Q211">
        <v>1</v>
      </c>
      <c r="R211">
        <v>870</v>
      </c>
      <c r="S211" t="s">
        <v>1227</v>
      </c>
      <c r="T211" t="s">
        <v>219</v>
      </c>
      <c r="U211">
        <v>1</v>
      </c>
      <c r="V211">
        <v>2347.0300000000002</v>
      </c>
      <c r="W211">
        <v>2769.5</v>
      </c>
      <c r="X211">
        <v>0</v>
      </c>
      <c r="Y211">
        <v>2347.0300000000002</v>
      </c>
      <c r="Z211">
        <v>18</v>
      </c>
      <c r="AA211">
        <v>422.47</v>
      </c>
      <c r="AB211">
        <v>2769.5</v>
      </c>
      <c r="AC211">
        <v>1</v>
      </c>
      <c r="AE211" t="s">
        <v>239</v>
      </c>
      <c r="AF211" t="s">
        <v>29</v>
      </c>
      <c r="AG211">
        <v>2</v>
      </c>
      <c r="AH211" t="s">
        <v>25</v>
      </c>
      <c r="AI211">
        <v>1106</v>
      </c>
      <c r="AJ211" t="s">
        <v>246</v>
      </c>
      <c r="AK211" t="s">
        <v>1346</v>
      </c>
      <c r="AQ211" t="s">
        <v>634</v>
      </c>
      <c r="AS211" t="str">
        <f t="shared" si="3"/>
        <v>FB011335</v>
      </c>
    </row>
    <row r="212" spans="1:45" ht="15" customHeight="1">
      <c r="A212" t="s">
        <v>221</v>
      </c>
      <c r="B212">
        <v>1334</v>
      </c>
      <c r="C212" t="s">
        <v>27</v>
      </c>
      <c r="D212" s="8">
        <v>45685</v>
      </c>
      <c r="E212" s="22">
        <v>45946</v>
      </c>
      <c r="F212" t="s">
        <v>422</v>
      </c>
      <c r="H212">
        <v>6</v>
      </c>
      <c r="I212">
        <v>20611890746</v>
      </c>
      <c r="J212" t="s">
        <v>1536</v>
      </c>
      <c r="K212" s="8">
        <v>45685</v>
      </c>
      <c r="Q212">
        <v>1</v>
      </c>
      <c r="R212">
        <v>949</v>
      </c>
      <c r="S212" t="s">
        <v>1500</v>
      </c>
      <c r="T212" t="s">
        <v>219</v>
      </c>
      <c r="U212">
        <v>1</v>
      </c>
      <c r="V212">
        <v>5</v>
      </c>
      <c r="W212">
        <v>5.9</v>
      </c>
      <c r="X212">
        <v>0</v>
      </c>
      <c r="Y212">
        <v>5</v>
      </c>
      <c r="Z212">
        <v>18</v>
      </c>
      <c r="AA212">
        <v>0.9</v>
      </c>
      <c r="AB212">
        <v>5.9</v>
      </c>
      <c r="AC212">
        <v>1</v>
      </c>
      <c r="AE212" t="s">
        <v>239</v>
      </c>
      <c r="AF212" t="s">
        <v>29</v>
      </c>
      <c r="AG212">
        <v>2</v>
      </c>
      <c r="AH212" t="s">
        <v>25</v>
      </c>
      <c r="AI212">
        <v>1106</v>
      </c>
      <c r="AJ212" t="s">
        <v>246</v>
      </c>
      <c r="AK212" t="s">
        <v>1346</v>
      </c>
      <c r="AQ212" t="s">
        <v>422</v>
      </c>
      <c r="AS212" t="str">
        <f t="shared" si="3"/>
        <v>FB011334</v>
      </c>
    </row>
    <row r="213" spans="1:45" ht="15" customHeight="1">
      <c r="A213" t="s">
        <v>221</v>
      </c>
      <c r="B213">
        <v>1333</v>
      </c>
      <c r="C213" t="s">
        <v>27</v>
      </c>
      <c r="D213" s="8">
        <v>45685</v>
      </c>
      <c r="E213" s="22">
        <v>45946</v>
      </c>
      <c r="F213" t="s">
        <v>422</v>
      </c>
      <c r="H213">
        <v>6</v>
      </c>
      <c r="I213">
        <v>20611890746</v>
      </c>
      <c r="J213" t="s">
        <v>1537</v>
      </c>
      <c r="K213" s="8">
        <v>45685</v>
      </c>
      <c r="Q213">
        <v>1</v>
      </c>
      <c r="R213">
        <v>948</v>
      </c>
      <c r="S213" s="29" t="s">
        <v>1538</v>
      </c>
      <c r="T213" t="s">
        <v>219</v>
      </c>
      <c r="U213">
        <v>1</v>
      </c>
      <c r="V213">
        <v>1200</v>
      </c>
      <c r="W213">
        <v>1416</v>
      </c>
      <c r="X213">
        <v>0</v>
      </c>
      <c r="Y213">
        <v>1200</v>
      </c>
      <c r="Z213">
        <v>18</v>
      </c>
      <c r="AA213">
        <v>216</v>
      </c>
      <c r="AB213">
        <v>1416</v>
      </c>
      <c r="AC213">
        <v>1</v>
      </c>
      <c r="AE213" t="s">
        <v>239</v>
      </c>
      <c r="AF213" t="s">
        <v>29</v>
      </c>
      <c r="AG213">
        <v>2</v>
      </c>
      <c r="AH213" t="s">
        <v>25</v>
      </c>
      <c r="AI213">
        <v>1106</v>
      </c>
      <c r="AJ213" t="s">
        <v>246</v>
      </c>
      <c r="AK213" t="s">
        <v>1342</v>
      </c>
      <c r="AQ213" t="s">
        <v>422</v>
      </c>
      <c r="AS213" t="str">
        <f t="shared" ref="AS213:AS276" si="4">+CONCATENATE(A213,B213)</f>
        <v>FB011333</v>
      </c>
    </row>
    <row r="214" spans="1:45" ht="15" customHeight="1">
      <c r="A214" t="s">
        <v>221</v>
      </c>
      <c r="B214">
        <v>1332</v>
      </c>
      <c r="C214" t="s">
        <v>27</v>
      </c>
      <c r="D214" s="8">
        <v>45685</v>
      </c>
      <c r="E214" s="22">
        <v>45946</v>
      </c>
      <c r="F214" t="s">
        <v>422</v>
      </c>
      <c r="H214">
        <v>6</v>
      </c>
      <c r="I214">
        <v>20611890746</v>
      </c>
      <c r="J214" t="s">
        <v>1539</v>
      </c>
      <c r="K214" s="8">
        <v>45685</v>
      </c>
      <c r="Q214">
        <v>1</v>
      </c>
      <c r="R214">
        <v>877</v>
      </c>
      <c r="S214" t="s">
        <v>197</v>
      </c>
      <c r="T214" t="s">
        <v>219</v>
      </c>
      <c r="U214">
        <v>1</v>
      </c>
      <c r="V214">
        <v>872.71</v>
      </c>
      <c r="W214">
        <v>1029.8</v>
      </c>
      <c r="X214">
        <v>0</v>
      </c>
      <c r="Y214">
        <v>872.71</v>
      </c>
      <c r="Z214">
        <v>18</v>
      </c>
      <c r="AA214">
        <v>157.09</v>
      </c>
      <c r="AB214">
        <v>1029.8</v>
      </c>
      <c r="AC214">
        <v>1</v>
      </c>
      <c r="AE214" t="s">
        <v>239</v>
      </c>
      <c r="AF214" t="s">
        <v>29</v>
      </c>
      <c r="AG214">
        <v>2</v>
      </c>
      <c r="AH214" t="s">
        <v>25</v>
      </c>
      <c r="AI214">
        <v>1106</v>
      </c>
      <c r="AJ214" t="s">
        <v>246</v>
      </c>
      <c r="AK214" t="s">
        <v>1346</v>
      </c>
      <c r="AQ214" t="s">
        <v>422</v>
      </c>
      <c r="AS214" t="str">
        <f t="shared" si="4"/>
        <v>FB011332</v>
      </c>
    </row>
    <row r="215" spans="1:45" ht="15" customHeight="1">
      <c r="A215" t="s">
        <v>221</v>
      </c>
      <c r="B215">
        <v>1331</v>
      </c>
      <c r="C215" t="s">
        <v>27</v>
      </c>
      <c r="D215" s="8">
        <v>45685</v>
      </c>
      <c r="E215" s="22">
        <v>45946</v>
      </c>
      <c r="F215" t="s">
        <v>422</v>
      </c>
      <c r="H215">
        <v>6</v>
      </c>
      <c r="I215">
        <v>20611890746</v>
      </c>
      <c r="J215" t="s">
        <v>1540</v>
      </c>
      <c r="K215" s="8">
        <v>45685</v>
      </c>
      <c r="Q215">
        <v>1</v>
      </c>
      <c r="R215">
        <v>870</v>
      </c>
      <c r="S215" t="s">
        <v>1227</v>
      </c>
      <c r="T215" t="s">
        <v>219</v>
      </c>
      <c r="U215">
        <v>1</v>
      </c>
      <c r="V215">
        <v>526.1</v>
      </c>
      <c r="W215">
        <v>620.79999999999995</v>
      </c>
      <c r="X215">
        <v>0</v>
      </c>
      <c r="Y215">
        <v>526.1</v>
      </c>
      <c r="Z215">
        <v>18</v>
      </c>
      <c r="AA215">
        <v>94.7</v>
      </c>
      <c r="AB215">
        <v>620.79999999999995</v>
      </c>
      <c r="AC215">
        <v>1</v>
      </c>
      <c r="AE215" t="s">
        <v>239</v>
      </c>
      <c r="AF215" t="s">
        <v>29</v>
      </c>
      <c r="AG215">
        <v>2</v>
      </c>
      <c r="AH215" t="s">
        <v>25</v>
      </c>
      <c r="AI215">
        <v>1106</v>
      </c>
      <c r="AJ215" t="s">
        <v>246</v>
      </c>
      <c r="AK215" t="s">
        <v>1346</v>
      </c>
      <c r="AQ215" t="s">
        <v>422</v>
      </c>
      <c r="AS215" t="str">
        <f t="shared" si="4"/>
        <v>FB011331</v>
      </c>
    </row>
    <row r="216" spans="1:45" ht="15" customHeight="1">
      <c r="A216" t="s">
        <v>221</v>
      </c>
      <c r="B216">
        <v>1330</v>
      </c>
      <c r="C216" t="s">
        <v>27</v>
      </c>
      <c r="D216" s="8">
        <v>45685</v>
      </c>
      <c r="E216" s="22">
        <v>45946</v>
      </c>
      <c r="F216" t="s">
        <v>431</v>
      </c>
      <c r="G216" t="s">
        <v>158</v>
      </c>
      <c r="H216">
        <v>6</v>
      </c>
      <c r="I216">
        <v>20296011356</v>
      </c>
      <c r="J216" t="s">
        <v>1541</v>
      </c>
      <c r="K216" s="8">
        <v>45685</v>
      </c>
      <c r="Q216">
        <v>1</v>
      </c>
      <c r="R216">
        <v>874</v>
      </c>
      <c r="S216" t="s">
        <v>1390</v>
      </c>
      <c r="T216" t="s">
        <v>219</v>
      </c>
      <c r="U216">
        <v>1</v>
      </c>
      <c r="V216">
        <v>20</v>
      </c>
      <c r="W216">
        <v>23.6</v>
      </c>
      <c r="X216">
        <v>0</v>
      </c>
      <c r="Y216">
        <v>20</v>
      </c>
      <c r="Z216">
        <v>18</v>
      </c>
      <c r="AA216">
        <v>3.6</v>
      </c>
      <c r="AB216">
        <v>23.6</v>
      </c>
      <c r="AC216">
        <v>1</v>
      </c>
      <c r="AE216" t="s">
        <v>239</v>
      </c>
      <c r="AF216" t="s">
        <v>29</v>
      </c>
      <c r="AG216">
        <v>2</v>
      </c>
      <c r="AH216" t="s">
        <v>25</v>
      </c>
      <c r="AI216">
        <v>1106</v>
      </c>
      <c r="AJ216" t="s">
        <v>246</v>
      </c>
      <c r="AK216" t="s">
        <v>1346</v>
      </c>
      <c r="AQ216" t="s">
        <v>431</v>
      </c>
      <c r="AS216" t="str">
        <f t="shared" si="4"/>
        <v>FB011330</v>
      </c>
    </row>
    <row r="217" spans="1:45" ht="15" customHeight="1">
      <c r="A217" t="s">
        <v>221</v>
      </c>
      <c r="B217">
        <v>1329</v>
      </c>
      <c r="C217" t="s">
        <v>27</v>
      </c>
      <c r="D217" s="8">
        <v>45685</v>
      </c>
      <c r="E217" s="22">
        <v>45946</v>
      </c>
      <c r="F217" t="s">
        <v>431</v>
      </c>
      <c r="G217" t="s">
        <v>158</v>
      </c>
      <c r="H217">
        <v>6</v>
      </c>
      <c r="I217">
        <v>20296011356</v>
      </c>
      <c r="J217" t="s">
        <v>1542</v>
      </c>
      <c r="K217" s="8">
        <v>45685</v>
      </c>
      <c r="Q217">
        <v>1</v>
      </c>
      <c r="R217">
        <v>882</v>
      </c>
      <c r="S217" t="s">
        <v>1543</v>
      </c>
      <c r="T217" t="s">
        <v>219</v>
      </c>
      <c r="U217">
        <v>1</v>
      </c>
      <c r="V217">
        <v>750</v>
      </c>
      <c r="W217">
        <v>885</v>
      </c>
      <c r="X217">
        <v>0</v>
      </c>
      <c r="Y217">
        <v>750</v>
      </c>
      <c r="Z217">
        <v>18</v>
      </c>
      <c r="AA217">
        <v>135</v>
      </c>
      <c r="AB217">
        <v>885</v>
      </c>
      <c r="AC217">
        <v>1</v>
      </c>
      <c r="AE217" t="s">
        <v>239</v>
      </c>
      <c r="AF217" t="s">
        <v>29</v>
      </c>
      <c r="AG217">
        <v>2</v>
      </c>
      <c r="AH217" t="s">
        <v>25</v>
      </c>
      <c r="AI217">
        <v>1106</v>
      </c>
      <c r="AJ217" t="s">
        <v>246</v>
      </c>
      <c r="AK217" t="s">
        <v>1408</v>
      </c>
      <c r="AQ217" t="s">
        <v>431</v>
      </c>
      <c r="AS217" t="str">
        <f t="shared" si="4"/>
        <v>FB011329</v>
      </c>
    </row>
    <row r="218" spans="1:45" ht="15" customHeight="1">
      <c r="A218" t="s">
        <v>221</v>
      </c>
      <c r="B218">
        <v>1328</v>
      </c>
      <c r="C218" t="s">
        <v>27</v>
      </c>
      <c r="D218" s="8">
        <v>45685</v>
      </c>
      <c r="E218" s="22">
        <v>45946</v>
      </c>
      <c r="F218" t="s">
        <v>431</v>
      </c>
      <c r="G218" t="s">
        <v>158</v>
      </c>
      <c r="H218">
        <v>6</v>
      </c>
      <c r="I218">
        <v>20296011356</v>
      </c>
      <c r="J218" t="s">
        <v>1544</v>
      </c>
      <c r="K218" s="8">
        <v>45685</v>
      </c>
      <c r="Q218">
        <v>1</v>
      </c>
      <c r="R218">
        <v>947</v>
      </c>
      <c r="S218" s="29" t="s">
        <v>1545</v>
      </c>
      <c r="T218" t="s">
        <v>219</v>
      </c>
      <c r="U218">
        <v>1</v>
      </c>
      <c r="V218">
        <v>1575</v>
      </c>
      <c r="W218">
        <v>1858.5</v>
      </c>
      <c r="X218">
        <v>0</v>
      </c>
      <c r="Y218">
        <v>1575</v>
      </c>
      <c r="Z218">
        <v>18</v>
      </c>
      <c r="AA218">
        <v>283.5</v>
      </c>
      <c r="AB218">
        <v>1858.5</v>
      </c>
      <c r="AC218">
        <v>1</v>
      </c>
      <c r="AE218" t="s">
        <v>239</v>
      </c>
      <c r="AF218" t="s">
        <v>29</v>
      </c>
      <c r="AG218">
        <v>2</v>
      </c>
      <c r="AH218" t="s">
        <v>25</v>
      </c>
      <c r="AI218">
        <v>1106</v>
      </c>
      <c r="AJ218" t="s">
        <v>246</v>
      </c>
      <c r="AK218" t="s">
        <v>1342</v>
      </c>
      <c r="AQ218" t="s">
        <v>431</v>
      </c>
      <c r="AS218" t="str">
        <f t="shared" si="4"/>
        <v>FB011328</v>
      </c>
    </row>
    <row r="219" spans="1:45" ht="15" customHeight="1">
      <c r="A219" t="s">
        <v>221</v>
      </c>
      <c r="B219">
        <v>1327</v>
      </c>
      <c r="C219" t="s">
        <v>27</v>
      </c>
      <c r="D219" s="8">
        <v>45685</v>
      </c>
      <c r="E219" s="22">
        <v>45946</v>
      </c>
      <c r="F219" t="s">
        <v>431</v>
      </c>
      <c r="G219" t="s">
        <v>158</v>
      </c>
      <c r="H219">
        <v>6</v>
      </c>
      <c r="I219">
        <v>20296011356</v>
      </c>
      <c r="J219" t="s">
        <v>1546</v>
      </c>
      <c r="K219" s="8">
        <v>45685</v>
      </c>
      <c r="Q219">
        <v>1</v>
      </c>
      <c r="R219">
        <v>877</v>
      </c>
      <c r="S219" t="s">
        <v>197</v>
      </c>
      <c r="T219" t="s">
        <v>219</v>
      </c>
      <c r="U219">
        <v>1</v>
      </c>
      <c r="V219">
        <v>3585.68</v>
      </c>
      <c r="W219">
        <v>4231.1000000000004</v>
      </c>
      <c r="X219">
        <v>0</v>
      </c>
      <c r="Y219">
        <v>3585.68</v>
      </c>
      <c r="Z219">
        <v>18</v>
      </c>
      <c r="AA219">
        <v>645.41999999999996</v>
      </c>
      <c r="AB219">
        <v>4231.1000000000004</v>
      </c>
      <c r="AC219">
        <v>1</v>
      </c>
      <c r="AE219" t="s">
        <v>239</v>
      </c>
      <c r="AF219" t="s">
        <v>29</v>
      </c>
      <c r="AG219">
        <v>2</v>
      </c>
      <c r="AH219" t="s">
        <v>25</v>
      </c>
      <c r="AI219">
        <v>1106</v>
      </c>
      <c r="AJ219" t="s">
        <v>246</v>
      </c>
      <c r="AK219" t="s">
        <v>1346</v>
      </c>
      <c r="AQ219" t="s">
        <v>431</v>
      </c>
      <c r="AS219" t="str">
        <f t="shared" si="4"/>
        <v>FB011327</v>
      </c>
    </row>
    <row r="220" spans="1:45" ht="15" customHeight="1">
      <c r="A220" t="s">
        <v>221</v>
      </c>
      <c r="B220">
        <v>1326</v>
      </c>
      <c r="C220" t="s">
        <v>27</v>
      </c>
      <c r="D220" s="8">
        <v>45685</v>
      </c>
      <c r="E220" s="22">
        <v>45946</v>
      </c>
      <c r="F220" t="s">
        <v>431</v>
      </c>
      <c r="G220" t="s">
        <v>158</v>
      </c>
      <c r="H220">
        <v>6</v>
      </c>
      <c r="I220">
        <v>20296011356</v>
      </c>
      <c r="J220" t="s">
        <v>1547</v>
      </c>
      <c r="K220" s="8">
        <v>45685</v>
      </c>
      <c r="Q220">
        <v>1</v>
      </c>
      <c r="R220">
        <v>878</v>
      </c>
      <c r="S220" t="s">
        <v>1498</v>
      </c>
      <c r="T220" t="s">
        <v>219</v>
      </c>
      <c r="U220">
        <v>1</v>
      </c>
      <c r="V220">
        <v>2103.31</v>
      </c>
      <c r="W220">
        <v>2481.9</v>
      </c>
      <c r="X220">
        <v>0</v>
      </c>
      <c r="Y220">
        <v>2103.31</v>
      </c>
      <c r="Z220">
        <v>18</v>
      </c>
      <c r="AA220">
        <v>378.59</v>
      </c>
      <c r="AB220">
        <v>2481.9</v>
      </c>
      <c r="AC220">
        <v>1</v>
      </c>
      <c r="AE220" t="s">
        <v>239</v>
      </c>
      <c r="AF220" t="s">
        <v>29</v>
      </c>
      <c r="AG220">
        <v>2</v>
      </c>
      <c r="AH220" t="s">
        <v>25</v>
      </c>
      <c r="AI220">
        <v>1106</v>
      </c>
      <c r="AJ220" t="s">
        <v>246</v>
      </c>
      <c r="AK220" t="s">
        <v>1346</v>
      </c>
      <c r="AQ220" t="s">
        <v>431</v>
      </c>
      <c r="AS220" t="str">
        <f t="shared" si="4"/>
        <v>FB011326</v>
      </c>
    </row>
    <row r="221" spans="1:45" ht="15" customHeight="1">
      <c r="A221" t="s">
        <v>221</v>
      </c>
      <c r="B221">
        <v>1325</v>
      </c>
      <c r="C221" t="s">
        <v>27</v>
      </c>
      <c r="D221" s="8">
        <v>45685</v>
      </c>
      <c r="E221" s="22">
        <v>45946</v>
      </c>
      <c r="F221" t="s">
        <v>492</v>
      </c>
      <c r="H221">
        <v>6</v>
      </c>
      <c r="I221">
        <v>20609649039</v>
      </c>
      <c r="J221" t="s">
        <v>1548</v>
      </c>
      <c r="K221" s="8">
        <v>45685</v>
      </c>
      <c r="Q221">
        <v>1</v>
      </c>
      <c r="R221">
        <v>877</v>
      </c>
      <c r="S221" t="s">
        <v>197</v>
      </c>
      <c r="T221" t="s">
        <v>219</v>
      </c>
      <c r="U221">
        <v>1</v>
      </c>
      <c r="V221">
        <v>16.809999999999999</v>
      </c>
      <c r="W221">
        <v>19.84</v>
      </c>
      <c r="X221">
        <v>0</v>
      </c>
      <c r="Y221">
        <v>16.809999999999999</v>
      </c>
      <c r="Z221">
        <v>18.02</v>
      </c>
      <c r="AA221">
        <v>3.03</v>
      </c>
      <c r="AB221">
        <v>19.84</v>
      </c>
      <c r="AC221">
        <v>1</v>
      </c>
      <c r="AE221" t="s">
        <v>239</v>
      </c>
      <c r="AF221" t="s">
        <v>29</v>
      </c>
      <c r="AG221">
        <v>2</v>
      </c>
      <c r="AH221" t="s">
        <v>25</v>
      </c>
      <c r="AI221">
        <v>1106</v>
      </c>
      <c r="AJ221" t="s">
        <v>246</v>
      </c>
      <c r="AK221" t="s">
        <v>1346</v>
      </c>
      <c r="AQ221" t="s">
        <v>492</v>
      </c>
      <c r="AS221" t="str">
        <f t="shared" si="4"/>
        <v>FB011325</v>
      </c>
    </row>
    <row r="222" spans="1:45" ht="15" customHeight="1">
      <c r="A222" t="s">
        <v>221</v>
      </c>
      <c r="B222">
        <v>1324</v>
      </c>
      <c r="C222" t="s">
        <v>27</v>
      </c>
      <c r="D222" s="8">
        <v>45685</v>
      </c>
      <c r="E222" s="22">
        <v>45946</v>
      </c>
      <c r="F222" t="s">
        <v>492</v>
      </c>
      <c r="H222">
        <v>6</v>
      </c>
      <c r="I222">
        <v>20609649039</v>
      </c>
      <c r="J222" t="s">
        <v>1549</v>
      </c>
      <c r="K222" s="8">
        <v>45685</v>
      </c>
      <c r="Q222">
        <v>1</v>
      </c>
      <c r="R222">
        <v>870</v>
      </c>
      <c r="S222" t="s">
        <v>1227</v>
      </c>
      <c r="T222" t="s">
        <v>219</v>
      </c>
      <c r="U222">
        <v>1</v>
      </c>
      <c r="V222">
        <v>16</v>
      </c>
      <c r="W222">
        <v>18.88</v>
      </c>
      <c r="X222">
        <v>0</v>
      </c>
      <c r="Y222">
        <v>16</v>
      </c>
      <c r="Z222">
        <v>18</v>
      </c>
      <c r="AA222">
        <v>2.88</v>
      </c>
      <c r="AB222">
        <v>18.88</v>
      </c>
      <c r="AC222">
        <v>1</v>
      </c>
      <c r="AE222" t="s">
        <v>239</v>
      </c>
      <c r="AF222" t="s">
        <v>29</v>
      </c>
      <c r="AG222">
        <v>2</v>
      </c>
      <c r="AH222" t="s">
        <v>25</v>
      </c>
      <c r="AI222">
        <v>1106</v>
      </c>
      <c r="AJ222" t="s">
        <v>246</v>
      </c>
      <c r="AK222" t="s">
        <v>1346</v>
      </c>
      <c r="AQ222" t="s">
        <v>492</v>
      </c>
      <c r="AS222" t="str">
        <f t="shared" si="4"/>
        <v>FB011324</v>
      </c>
    </row>
    <row r="223" spans="1:45" ht="15" customHeight="1">
      <c r="A223" t="s">
        <v>221</v>
      </c>
      <c r="B223">
        <v>1323</v>
      </c>
      <c r="C223" t="s">
        <v>27</v>
      </c>
      <c r="D223" s="8">
        <v>45685</v>
      </c>
      <c r="E223" s="22">
        <v>45946</v>
      </c>
      <c r="F223" t="s">
        <v>497</v>
      </c>
      <c r="H223">
        <v>6</v>
      </c>
      <c r="I223">
        <v>20611587741</v>
      </c>
      <c r="J223" t="s">
        <v>1550</v>
      </c>
      <c r="K223" s="8">
        <v>45685</v>
      </c>
      <c r="Q223">
        <v>1</v>
      </c>
      <c r="R223">
        <v>877</v>
      </c>
      <c r="S223" t="s">
        <v>197</v>
      </c>
      <c r="T223" t="s">
        <v>219</v>
      </c>
      <c r="U223">
        <v>1</v>
      </c>
      <c r="V223">
        <v>11.44</v>
      </c>
      <c r="W223">
        <v>13.5</v>
      </c>
      <c r="X223">
        <v>0</v>
      </c>
      <c r="Y223">
        <v>11.44</v>
      </c>
      <c r="Z223">
        <v>18.010000000000002</v>
      </c>
      <c r="AA223">
        <v>2.06</v>
      </c>
      <c r="AB223">
        <v>13.5</v>
      </c>
      <c r="AC223">
        <v>1</v>
      </c>
      <c r="AE223" t="s">
        <v>239</v>
      </c>
      <c r="AF223" t="s">
        <v>29</v>
      </c>
      <c r="AG223">
        <v>2</v>
      </c>
      <c r="AH223" t="s">
        <v>25</v>
      </c>
      <c r="AI223">
        <v>1106</v>
      </c>
      <c r="AJ223" t="s">
        <v>246</v>
      </c>
      <c r="AK223" t="s">
        <v>1346</v>
      </c>
      <c r="AQ223" t="s">
        <v>497</v>
      </c>
      <c r="AS223" t="str">
        <f t="shared" si="4"/>
        <v>FB011323</v>
      </c>
    </row>
    <row r="224" spans="1:45" ht="15" customHeight="1">
      <c r="A224" t="s">
        <v>221</v>
      </c>
      <c r="B224">
        <v>1322</v>
      </c>
      <c r="C224" t="s">
        <v>27</v>
      </c>
      <c r="D224" s="8">
        <v>45685</v>
      </c>
      <c r="E224" s="22">
        <v>45946</v>
      </c>
      <c r="F224" t="s">
        <v>497</v>
      </c>
      <c r="H224">
        <v>6</v>
      </c>
      <c r="I224">
        <v>20611587741</v>
      </c>
      <c r="J224" t="s">
        <v>1551</v>
      </c>
      <c r="K224" s="8">
        <v>45685</v>
      </c>
      <c r="Q224">
        <v>1</v>
      </c>
      <c r="R224">
        <v>870</v>
      </c>
      <c r="S224" t="s">
        <v>1227</v>
      </c>
      <c r="T224" t="s">
        <v>219</v>
      </c>
      <c r="U224">
        <v>1</v>
      </c>
      <c r="V224">
        <v>6.36</v>
      </c>
      <c r="W224">
        <v>7.5</v>
      </c>
      <c r="X224">
        <v>0</v>
      </c>
      <c r="Y224">
        <v>6.36</v>
      </c>
      <c r="Z224">
        <v>17.920000000000002</v>
      </c>
      <c r="AA224">
        <v>1.1399999999999999</v>
      </c>
      <c r="AB224">
        <v>7.5</v>
      </c>
      <c r="AC224">
        <v>1</v>
      </c>
      <c r="AE224" t="s">
        <v>239</v>
      </c>
      <c r="AF224" t="s">
        <v>29</v>
      </c>
      <c r="AG224">
        <v>2</v>
      </c>
      <c r="AH224" t="s">
        <v>25</v>
      </c>
      <c r="AI224">
        <v>1106</v>
      </c>
      <c r="AJ224" t="s">
        <v>246</v>
      </c>
      <c r="AK224" t="s">
        <v>1346</v>
      </c>
      <c r="AQ224" t="s">
        <v>497</v>
      </c>
      <c r="AS224" t="str">
        <f t="shared" si="4"/>
        <v>FB011322</v>
      </c>
    </row>
    <row r="225" spans="1:45" ht="15" customHeight="1">
      <c r="A225" t="s">
        <v>221</v>
      </c>
      <c r="B225">
        <v>1321</v>
      </c>
      <c r="C225" t="s">
        <v>27</v>
      </c>
      <c r="D225" s="8">
        <v>45685</v>
      </c>
      <c r="E225" s="22">
        <v>45946</v>
      </c>
      <c r="F225" t="s">
        <v>469</v>
      </c>
      <c r="G225" t="s">
        <v>158</v>
      </c>
      <c r="H225">
        <v>6</v>
      </c>
      <c r="I225">
        <v>20608627422</v>
      </c>
      <c r="J225" t="s">
        <v>1552</v>
      </c>
      <c r="K225" s="8">
        <v>45685</v>
      </c>
      <c r="Q225">
        <v>1</v>
      </c>
      <c r="R225">
        <v>877</v>
      </c>
      <c r="S225" t="s">
        <v>197</v>
      </c>
      <c r="T225" t="s">
        <v>219</v>
      </c>
      <c r="U225">
        <v>1</v>
      </c>
      <c r="V225">
        <v>41.1</v>
      </c>
      <c r="W225">
        <v>48.5</v>
      </c>
      <c r="X225">
        <v>0</v>
      </c>
      <c r="Y225">
        <v>41.1</v>
      </c>
      <c r="Z225">
        <v>18</v>
      </c>
      <c r="AA225">
        <v>7.4</v>
      </c>
      <c r="AB225">
        <v>48.5</v>
      </c>
      <c r="AC225">
        <v>1</v>
      </c>
      <c r="AE225" t="s">
        <v>239</v>
      </c>
      <c r="AF225" t="s">
        <v>29</v>
      </c>
      <c r="AG225">
        <v>2</v>
      </c>
      <c r="AH225" t="s">
        <v>25</v>
      </c>
      <c r="AI225">
        <v>1106</v>
      </c>
      <c r="AJ225" t="s">
        <v>246</v>
      </c>
      <c r="AK225" t="s">
        <v>1346</v>
      </c>
      <c r="AQ225" t="s">
        <v>469</v>
      </c>
      <c r="AS225" t="str">
        <f t="shared" si="4"/>
        <v>FB011321</v>
      </c>
    </row>
    <row r="226" spans="1:45" ht="15" customHeight="1">
      <c r="A226" t="s">
        <v>221</v>
      </c>
      <c r="B226">
        <v>1320</v>
      </c>
      <c r="C226" t="s">
        <v>27</v>
      </c>
      <c r="D226" s="8">
        <v>45685</v>
      </c>
      <c r="E226" s="22">
        <v>45946</v>
      </c>
      <c r="F226" t="s">
        <v>469</v>
      </c>
      <c r="G226" t="s">
        <v>158</v>
      </c>
      <c r="H226">
        <v>6</v>
      </c>
      <c r="I226">
        <v>20608627422</v>
      </c>
      <c r="J226" t="s">
        <v>1553</v>
      </c>
      <c r="K226" s="8">
        <v>45685</v>
      </c>
      <c r="Q226">
        <v>1</v>
      </c>
      <c r="R226">
        <v>870</v>
      </c>
      <c r="S226" t="s">
        <v>1227</v>
      </c>
      <c r="T226" t="s">
        <v>219</v>
      </c>
      <c r="U226">
        <v>1</v>
      </c>
      <c r="V226">
        <v>27.46</v>
      </c>
      <c r="W226">
        <v>32.4</v>
      </c>
      <c r="X226">
        <v>0</v>
      </c>
      <c r="Y226">
        <v>27.46</v>
      </c>
      <c r="Z226">
        <v>17.989999999999998</v>
      </c>
      <c r="AA226">
        <v>4.9400000000000004</v>
      </c>
      <c r="AB226">
        <v>32.4</v>
      </c>
      <c r="AC226">
        <v>1</v>
      </c>
      <c r="AE226" t="s">
        <v>239</v>
      </c>
      <c r="AF226" t="s">
        <v>29</v>
      </c>
      <c r="AG226">
        <v>2</v>
      </c>
      <c r="AH226" t="s">
        <v>25</v>
      </c>
      <c r="AI226">
        <v>1106</v>
      </c>
      <c r="AJ226" t="s">
        <v>246</v>
      </c>
      <c r="AK226" t="s">
        <v>1346</v>
      </c>
      <c r="AQ226" t="s">
        <v>469</v>
      </c>
      <c r="AS226" t="str">
        <f t="shared" si="4"/>
        <v>FB011320</v>
      </c>
    </row>
    <row r="227" spans="1:45" ht="15" customHeight="1">
      <c r="A227" t="s">
        <v>1349</v>
      </c>
      <c r="B227">
        <v>706</v>
      </c>
      <c r="C227" t="s">
        <v>27</v>
      </c>
      <c r="D227" s="8">
        <v>45685</v>
      </c>
      <c r="E227" s="22">
        <v>45946</v>
      </c>
      <c r="F227" t="s">
        <v>739</v>
      </c>
      <c r="H227">
        <v>1</v>
      </c>
      <c r="I227">
        <v>48129748</v>
      </c>
      <c r="J227" t="s">
        <v>1554</v>
      </c>
      <c r="K227" s="8">
        <v>45685</v>
      </c>
      <c r="Q227">
        <v>1</v>
      </c>
      <c r="R227">
        <v>877</v>
      </c>
      <c r="S227" t="s">
        <v>197</v>
      </c>
      <c r="T227" t="s">
        <v>219</v>
      </c>
      <c r="U227">
        <v>1</v>
      </c>
      <c r="V227">
        <v>34.32</v>
      </c>
      <c r="W227">
        <v>40.5</v>
      </c>
      <c r="X227">
        <v>0</v>
      </c>
      <c r="Y227">
        <v>34.32</v>
      </c>
      <c r="Z227">
        <v>18.010000000000002</v>
      </c>
      <c r="AA227">
        <v>6.18</v>
      </c>
      <c r="AB227">
        <v>40.5</v>
      </c>
      <c r="AC227">
        <v>1</v>
      </c>
      <c r="AE227" t="s">
        <v>239</v>
      </c>
      <c r="AF227" t="s">
        <v>29</v>
      </c>
      <c r="AG227">
        <v>2</v>
      </c>
      <c r="AH227" t="s">
        <v>25</v>
      </c>
      <c r="AI227">
        <v>1106</v>
      </c>
      <c r="AJ227" t="s">
        <v>246</v>
      </c>
      <c r="AK227" t="s">
        <v>1346</v>
      </c>
      <c r="AQ227" t="s">
        <v>739</v>
      </c>
      <c r="AS227" t="str">
        <f t="shared" si="4"/>
        <v>BB01706</v>
      </c>
    </row>
    <row r="228" spans="1:45" ht="15" customHeight="1">
      <c r="A228" t="s">
        <v>1349</v>
      </c>
      <c r="B228">
        <v>705</v>
      </c>
      <c r="C228" t="s">
        <v>27</v>
      </c>
      <c r="D228" s="8">
        <v>45685</v>
      </c>
      <c r="E228" s="22">
        <v>45946</v>
      </c>
      <c r="F228" t="s">
        <v>739</v>
      </c>
      <c r="H228">
        <v>1</v>
      </c>
      <c r="I228">
        <v>48129748</v>
      </c>
      <c r="J228" t="s">
        <v>1555</v>
      </c>
      <c r="K228" s="8">
        <v>45685</v>
      </c>
      <c r="Q228">
        <v>1</v>
      </c>
      <c r="R228">
        <v>870</v>
      </c>
      <c r="S228" t="s">
        <v>1227</v>
      </c>
      <c r="T228" t="s">
        <v>219</v>
      </c>
      <c r="U228">
        <v>1</v>
      </c>
      <c r="V228">
        <v>19.07</v>
      </c>
      <c r="W228">
        <v>22.5</v>
      </c>
      <c r="X228">
        <v>0</v>
      </c>
      <c r="Y228">
        <v>19.07</v>
      </c>
      <c r="Z228">
        <v>17.989999999999998</v>
      </c>
      <c r="AA228">
        <v>3.43</v>
      </c>
      <c r="AB228">
        <v>22.5</v>
      </c>
      <c r="AC228">
        <v>1</v>
      </c>
      <c r="AE228" t="s">
        <v>239</v>
      </c>
      <c r="AF228" t="s">
        <v>29</v>
      </c>
      <c r="AG228">
        <v>2</v>
      </c>
      <c r="AH228" t="s">
        <v>25</v>
      </c>
      <c r="AI228">
        <v>1106</v>
      </c>
      <c r="AJ228" t="s">
        <v>246</v>
      </c>
      <c r="AK228" t="s">
        <v>1346</v>
      </c>
      <c r="AQ228" t="s">
        <v>739</v>
      </c>
      <c r="AS228" t="str">
        <f t="shared" si="4"/>
        <v>BB01705</v>
      </c>
    </row>
    <row r="229" spans="1:45" ht="15" customHeight="1">
      <c r="A229" t="s">
        <v>1349</v>
      </c>
      <c r="B229">
        <v>704</v>
      </c>
      <c r="C229" t="s">
        <v>27</v>
      </c>
      <c r="D229" s="8">
        <v>45685</v>
      </c>
      <c r="E229" s="22">
        <v>45946</v>
      </c>
      <c r="F229" t="s">
        <v>744</v>
      </c>
      <c r="H229">
        <v>1</v>
      </c>
      <c r="I229">
        <v>72459498</v>
      </c>
      <c r="J229" t="s">
        <v>1556</v>
      </c>
      <c r="K229" s="8">
        <v>45685</v>
      </c>
      <c r="Q229">
        <v>1</v>
      </c>
      <c r="R229">
        <v>877</v>
      </c>
      <c r="S229" t="s">
        <v>197</v>
      </c>
      <c r="T229" t="s">
        <v>219</v>
      </c>
      <c r="U229">
        <v>1</v>
      </c>
      <c r="V229">
        <v>240.25</v>
      </c>
      <c r="W229">
        <v>283.5</v>
      </c>
      <c r="X229">
        <v>0</v>
      </c>
      <c r="Y229">
        <v>240.25</v>
      </c>
      <c r="Z229">
        <v>18</v>
      </c>
      <c r="AA229">
        <v>43.25</v>
      </c>
      <c r="AB229">
        <v>283.5</v>
      </c>
      <c r="AC229">
        <v>1</v>
      </c>
      <c r="AE229" t="s">
        <v>239</v>
      </c>
      <c r="AF229" t="s">
        <v>29</v>
      </c>
      <c r="AG229">
        <v>2</v>
      </c>
      <c r="AH229" t="s">
        <v>25</v>
      </c>
      <c r="AI229">
        <v>1106</v>
      </c>
      <c r="AJ229" t="s">
        <v>246</v>
      </c>
      <c r="AK229" t="s">
        <v>1346</v>
      </c>
      <c r="AQ229" t="s">
        <v>744</v>
      </c>
      <c r="AS229" t="str">
        <f t="shared" si="4"/>
        <v>BB01704</v>
      </c>
    </row>
    <row r="230" spans="1:45" ht="15" customHeight="1">
      <c r="A230" t="s">
        <v>1349</v>
      </c>
      <c r="B230">
        <v>703</v>
      </c>
      <c r="C230" t="s">
        <v>27</v>
      </c>
      <c r="D230" s="8">
        <v>45685</v>
      </c>
      <c r="E230" s="22">
        <v>45946</v>
      </c>
      <c r="F230" t="s">
        <v>744</v>
      </c>
      <c r="H230">
        <v>1</v>
      </c>
      <c r="I230">
        <v>72459498</v>
      </c>
      <c r="J230" t="s">
        <v>1557</v>
      </c>
      <c r="K230" s="8">
        <v>45685</v>
      </c>
      <c r="Q230">
        <v>1</v>
      </c>
      <c r="R230">
        <v>870</v>
      </c>
      <c r="S230" t="s">
        <v>1227</v>
      </c>
      <c r="T230" t="s">
        <v>219</v>
      </c>
      <c r="U230">
        <v>1</v>
      </c>
      <c r="V230">
        <v>133.47</v>
      </c>
      <c r="W230">
        <v>157.5</v>
      </c>
      <c r="X230">
        <v>0</v>
      </c>
      <c r="Y230">
        <v>133.47</v>
      </c>
      <c r="Z230">
        <v>18</v>
      </c>
      <c r="AA230">
        <v>24.03</v>
      </c>
      <c r="AB230">
        <v>157.5</v>
      </c>
      <c r="AC230">
        <v>1</v>
      </c>
      <c r="AE230" t="s">
        <v>239</v>
      </c>
      <c r="AF230" t="s">
        <v>29</v>
      </c>
      <c r="AG230">
        <v>2</v>
      </c>
      <c r="AH230" t="s">
        <v>25</v>
      </c>
      <c r="AI230">
        <v>1106</v>
      </c>
      <c r="AJ230" t="s">
        <v>246</v>
      </c>
      <c r="AK230" t="s">
        <v>1346</v>
      </c>
      <c r="AQ230" t="s">
        <v>744</v>
      </c>
      <c r="AS230" t="str">
        <f t="shared" si="4"/>
        <v>BB01703</v>
      </c>
    </row>
    <row r="231" spans="1:45" ht="15" customHeight="1">
      <c r="A231" t="s">
        <v>1349</v>
      </c>
      <c r="B231">
        <v>702</v>
      </c>
      <c r="C231" t="s">
        <v>27</v>
      </c>
      <c r="D231" s="8">
        <v>45685</v>
      </c>
      <c r="E231" s="22">
        <v>45946</v>
      </c>
      <c r="F231" t="s">
        <v>749</v>
      </c>
      <c r="H231">
        <v>1</v>
      </c>
      <c r="I231">
        <v>74630652</v>
      </c>
      <c r="J231" t="s">
        <v>1558</v>
      </c>
      <c r="K231" s="8">
        <v>45685</v>
      </c>
      <c r="Q231">
        <v>1</v>
      </c>
      <c r="R231">
        <v>877</v>
      </c>
      <c r="S231" t="s">
        <v>197</v>
      </c>
      <c r="T231" t="s">
        <v>219</v>
      </c>
      <c r="U231">
        <v>1</v>
      </c>
      <c r="V231">
        <v>1346.2</v>
      </c>
      <c r="W231">
        <v>1588.52</v>
      </c>
      <c r="X231">
        <v>0</v>
      </c>
      <c r="Y231">
        <v>1346.2</v>
      </c>
      <c r="Z231">
        <v>18</v>
      </c>
      <c r="AA231">
        <v>242.32</v>
      </c>
      <c r="AB231">
        <v>1588.52</v>
      </c>
      <c r="AC231">
        <v>1</v>
      </c>
      <c r="AE231" t="s">
        <v>239</v>
      </c>
      <c r="AF231" t="s">
        <v>29</v>
      </c>
      <c r="AG231">
        <v>2</v>
      </c>
      <c r="AH231" t="s">
        <v>25</v>
      </c>
      <c r="AI231">
        <v>1106</v>
      </c>
      <c r="AJ231" t="s">
        <v>246</v>
      </c>
      <c r="AK231" t="s">
        <v>1346</v>
      </c>
      <c r="AQ231" t="s">
        <v>749</v>
      </c>
      <c r="AS231" t="str">
        <f t="shared" si="4"/>
        <v>BB01702</v>
      </c>
    </row>
    <row r="232" spans="1:45" ht="15" customHeight="1">
      <c r="A232" t="s">
        <v>1349</v>
      </c>
      <c r="B232">
        <v>701</v>
      </c>
      <c r="C232" t="s">
        <v>27</v>
      </c>
      <c r="D232" s="8">
        <v>45685</v>
      </c>
      <c r="E232" s="22">
        <v>45946</v>
      </c>
      <c r="F232" t="s">
        <v>749</v>
      </c>
      <c r="H232">
        <v>1</v>
      </c>
      <c r="I232">
        <v>74630652</v>
      </c>
      <c r="J232" t="s">
        <v>1559</v>
      </c>
      <c r="K232" s="8">
        <v>45685</v>
      </c>
      <c r="Q232">
        <v>1</v>
      </c>
      <c r="R232">
        <v>870</v>
      </c>
      <c r="S232" t="s">
        <v>1227</v>
      </c>
      <c r="T232" t="s">
        <v>219</v>
      </c>
      <c r="U232">
        <v>1</v>
      </c>
      <c r="V232">
        <v>824.87</v>
      </c>
      <c r="W232">
        <v>973.35</v>
      </c>
      <c r="X232">
        <v>0</v>
      </c>
      <c r="Y232">
        <v>824.87</v>
      </c>
      <c r="Z232">
        <v>18</v>
      </c>
      <c r="AA232">
        <v>148.47999999999999</v>
      </c>
      <c r="AB232">
        <v>973.35</v>
      </c>
      <c r="AC232">
        <v>1</v>
      </c>
      <c r="AE232" t="s">
        <v>239</v>
      </c>
      <c r="AF232" t="s">
        <v>29</v>
      </c>
      <c r="AG232">
        <v>2</v>
      </c>
      <c r="AH232" t="s">
        <v>25</v>
      </c>
      <c r="AI232">
        <v>1106</v>
      </c>
      <c r="AJ232" t="s">
        <v>246</v>
      </c>
      <c r="AK232" t="s">
        <v>1346</v>
      </c>
      <c r="AQ232" t="s">
        <v>749</v>
      </c>
      <c r="AS232" t="str">
        <f t="shared" si="4"/>
        <v>BB01701</v>
      </c>
    </row>
    <row r="233" spans="1:45" ht="15" customHeight="1">
      <c r="A233" t="s">
        <v>221</v>
      </c>
      <c r="B233">
        <v>1319</v>
      </c>
      <c r="C233" t="s">
        <v>27</v>
      </c>
      <c r="D233" s="8">
        <v>45685</v>
      </c>
      <c r="E233" s="22">
        <v>45946</v>
      </c>
      <c r="F233" t="s">
        <v>722</v>
      </c>
      <c r="H233">
        <v>6</v>
      </c>
      <c r="I233">
        <v>20600937988</v>
      </c>
      <c r="J233" t="s">
        <v>1560</v>
      </c>
      <c r="K233" s="8">
        <v>45685</v>
      </c>
      <c r="Q233">
        <v>1</v>
      </c>
      <c r="R233">
        <v>877</v>
      </c>
      <c r="S233" t="s">
        <v>197</v>
      </c>
      <c r="T233" t="s">
        <v>219</v>
      </c>
      <c r="U233">
        <v>1</v>
      </c>
      <c r="V233">
        <v>274.92</v>
      </c>
      <c r="W233">
        <v>324.39999999999998</v>
      </c>
      <c r="X233">
        <v>0</v>
      </c>
      <c r="Y233">
        <v>274.92</v>
      </c>
      <c r="Z233">
        <v>18</v>
      </c>
      <c r="AA233">
        <v>49.48</v>
      </c>
      <c r="AB233">
        <v>324.39999999999998</v>
      </c>
      <c r="AC233">
        <v>1</v>
      </c>
      <c r="AE233" t="s">
        <v>239</v>
      </c>
      <c r="AF233" t="s">
        <v>29</v>
      </c>
      <c r="AG233">
        <v>2</v>
      </c>
      <c r="AH233" t="s">
        <v>25</v>
      </c>
      <c r="AI233">
        <v>1106</v>
      </c>
      <c r="AJ233" t="s">
        <v>246</v>
      </c>
      <c r="AK233" t="s">
        <v>1346</v>
      </c>
      <c r="AQ233" t="s">
        <v>722</v>
      </c>
      <c r="AS233" t="str">
        <f t="shared" si="4"/>
        <v>FB011319</v>
      </c>
    </row>
    <row r="234" spans="1:45" ht="15" customHeight="1">
      <c r="A234" t="s">
        <v>221</v>
      </c>
      <c r="B234">
        <v>1318</v>
      </c>
      <c r="C234" t="s">
        <v>27</v>
      </c>
      <c r="D234" s="8">
        <v>45685</v>
      </c>
      <c r="E234" s="22">
        <v>45946</v>
      </c>
      <c r="F234" t="s">
        <v>722</v>
      </c>
      <c r="H234">
        <v>6</v>
      </c>
      <c r="I234">
        <v>20600937988</v>
      </c>
      <c r="J234" t="s">
        <v>1561</v>
      </c>
      <c r="K234" s="8">
        <v>45685</v>
      </c>
      <c r="Q234">
        <v>1</v>
      </c>
      <c r="R234">
        <v>870</v>
      </c>
      <c r="S234" t="s">
        <v>1227</v>
      </c>
      <c r="T234" t="s">
        <v>219</v>
      </c>
      <c r="U234">
        <v>1</v>
      </c>
      <c r="V234">
        <v>159.29</v>
      </c>
      <c r="W234">
        <v>187.96</v>
      </c>
      <c r="X234">
        <v>0</v>
      </c>
      <c r="Y234">
        <v>159.29</v>
      </c>
      <c r="Z234">
        <v>18</v>
      </c>
      <c r="AA234">
        <v>28.67</v>
      </c>
      <c r="AB234">
        <v>187.96</v>
      </c>
      <c r="AC234">
        <v>1</v>
      </c>
      <c r="AE234" t="s">
        <v>239</v>
      </c>
      <c r="AF234" t="s">
        <v>29</v>
      </c>
      <c r="AG234">
        <v>2</v>
      </c>
      <c r="AH234" t="s">
        <v>25</v>
      </c>
      <c r="AI234">
        <v>1106</v>
      </c>
      <c r="AJ234" t="s">
        <v>246</v>
      </c>
      <c r="AK234" t="s">
        <v>1346</v>
      </c>
      <c r="AQ234" t="s">
        <v>722</v>
      </c>
      <c r="AS234" t="str">
        <f t="shared" si="4"/>
        <v>FB011318</v>
      </c>
    </row>
    <row r="235" spans="1:45" ht="15" customHeight="1">
      <c r="A235" t="s">
        <v>1349</v>
      </c>
      <c r="B235">
        <v>700</v>
      </c>
      <c r="C235" t="s">
        <v>27</v>
      </c>
      <c r="D235" s="8">
        <v>45685</v>
      </c>
      <c r="E235" s="22">
        <v>45946</v>
      </c>
      <c r="F235" t="s">
        <v>754</v>
      </c>
      <c r="H235">
        <v>1</v>
      </c>
      <c r="I235">
        <v>43374645</v>
      </c>
      <c r="J235" t="s">
        <v>1562</v>
      </c>
      <c r="K235" s="8">
        <v>45685</v>
      </c>
      <c r="Q235">
        <v>1</v>
      </c>
      <c r="R235">
        <v>871</v>
      </c>
      <c r="S235" t="s">
        <v>1381</v>
      </c>
      <c r="T235" t="s">
        <v>219</v>
      </c>
      <c r="U235">
        <v>1</v>
      </c>
      <c r="V235">
        <v>96.1</v>
      </c>
      <c r="W235">
        <v>113.4</v>
      </c>
      <c r="X235">
        <v>0</v>
      </c>
      <c r="Y235">
        <v>96.1</v>
      </c>
      <c r="Z235">
        <v>18</v>
      </c>
      <c r="AA235">
        <v>17.3</v>
      </c>
      <c r="AB235">
        <v>113.4</v>
      </c>
      <c r="AC235">
        <v>1</v>
      </c>
      <c r="AE235" t="s">
        <v>239</v>
      </c>
      <c r="AF235" t="s">
        <v>29</v>
      </c>
      <c r="AG235">
        <v>2</v>
      </c>
      <c r="AH235" t="s">
        <v>25</v>
      </c>
      <c r="AI235">
        <v>1106</v>
      </c>
      <c r="AJ235" t="s">
        <v>246</v>
      </c>
      <c r="AK235" t="s">
        <v>1346</v>
      </c>
      <c r="AQ235" t="s">
        <v>754</v>
      </c>
      <c r="AS235" t="str">
        <f t="shared" si="4"/>
        <v>BB01700</v>
      </c>
    </row>
    <row r="236" spans="1:45" ht="15" customHeight="1">
      <c r="A236" t="s">
        <v>1349</v>
      </c>
      <c r="B236">
        <v>699</v>
      </c>
      <c r="C236" t="s">
        <v>27</v>
      </c>
      <c r="D236" s="8">
        <v>45685</v>
      </c>
      <c r="E236" s="22">
        <v>45946</v>
      </c>
      <c r="F236" t="s">
        <v>754</v>
      </c>
      <c r="H236">
        <v>1</v>
      </c>
      <c r="I236">
        <v>43374645</v>
      </c>
      <c r="J236" t="s">
        <v>1563</v>
      </c>
      <c r="K236" s="8">
        <v>45685</v>
      </c>
      <c r="Q236">
        <v>1</v>
      </c>
      <c r="R236">
        <v>870</v>
      </c>
      <c r="S236" t="s">
        <v>1227</v>
      </c>
      <c r="T236" t="s">
        <v>219</v>
      </c>
      <c r="U236">
        <v>1</v>
      </c>
      <c r="V236">
        <v>95.97</v>
      </c>
      <c r="W236">
        <v>113.24</v>
      </c>
      <c r="X236">
        <v>0</v>
      </c>
      <c r="Y236">
        <v>95.97</v>
      </c>
      <c r="Z236">
        <v>18</v>
      </c>
      <c r="AA236">
        <v>17.27</v>
      </c>
      <c r="AB236">
        <v>113.24</v>
      </c>
      <c r="AC236">
        <v>1</v>
      </c>
      <c r="AE236" t="s">
        <v>239</v>
      </c>
      <c r="AF236" t="s">
        <v>29</v>
      </c>
      <c r="AG236">
        <v>2</v>
      </c>
      <c r="AH236" t="s">
        <v>25</v>
      </c>
      <c r="AI236">
        <v>1106</v>
      </c>
      <c r="AJ236" t="s">
        <v>246</v>
      </c>
      <c r="AK236" t="s">
        <v>1346</v>
      </c>
      <c r="AQ236" t="s">
        <v>754</v>
      </c>
      <c r="AS236" t="str">
        <f t="shared" si="4"/>
        <v>BB01699</v>
      </c>
    </row>
    <row r="237" spans="1:45" ht="15" customHeight="1">
      <c r="A237" t="s">
        <v>221</v>
      </c>
      <c r="B237">
        <v>1317</v>
      </c>
      <c r="C237" t="s">
        <v>27</v>
      </c>
      <c r="D237" s="8">
        <v>45685</v>
      </c>
      <c r="E237" s="22">
        <v>45946</v>
      </c>
      <c r="F237" t="s">
        <v>727</v>
      </c>
      <c r="H237">
        <v>6</v>
      </c>
      <c r="I237">
        <v>20526252200</v>
      </c>
      <c r="J237" t="s">
        <v>1564</v>
      </c>
      <c r="K237" s="8">
        <v>45685</v>
      </c>
      <c r="Q237">
        <v>1</v>
      </c>
      <c r="R237">
        <v>877</v>
      </c>
      <c r="S237" t="s">
        <v>197</v>
      </c>
      <c r="T237" t="s">
        <v>219</v>
      </c>
      <c r="U237">
        <v>1</v>
      </c>
      <c r="V237">
        <v>967.12</v>
      </c>
      <c r="W237">
        <v>1141.2</v>
      </c>
      <c r="X237">
        <v>0</v>
      </c>
      <c r="Y237">
        <v>967.12</v>
      </c>
      <c r="Z237">
        <v>18</v>
      </c>
      <c r="AA237">
        <v>174.08</v>
      </c>
      <c r="AB237">
        <v>1141.2</v>
      </c>
      <c r="AC237">
        <v>1</v>
      </c>
      <c r="AE237" t="s">
        <v>239</v>
      </c>
      <c r="AF237" t="s">
        <v>29</v>
      </c>
      <c r="AG237">
        <v>2</v>
      </c>
      <c r="AH237" t="s">
        <v>25</v>
      </c>
      <c r="AI237">
        <v>1106</v>
      </c>
      <c r="AJ237" t="s">
        <v>246</v>
      </c>
      <c r="AK237" t="s">
        <v>1346</v>
      </c>
      <c r="AQ237" t="s">
        <v>727</v>
      </c>
      <c r="AS237" t="str">
        <f t="shared" si="4"/>
        <v>FB011317</v>
      </c>
    </row>
    <row r="238" spans="1:45" ht="15" customHeight="1">
      <c r="A238" t="s">
        <v>221</v>
      </c>
      <c r="B238">
        <v>1316</v>
      </c>
      <c r="C238" t="s">
        <v>27</v>
      </c>
      <c r="D238" s="8">
        <v>45685</v>
      </c>
      <c r="E238" s="22">
        <v>45946</v>
      </c>
      <c r="F238" t="s">
        <v>727</v>
      </c>
      <c r="H238">
        <v>6</v>
      </c>
      <c r="I238">
        <v>20526252200</v>
      </c>
      <c r="J238" t="s">
        <v>1565</v>
      </c>
      <c r="K238" s="8">
        <v>45685</v>
      </c>
      <c r="Q238">
        <v>1</v>
      </c>
      <c r="R238">
        <v>870</v>
      </c>
      <c r="S238" t="s">
        <v>1227</v>
      </c>
      <c r="T238" t="s">
        <v>219</v>
      </c>
      <c r="U238">
        <v>1</v>
      </c>
      <c r="V238">
        <v>777.2</v>
      </c>
      <c r="W238">
        <v>917.1</v>
      </c>
      <c r="X238">
        <v>0</v>
      </c>
      <c r="Y238">
        <v>777.2</v>
      </c>
      <c r="Z238">
        <v>18</v>
      </c>
      <c r="AA238">
        <v>139.9</v>
      </c>
      <c r="AB238">
        <v>917.1</v>
      </c>
      <c r="AC238">
        <v>1</v>
      </c>
      <c r="AE238" t="s">
        <v>239</v>
      </c>
      <c r="AF238" t="s">
        <v>29</v>
      </c>
      <c r="AG238">
        <v>2</v>
      </c>
      <c r="AH238" t="s">
        <v>25</v>
      </c>
      <c r="AI238">
        <v>1106</v>
      </c>
      <c r="AJ238" t="s">
        <v>246</v>
      </c>
      <c r="AK238" t="s">
        <v>1346</v>
      </c>
      <c r="AQ238" t="s">
        <v>727</v>
      </c>
      <c r="AS238" t="str">
        <f t="shared" si="4"/>
        <v>FB011316</v>
      </c>
    </row>
    <row r="239" spans="1:45" ht="15" customHeight="1">
      <c r="A239" t="s">
        <v>221</v>
      </c>
      <c r="B239">
        <v>1315</v>
      </c>
      <c r="C239" t="s">
        <v>27</v>
      </c>
      <c r="D239" s="8">
        <v>45685</v>
      </c>
      <c r="E239" s="22">
        <v>45946</v>
      </c>
      <c r="F239" t="s">
        <v>732</v>
      </c>
      <c r="H239">
        <v>6</v>
      </c>
      <c r="I239">
        <v>20611616261</v>
      </c>
      <c r="J239" t="s">
        <v>1566</v>
      </c>
      <c r="K239" s="8">
        <v>45685</v>
      </c>
      <c r="Q239">
        <v>1</v>
      </c>
      <c r="R239">
        <v>874</v>
      </c>
      <c r="S239" t="s">
        <v>1390</v>
      </c>
      <c r="T239" t="s">
        <v>219</v>
      </c>
      <c r="U239">
        <v>1</v>
      </c>
      <c r="V239">
        <v>2</v>
      </c>
      <c r="W239">
        <v>2.36</v>
      </c>
      <c r="X239">
        <v>0</v>
      </c>
      <c r="Y239">
        <v>2</v>
      </c>
      <c r="Z239">
        <v>18</v>
      </c>
      <c r="AA239">
        <v>0.36</v>
      </c>
      <c r="AB239">
        <v>2.36</v>
      </c>
      <c r="AC239">
        <v>1</v>
      </c>
      <c r="AE239" t="s">
        <v>239</v>
      </c>
      <c r="AF239" t="s">
        <v>29</v>
      </c>
      <c r="AG239">
        <v>2</v>
      </c>
      <c r="AH239" t="s">
        <v>25</v>
      </c>
      <c r="AI239">
        <v>1106</v>
      </c>
      <c r="AJ239" t="s">
        <v>246</v>
      </c>
      <c r="AK239" t="s">
        <v>1346</v>
      </c>
      <c r="AQ239" t="s">
        <v>732</v>
      </c>
      <c r="AS239" t="str">
        <f t="shared" si="4"/>
        <v>FB011315</v>
      </c>
    </row>
    <row r="240" spans="1:45" ht="15" customHeight="1">
      <c r="A240" t="s">
        <v>221</v>
      </c>
      <c r="B240">
        <v>1314</v>
      </c>
      <c r="C240" t="s">
        <v>27</v>
      </c>
      <c r="D240" s="8">
        <v>45685</v>
      </c>
      <c r="E240" s="22">
        <v>45946</v>
      </c>
      <c r="F240" t="s">
        <v>732</v>
      </c>
      <c r="H240">
        <v>6</v>
      </c>
      <c r="I240">
        <v>20611616261</v>
      </c>
      <c r="J240" t="s">
        <v>1567</v>
      </c>
      <c r="K240" s="8">
        <v>45685</v>
      </c>
      <c r="Q240">
        <v>1</v>
      </c>
      <c r="R240">
        <v>877</v>
      </c>
      <c r="S240" t="s">
        <v>197</v>
      </c>
      <c r="T240" t="s">
        <v>219</v>
      </c>
      <c r="U240">
        <v>1</v>
      </c>
      <c r="V240">
        <v>276.52999999999997</v>
      </c>
      <c r="W240">
        <v>326.3</v>
      </c>
      <c r="X240">
        <v>0</v>
      </c>
      <c r="Y240">
        <v>276.52999999999997</v>
      </c>
      <c r="Z240">
        <v>18</v>
      </c>
      <c r="AA240">
        <v>49.77</v>
      </c>
      <c r="AB240">
        <v>326.3</v>
      </c>
      <c r="AC240">
        <v>1</v>
      </c>
      <c r="AE240" t="s">
        <v>239</v>
      </c>
      <c r="AF240" t="s">
        <v>29</v>
      </c>
      <c r="AG240">
        <v>2</v>
      </c>
      <c r="AH240" t="s">
        <v>25</v>
      </c>
      <c r="AI240">
        <v>1106</v>
      </c>
      <c r="AJ240" t="s">
        <v>246</v>
      </c>
      <c r="AK240" t="s">
        <v>1346</v>
      </c>
      <c r="AQ240" t="s">
        <v>732</v>
      </c>
      <c r="AS240" t="str">
        <f t="shared" si="4"/>
        <v>FB011314</v>
      </c>
    </row>
    <row r="241" spans="1:45" ht="15" customHeight="1">
      <c r="A241" t="s">
        <v>221</v>
      </c>
      <c r="B241">
        <v>1313</v>
      </c>
      <c r="C241" t="s">
        <v>27</v>
      </c>
      <c r="D241" s="8">
        <v>45685</v>
      </c>
      <c r="E241" s="22">
        <v>45946</v>
      </c>
      <c r="F241" t="s">
        <v>732</v>
      </c>
      <c r="H241">
        <v>6</v>
      </c>
      <c r="I241">
        <v>20611616261</v>
      </c>
      <c r="J241" t="s">
        <v>1568</v>
      </c>
      <c r="K241" s="8">
        <v>45685</v>
      </c>
      <c r="Q241">
        <v>1</v>
      </c>
      <c r="R241">
        <v>870</v>
      </c>
      <c r="S241" t="s">
        <v>1227</v>
      </c>
      <c r="T241" t="s">
        <v>219</v>
      </c>
      <c r="U241">
        <v>1</v>
      </c>
      <c r="V241">
        <v>177.63</v>
      </c>
      <c r="W241">
        <v>209.6</v>
      </c>
      <c r="X241">
        <v>0</v>
      </c>
      <c r="Y241">
        <v>177.63</v>
      </c>
      <c r="Z241">
        <v>18</v>
      </c>
      <c r="AA241">
        <v>31.97</v>
      </c>
      <c r="AB241">
        <v>209.6</v>
      </c>
      <c r="AC241">
        <v>1</v>
      </c>
      <c r="AE241" t="s">
        <v>239</v>
      </c>
      <c r="AF241" t="s">
        <v>29</v>
      </c>
      <c r="AG241">
        <v>2</v>
      </c>
      <c r="AH241" t="s">
        <v>25</v>
      </c>
      <c r="AI241">
        <v>1106</v>
      </c>
      <c r="AJ241" t="s">
        <v>246</v>
      </c>
      <c r="AK241" t="s">
        <v>1346</v>
      </c>
      <c r="AQ241" t="s">
        <v>732</v>
      </c>
      <c r="AS241" t="str">
        <f t="shared" si="4"/>
        <v>FB011313</v>
      </c>
    </row>
    <row r="242" spans="1:45" ht="15" customHeight="1">
      <c r="A242" t="s">
        <v>217</v>
      </c>
      <c r="B242">
        <v>217</v>
      </c>
      <c r="C242" t="s">
        <v>27</v>
      </c>
      <c r="D242" s="8">
        <v>45685</v>
      </c>
      <c r="E242" s="22">
        <v>45946</v>
      </c>
      <c r="F242" t="s">
        <v>383</v>
      </c>
      <c r="H242">
        <v>6</v>
      </c>
      <c r="I242">
        <v>20611066971</v>
      </c>
      <c r="J242" t="s">
        <v>1569</v>
      </c>
      <c r="K242" s="8">
        <v>45685</v>
      </c>
      <c r="Q242">
        <v>1</v>
      </c>
      <c r="R242">
        <v>946</v>
      </c>
      <c r="S242" t="s">
        <v>1570</v>
      </c>
      <c r="T242" t="s">
        <v>219</v>
      </c>
      <c r="U242">
        <v>1</v>
      </c>
      <c r="V242">
        <v>2080</v>
      </c>
      <c r="W242">
        <v>2454.4</v>
      </c>
      <c r="X242">
        <v>0</v>
      </c>
      <c r="Y242">
        <v>2080</v>
      </c>
      <c r="Z242">
        <v>18</v>
      </c>
      <c r="AA242">
        <v>374.4</v>
      </c>
      <c r="AB242">
        <v>2454.4</v>
      </c>
      <c r="AC242">
        <v>1</v>
      </c>
      <c r="AE242" t="s">
        <v>239</v>
      </c>
      <c r="AF242" t="s">
        <v>29</v>
      </c>
      <c r="AG242">
        <v>2</v>
      </c>
      <c r="AH242" t="s">
        <v>25</v>
      </c>
      <c r="AI242">
        <v>1106</v>
      </c>
      <c r="AJ242" t="s">
        <v>246</v>
      </c>
      <c r="AK242" t="s">
        <v>1342</v>
      </c>
      <c r="AQ242" t="s">
        <v>383</v>
      </c>
      <c r="AS242" t="str">
        <f t="shared" si="4"/>
        <v>FFF1217</v>
      </c>
    </row>
    <row r="243" spans="1:45" ht="15" customHeight="1">
      <c r="A243" t="s">
        <v>217</v>
      </c>
      <c r="B243">
        <v>216</v>
      </c>
      <c r="C243" t="s">
        <v>27</v>
      </c>
      <c r="D243" s="8">
        <v>45684</v>
      </c>
      <c r="E243" s="22">
        <v>45946</v>
      </c>
      <c r="F243" t="s">
        <v>34</v>
      </c>
      <c r="H243">
        <v>6</v>
      </c>
      <c r="I243">
        <v>20611018925</v>
      </c>
      <c r="J243" t="s">
        <v>1571</v>
      </c>
      <c r="K243" s="8">
        <v>45684</v>
      </c>
      <c r="Q243">
        <v>1</v>
      </c>
      <c r="R243">
        <v>945</v>
      </c>
      <c r="S243" t="s">
        <v>1572</v>
      </c>
      <c r="T243" t="s">
        <v>219</v>
      </c>
      <c r="U243">
        <v>1</v>
      </c>
      <c r="V243">
        <v>800</v>
      </c>
      <c r="W243">
        <v>944</v>
      </c>
      <c r="X243">
        <v>0</v>
      </c>
      <c r="Y243">
        <v>800</v>
      </c>
      <c r="Z243">
        <v>18</v>
      </c>
      <c r="AA243">
        <v>144</v>
      </c>
      <c r="AB243">
        <v>944</v>
      </c>
      <c r="AC243">
        <v>1</v>
      </c>
      <c r="AE243" t="s">
        <v>239</v>
      </c>
      <c r="AF243" t="s">
        <v>29</v>
      </c>
      <c r="AG243">
        <v>2</v>
      </c>
      <c r="AH243" t="s">
        <v>25</v>
      </c>
      <c r="AI243">
        <v>1106</v>
      </c>
      <c r="AJ243" t="s">
        <v>246</v>
      </c>
      <c r="AK243" t="s">
        <v>1342</v>
      </c>
      <c r="AQ243" t="s">
        <v>34</v>
      </c>
      <c r="AS243" t="str">
        <f t="shared" si="4"/>
        <v>FFF1216</v>
      </c>
    </row>
    <row r="244" spans="1:45" ht="15" customHeight="1">
      <c r="A244" t="s">
        <v>217</v>
      </c>
      <c r="B244">
        <v>215</v>
      </c>
      <c r="C244" t="s">
        <v>27</v>
      </c>
      <c r="D244" s="8">
        <v>45680</v>
      </c>
      <c r="E244" s="22">
        <v>45946</v>
      </c>
      <c r="F244" t="s">
        <v>34</v>
      </c>
      <c r="H244">
        <v>6</v>
      </c>
      <c r="I244">
        <v>20611018925</v>
      </c>
      <c r="J244" t="s">
        <v>1573</v>
      </c>
      <c r="K244" s="8">
        <v>45680</v>
      </c>
      <c r="Q244">
        <v>1</v>
      </c>
      <c r="R244">
        <v>944</v>
      </c>
      <c r="S244" t="s">
        <v>1574</v>
      </c>
      <c r="T244" t="s">
        <v>219</v>
      </c>
      <c r="U244">
        <v>1</v>
      </c>
      <c r="V244">
        <v>910</v>
      </c>
      <c r="W244">
        <v>1073.8</v>
      </c>
      <c r="X244">
        <v>0</v>
      </c>
      <c r="Y244">
        <v>910</v>
      </c>
      <c r="Z244">
        <v>18</v>
      </c>
      <c r="AA244">
        <v>163.80000000000001</v>
      </c>
      <c r="AB244">
        <v>1073.8</v>
      </c>
      <c r="AC244">
        <v>1</v>
      </c>
      <c r="AE244" t="s">
        <v>239</v>
      </c>
      <c r="AF244" t="s">
        <v>29</v>
      </c>
      <c r="AG244">
        <v>2</v>
      </c>
      <c r="AH244" t="s">
        <v>25</v>
      </c>
      <c r="AI244">
        <v>1106</v>
      </c>
      <c r="AJ244" t="s">
        <v>246</v>
      </c>
      <c r="AK244" t="s">
        <v>1342</v>
      </c>
      <c r="AQ244" t="s">
        <v>34</v>
      </c>
      <c r="AS244" t="str">
        <f t="shared" si="4"/>
        <v>FFF1215</v>
      </c>
    </row>
    <row r="245" spans="1:45" ht="15" customHeight="1">
      <c r="A245" t="s">
        <v>1349</v>
      </c>
      <c r="B245">
        <v>698</v>
      </c>
      <c r="C245" t="s">
        <v>27</v>
      </c>
      <c r="D245" s="8">
        <v>45680</v>
      </c>
      <c r="E245" s="22">
        <v>45946</v>
      </c>
      <c r="F245" t="s">
        <v>526</v>
      </c>
      <c r="H245">
        <v>1</v>
      </c>
      <c r="I245">
        <v>19941551</v>
      </c>
      <c r="J245" t="s">
        <v>1575</v>
      </c>
      <c r="K245" s="8">
        <v>45680</v>
      </c>
      <c r="Q245">
        <v>1</v>
      </c>
      <c r="R245">
        <v>940</v>
      </c>
      <c r="S245" t="s">
        <v>1362</v>
      </c>
      <c r="T245" t="s">
        <v>219</v>
      </c>
      <c r="U245">
        <v>1</v>
      </c>
      <c r="V245">
        <v>1181.29</v>
      </c>
      <c r="W245">
        <v>1393.92</v>
      </c>
      <c r="X245">
        <v>0</v>
      </c>
      <c r="Y245">
        <v>1181.29</v>
      </c>
      <c r="Z245">
        <v>18</v>
      </c>
      <c r="AA245">
        <v>212.63</v>
      </c>
      <c r="AB245">
        <v>1393.92</v>
      </c>
      <c r="AC245">
        <v>1</v>
      </c>
      <c r="AE245" t="s">
        <v>239</v>
      </c>
      <c r="AF245" t="s">
        <v>29</v>
      </c>
      <c r="AG245">
        <v>2</v>
      </c>
      <c r="AH245" t="s">
        <v>25</v>
      </c>
      <c r="AI245">
        <v>1106</v>
      </c>
      <c r="AJ245" t="s">
        <v>246</v>
      </c>
      <c r="AK245" t="s">
        <v>1346</v>
      </c>
      <c r="AQ245" t="s">
        <v>526</v>
      </c>
      <c r="AS245" t="str">
        <f t="shared" si="4"/>
        <v>BB01698</v>
      </c>
    </row>
    <row r="246" spans="1:45" ht="15" customHeight="1">
      <c r="A246" t="s">
        <v>1349</v>
      </c>
      <c r="B246">
        <v>697</v>
      </c>
      <c r="C246" t="s">
        <v>27</v>
      </c>
      <c r="D246" s="8">
        <v>45680</v>
      </c>
      <c r="E246" s="22">
        <v>45946</v>
      </c>
      <c r="F246" t="s">
        <v>526</v>
      </c>
      <c r="H246">
        <v>1</v>
      </c>
      <c r="I246">
        <v>19941551</v>
      </c>
      <c r="J246" t="s">
        <v>1576</v>
      </c>
      <c r="K246" s="8">
        <v>45680</v>
      </c>
      <c r="Q246">
        <v>1</v>
      </c>
      <c r="R246">
        <v>939</v>
      </c>
      <c r="S246" t="s">
        <v>1577</v>
      </c>
      <c r="T246" t="s">
        <v>219</v>
      </c>
      <c r="U246">
        <v>1</v>
      </c>
      <c r="V246">
        <v>1028.46</v>
      </c>
      <c r="W246">
        <v>1213.58</v>
      </c>
      <c r="X246">
        <v>0</v>
      </c>
      <c r="Y246">
        <v>1028.46</v>
      </c>
      <c r="Z246">
        <v>18</v>
      </c>
      <c r="AA246">
        <v>185.12</v>
      </c>
      <c r="AB246">
        <v>1213.58</v>
      </c>
      <c r="AC246">
        <v>1</v>
      </c>
      <c r="AE246" t="s">
        <v>239</v>
      </c>
      <c r="AF246" t="s">
        <v>29</v>
      </c>
      <c r="AG246">
        <v>2</v>
      </c>
      <c r="AH246" t="s">
        <v>25</v>
      </c>
      <c r="AI246">
        <v>1106</v>
      </c>
      <c r="AJ246" t="s">
        <v>246</v>
      </c>
      <c r="AK246" t="s">
        <v>1346</v>
      </c>
      <c r="AQ246" t="s">
        <v>526</v>
      </c>
      <c r="AS246" t="str">
        <f t="shared" si="4"/>
        <v>BB01697</v>
      </c>
    </row>
    <row r="247" spans="1:45" ht="15" customHeight="1">
      <c r="A247" t="s">
        <v>1349</v>
      </c>
      <c r="B247">
        <v>696</v>
      </c>
      <c r="C247" t="s">
        <v>27</v>
      </c>
      <c r="D247" s="8">
        <v>45680</v>
      </c>
      <c r="E247" s="22">
        <v>45946</v>
      </c>
      <c r="F247" t="s">
        <v>533</v>
      </c>
      <c r="H247">
        <v>1</v>
      </c>
      <c r="I247">
        <v>19889371</v>
      </c>
      <c r="J247" t="s">
        <v>1578</v>
      </c>
      <c r="K247" s="8">
        <v>45680</v>
      </c>
      <c r="Q247">
        <v>1</v>
      </c>
      <c r="R247">
        <v>942</v>
      </c>
      <c r="S247" t="s">
        <v>1579</v>
      </c>
      <c r="T247" t="s">
        <v>219</v>
      </c>
      <c r="U247">
        <v>1</v>
      </c>
      <c r="V247">
        <v>602.70000000000005</v>
      </c>
      <c r="W247">
        <v>711.19</v>
      </c>
      <c r="X247">
        <v>0</v>
      </c>
      <c r="Y247">
        <v>602.70000000000005</v>
      </c>
      <c r="Z247">
        <v>18</v>
      </c>
      <c r="AA247">
        <v>108.49</v>
      </c>
      <c r="AB247">
        <v>711.19</v>
      </c>
      <c r="AC247">
        <v>1</v>
      </c>
      <c r="AE247" t="s">
        <v>239</v>
      </c>
      <c r="AF247" t="s">
        <v>29</v>
      </c>
      <c r="AG247">
        <v>2</v>
      </c>
      <c r="AH247" t="s">
        <v>25</v>
      </c>
      <c r="AI247">
        <v>1106</v>
      </c>
      <c r="AJ247" t="s">
        <v>246</v>
      </c>
      <c r="AK247" t="s">
        <v>1346</v>
      </c>
      <c r="AQ247" t="s">
        <v>533</v>
      </c>
      <c r="AS247" t="str">
        <f t="shared" si="4"/>
        <v>BB01696</v>
      </c>
    </row>
    <row r="248" spans="1:45" ht="15" customHeight="1">
      <c r="A248" t="s">
        <v>1349</v>
      </c>
      <c r="B248">
        <v>695</v>
      </c>
      <c r="C248" t="s">
        <v>27</v>
      </c>
      <c r="D248" s="8">
        <v>45680</v>
      </c>
      <c r="E248" s="22">
        <v>45946</v>
      </c>
      <c r="F248" t="s">
        <v>533</v>
      </c>
      <c r="H248">
        <v>1</v>
      </c>
      <c r="I248">
        <v>19889371</v>
      </c>
      <c r="J248" t="s">
        <v>1580</v>
      </c>
      <c r="K248" s="8">
        <v>45680</v>
      </c>
      <c r="Q248">
        <v>1</v>
      </c>
      <c r="R248">
        <v>937</v>
      </c>
      <c r="S248" t="s">
        <v>1370</v>
      </c>
      <c r="T248" t="s">
        <v>219</v>
      </c>
      <c r="U248">
        <v>1</v>
      </c>
      <c r="V248">
        <v>524.72</v>
      </c>
      <c r="W248">
        <v>619.16999999999996</v>
      </c>
      <c r="X248">
        <v>0</v>
      </c>
      <c r="Y248">
        <v>524.72</v>
      </c>
      <c r="Z248">
        <v>18</v>
      </c>
      <c r="AA248">
        <v>94.45</v>
      </c>
      <c r="AB248">
        <v>619.16999999999996</v>
      </c>
      <c r="AC248">
        <v>1</v>
      </c>
      <c r="AE248" t="s">
        <v>239</v>
      </c>
      <c r="AF248" t="s">
        <v>29</v>
      </c>
      <c r="AG248">
        <v>2</v>
      </c>
      <c r="AH248" t="s">
        <v>25</v>
      </c>
      <c r="AI248">
        <v>1106</v>
      </c>
      <c r="AJ248" t="s">
        <v>246</v>
      </c>
      <c r="AK248" t="s">
        <v>1346</v>
      </c>
      <c r="AQ248" t="s">
        <v>533</v>
      </c>
      <c r="AS248" t="str">
        <f t="shared" si="4"/>
        <v>BB01695</v>
      </c>
    </row>
    <row r="249" spans="1:45" ht="15" customHeight="1">
      <c r="A249" t="s">
        <v>1349</v>
      </c>
      <c r="B249">
        <v>694</v>
      </c>
      <c r="C249" t="s">
        <v>27</v>
      </c>
      <c r="D249" s="8">
        <v>45680</v>
      </c>
      <c r="E249" s="22">
        <v>45946</v>
      </c>
      <c r="F249" t="s">
        <v>540</v>
      </c>
      <c r="H249">
        <v>1</v>
      </c>
      <c r="I249">
        <v>76561182</v>
      </c>
      <c r="J249" t="s">
        <v>1581</v>
      </c>
      <c r="K249" s="8">
        <v>45680</v>
      </c>
      <c r="Q249">
        <v>1</v>
      </c>
      <c r="R249">
        <v>936</v>
      </c>
      <c r="S249" t="s">
        <v>1374</v>
      </c>
      <c r="T249" t="s">
        <v>219</v>
      </c>
      <c r="U249">
        <v>1</v>
      </c>
      <c r="V249">
        <v>602.70000000000005</v>
      </c>
      <c r="W249">
        <v>711.19</v>
      </c>
      <c r="X249">
        <v>0</v>
      </c>
      <c r="Y249">
        <v>602.70000000000005</v>
      </c>
      <c r="Z249">
        <v>18</v>
      </c>
      <c r="AA249">
        <v>108.49</v>
      </c>
      <c r="AB249">
        <v>711.19</v>
      </c>
      <c r="AC249">
        <v>1</v>
      </c>
      <c r="AE249" t="s">
        <v>239</v>
      </c>
      <c r="AF249" t="s">
        <v>29</v>
      </c>
      <c r="AG249">
        <v>2</v>
      </c>
      <c r="AH249" t="s">
        <v>25</v>
      </c>
      <c r="AI249">
        <v>1106</v>
      </c>
      <c r="AJ249" t="s">
        <v>246</v>
      </c>
      <c r="AK249" t="s">
        <v>1346</v>
      </c>
      <c r="AQ249" t="s">
        <v>540</v>
      </c>
      <c r="AS249" t="str">
        <f t="shared" si="4"/>
        <v>BB01694</v>
      </c>
    </row>
    <row r="250" spans="1:45" ht="15" customHeight="1">
      <c r="A250" t="s">
        <v>1349</v>
      </c>
      <c r="B250">
        <v>693</v>
      </c>
      <c r="C250" t="s">
        <v>27</v>
      </c>
      <c r="D250" s="8">
        <v>45680</v>
      </c>
      <c r="E250" s="22">
        <v>45946</v>
      </c>
      <c r="F250" t="s">
        <v>540</v>
      </c>
      <c r="H250">
        <v>1</v>
      </c>
      <c r="I250">
        <v>76561182</v>
      </c>
      <c r="J250" t="s">
        <v>1582</v>
      </c>
      <c r="K250" s="8">
        <v>45680</v>
      </c>
      <c r="Q250">
        <v>1</v>
      </c>
      <c r="R250">
        <v>935</v>
      </c>
      <c r="S250" t="s">
        <v>1376</v>
      </c>
      <c r="T250" t="s">
        <v>219</v>
      </c>
      <c r="U250">
        <v>1</v>
      </c>
      <c r="V250">
        <v>524.72</v>
      </c>
      <c r="W250">
        <v>619.16999999999996</v>
      </c>
      <c r="X250">
        <v>0</v>
      </c>
      <c r="Y250">
        <v>524.72</v>
      </c>
      <c r="Z250">
        <v>18</v>
      </c>
      <c r="AA250">
        <v>94.45</v>
      </c>
      <c r="AB250">
        <v>619.16999999999996</v>
      </c>
      <c r="AC250">
        <v>1</v>
      </c>
      <c r="AE250" t="s">
        <v>239</v>
      </c>
      <c r="AF250" t="s">
        <v>29</v>
      </c>
      <c r="AG250">
        <v>2</v>
      </c>
      <c r="AH250" t="s">
        <v>25</v>
      </c>
      <c r="AI250">
        <v>1106</v>
      </c>
      <c r="AJ250" t="s">
        <v>246</v>
      </c>
      <c r="AK250" t="s">
        <v>1346</v>
      </c>
      <c r="AQ250" t="s">
        <v>540</v>
      </c>
      <c r="AS250" t="str">
        <f t="shared" si="4"/>
        <v>BB01693</v>
      </c>
    </row>
    <row r="251" spans="1:45" ht="15" customHeight="1">
      <c r="A251" t="s">
        <v>1349</v>
      </c>
      <c r="B251">
        <v>692</v>
      </c>
      <c r="C251" t="s">
        <v>27</v>
      </c>
      <c r="D251" s="8">
        <v>45680</v>
      </c>
      <c r="E251" s="22">
        <v>45946</v>
      </c>
      <c r="F251" t="s">
        <v>561</v>
      </c>
      <c r="G251" t="s">
        <v>158</v>
      </c>
      <c r="H251">
        <v>1</v>
      </c>
      <c r="I251">
        <v>73241854</v>
      </c>
      <c r="J251" t="s">
        <v>1583</v>
      </c>
      <c r="K251" s="8">
        <v>45680</v>
      </c>
      <c r="Q251">
        <v>1</v>
      </c>
      <c r="R251">
        <v>934</v>
      </c>
      <c r="S251" t="s">
        <v>1402</v>
      </c>
      <c r="T251" t="s">
        <v>219</v>
      </c>
      <c r="U251">
        <v>1</v>
      </c>
      <c r="V251">
        <v>24.11</v>
      </c>
      <c r="W251">
        <v>28.45</v>
      </c>
      <c r="X251">
        <v>0</v>
      </c>
      <c r="Y251">
        <v>24.11</v>
      </c>
      <c r="Z251">
        <v>18</v>
      </c>
      <c r="AA251">
        <v>4.34</v>
      </c>
      <c r="AB251">
        <v>28.45</v>
      </c>
      <c r="AC251">
        <v>1</v>
      </c>
      <c r="AE251" t="s">
        <v>239</v>
      </c>
      <c r="AF251" t="s">
        <v>29</v>
      </c>
      <c r="AG251">
        <v>2</v>
      </c>
      <c r="AH251" t="s">
        <v>25</v>
      </c>
      <c r="AI251">
        <v>1106</v>
      </c>
      <c r="AJ251" t="s">
        <v>246</v>
      </c>
      <c r="AK251" t="s">
        <v>1346</v>
      </c>
      <c r="AQ251" t="s">
        <v>561</v>
      </c>
      <c r="AS251" t="str">
        <f t="shared" si="4"/>
        <v>BB01692</v>
      </c>
    </row>
    <row r="252" spans="1:45" ht="15" customHeight="1">
      <c r="A252" t="s">
        <v>1349</v>
      </c>
      <c r="B252">
        <v>691</v>
      </c>
      <c r="C252" t="s">
        <v>27</v>
      </c>
      <c r="D252" s="8">
        <v>45680</v>
      </c>
      <c r="E252" s="22">
        <v>45946</v>
      </c>
      <c r="F252" t="s">
        <v>561</v>
      </c>
      <c r="G252" t="s">
        <v>158</v>
      </c>
      <c r="H252">
        <v>1</v>
      </c>
      <c r="I252">
        <v>73241854</v>
      </c>
      <c r="J252" t="s">
        <v>1584</v>
      </c>
      <c r="K252" s="8">
        <v>45680</v>
      </c>
      <c r="Q252">
        <v>1</v>
      </c>
      <c r="R252">
        <v>943</v>
      </c>
      <c r="S252" t="s">
        <v>1585</v>
      </c>
      <c r="T252" t="s">
        <v>219</v>
      </c>
      <c r="U252">
        <v>1</v>
      </c>
      <c r="V252">
        <v>20.99</v>
      </c>
      <c r="W252">
        <v>24.77</v>
      </c>
      <c r="X252">
        <v>0</v>
      </c>
      <c r="Y252">
        <v>20.99</v>
      </c>
      <c r="Z252">
        <v>18.010000000000002</v>
      </c>
      <c r="AA252">
        <v>3.78</v>
      </c>
      <c r="AB252">
        <v>24.77</v>
      </c>
      <c r="AC252">
        <v>1</v>
      </c>
      <c r="AE252" t="s">
        <v>239</v>
      </c>
      <c r="AF252" t="s">
        <v>29</v>
      </c>
      <c r="AG252">
        <v>2</v>
      </c>
      <c r="AH252" t="s">
        <v>25</v>
      </c>
      <c r="AI252">
        <v>1106</v>
      </c>
      <c r="AJ252" t="s">
        <v>246</v>
      </c>
      <c r="AK252" t="s">
        <v>1346</v>
      </c>
      <c r="AQ252" t="s">
        <v>561</v>
      </c>
      <c r="AS252" t="str">
        <f t="shared" si="4"/>
        <v>BB01691</v>
      </c>
    </row>
    <row r="253" spans="1:45" ht="15" customHeight="1">
      <c r="A253" t="s">
        <v>1349</v>
      </c>
      <c r="B253">
        <v>690</v>
      </c>
      <c r="C253" t="s">
        <v>27</v>
      </c>
      <c r="D253" s="8">
        <v>45680</v>
      </c>
      <c r="E253" s="22">
        <v>45946</v>
      </c>
      <c r="F253" t="s">
        <v>526</v>
      </c>
      <c r="H253">
        <v>1</v>
      </c>
      <c r="I253">
        <v>19941551</v>
      </c>
      <c r="J253" t="s">
        <v>1586</v>
      </c>
      <c r="K253" s="8">
        <v>45680</v>
      </c>
      <c r="Q253">
        <v>1</v>
      </c>
      <c r="R253">
        <v>940</v>
      </c>
      <c r="S253" t="s">
        <v>1362</v>
      </c>
      <c r="T253" t="s">
        <v>219</v>
      </c>
      <c r="U253">
        <v>1</v>
      </c>
      <c r="V253">
        <v>1029.3599999999999</v>
      </c>
      <c r="W253">
        <v>1214.6400000000001</v>
      </c>
      <c r="X253">
        <v>0</v>
      </c>
      <c r="Y253">
        <v>1029.3599999999999</v>
      </c>
      <c r="Z253">
        <v>18</v>
      </c>
      <c r="AA253">
        <v>185.28</v>
      </c>
      <c r="AB253">
        <v>1214.6400000000001</v>
      </c>
      <c r="AC253">
        <v>1</v>
      </c>
      <c r="AE253" t="s">
        <v>239</v>
      </c>
      <c r="AF253" t="s">
        <v>29</v>
      </c>
      <c r="AG253">
        <v>2</v>
      </c>
      <c r="AH253" t="s">
        <v>25</v>
      </c>
      <c r="AI253">
        <v>1106</v>
      </c>
      <c r="AJ253" t="s">
        <v>246</v>
      </c>
      <c r="AK253" t="s">
        <v>1346</v>
      </c>
      <c r="AQ253" t="s">
        <v>526</v>
      </c>
      <c r="AS253" t="str">
        <f t="shared" si="4"/>
        <v>BB01690</v>
      </c>
    </row>
    <row r="254" spans="1:45" ht="15" customHeight="1">
      <c r="A254" t="s">
        <v>1349</v>
      </c>
      <c r="B254">
        <v>689</v>
      </c>
      <c r="C254" t="s">
        <v>27</v>
      </c>
      <c r="D254" s="8">
        <v>45680</v>
      </c>
      <c r="E254" s="22">
        <v>45946</v>
      </c>
      <c r="F254" t="s">
        <v>526</v>
      </c>
      <c r="H254">
        <v>1</v>
      </c>
      <c r="I254">
        <v>19941551</v>
      </c>
      <c r="J254" t="s">
        <v>1587</v>
      </c>
      <c r="K254" s="8">
        <v>45680</v>
      </c>
      <c r="Q254">
        <v>1</v>
      </c>
      <c r="R254">
        <v>939</v>
      </c>
      <c r="S254" t="s">
        <v>1577</v>
      </c>
      <c r="T254" t="s">
        <v>219</v>
      </c>
      <c r="U254">
        <v>1</v>
      </c>
      <c r="V254">
        <v>886.52</v>
      </c>
      <c r="W254">
        <v>1046.0899999999999</v>
      </c>
      <c r="X254">
        <v>0</v>
      </c>
      <c r="Y254">
        <v>886.52</v>
      </c>
      <c r="Z254">
        <v>18</v>
      </c>
      <c r="AA254">
        <v>159.57</v>
      </c>
      <c r="AB254">
        <v>1046.0899999999999</v>
      </c>
      <c r="AC254">
        <v>1</v>
      </c>
      <c r="AE254" t="s">
        <v>239</v>
      </c>
      <c r="AF254" t="s">
        <v>29</v>
      </c>
      <c r="AG254">
        <v>2</v>
      </c>
      <c r="AH254" t="s">
        <v>25</v>
      </c>
      <c r="AI254">
        <v>1106</v>
      </c>
      <c r="AJ254" t="s">
        <v>246</v>
      </c>
      <c r="AK254" t="s">
        <v>1346</v>
      </c>
      <c r="AQ254" t="s">
        <v>526</v>
      </c>
      <c r="AS254" t="str">
        <f t="shared" si="4"/>
        <v>BB01689</v>
      </c>
    </row>
    <row r="255" spans="1:45" ht="15" customHeight="1">
      <c r="A255" t="s">
        <v>1349</v>
      </c>
      <c r="B255">
        <v>688</v>
      </c>
      <c r="C255" t="s">
        <v>27</v>
      </c>
      <c r="D255" s="8">
        <v>45680</v>
      </c>
      <c r="E255" s="22">
        <v>45946</v>
      </c>
      <c r="F255" t="s">
        <v>533</v>
      </c>
      <c r="H255">
        <v>1</v>
      </c>
      <c r="I255">
        <v>19889371</v>
      </c>
      <c r="J255" t="s">
        <v>1588</v>
      </c>
      <c r="K255" s="8">
        <v>45680</v>
      </c>
      <c r="Q255">
        <v>1</v>
      </c>
      <c r="R255">
        <v>942</v>
      </c>
      <c r="S255" t="s">
        <v>1579</v>
      </c>
      <c r="T255" t="s">
        <v>219</v>
      </c>
      <c r="U255">
        <v>1</v>
      </c>
      <c r="V255">
        <v>525.17999999999995</v>
      </c>
      <c r="W255">
        <v>619.71</v>
      </c>
      <c r="X255">
        <v>0</v>
      </c>
      <c r="Y255">
        <v>525.17999999999995</v>
      </c>
      <c r="Z255">
        <v>18</v>
      </c>
      <c r="AA255">
        <v>94.53</v>
      </c>
      <c r="AB255">
        <v>619.71</v>
      </c>
      <c r="AC255">
        <v>1</v>
      </c>
      <c r="AE255" t="s">
        <v>239</v>
      </c>
      <c r="AF255" t="s">
        <v>29</v>
      </c>
      <c r="AG255">
        <v>2</v>
      </c>
      <c r="AH255" t="s">
        <v>25</v>
      </c>
      <c r="AI255">
        <v>1106</v>
      </c>
      <c r="AJ255" t="s">
        <v>246</v>
      </c>
      <c r="AK255" t="s">
        <v>1346</v>
      </c>
      <c r="AQ255" t="s">
        <v>533</v>
      </c>
      <c r="AS255" t="str">
        <f t="shared" si="4"/>
        <v>BB01688</v>
      </c>
    </row>
    <row r="256" spans="1:45" ht="15" customHeight="1">
      <c r="A256" t="s">
        <v>1349</v>
      </c>
      <c r="B256">
        <v>687</v>
      </c>
      <c r="C256" t="s">
        <v>27</v>
      </c>
      <c r="D256" s="8">
        <v>45680</v>
      </c>
      <c r="E256" s="22">
        <v>45946</v>
      </c>
      <c r="F256" t="s">
        <v>533</v>
      </c>
      <c r="H256">
        <v>1</v>
      </c>
      <c r="I256">
        <v>19889371</v>
      </c>
      <c r="J256" t="s">
        <v>1589</v>
      </c>
      <c r="K256" s="8">
        <v>45680</v>
      </c>
      <c r="Q256">
        <v>1</v>
      </c>
      <c r="R256">
        <v>937</v>
      </c>
      <c r="S256" t="s">
        <v>1370</v>
      </c>
      <c r="T256" t="s">
        <v>219</v>
      </c>
      <c r="U256">
        <v>1</v>
      </c>
      <c r="V256">
        <v>452.31</v>
      </c>
      <c r="W256">
        <v>533.72</v>
      </c>
      <c r="X256">
        <v>0</v>
      </c>
      <c r="Y256">
        <v>452.31</v>
      </c>
      <c r="Z256">
        <v>18</v>
      </c>
      <c r="AA256">
        <v>81.41</v>
      </c>
      <c r="AB256">
        <v>533.72</v>
      </c>
      <c r="AC256">
        <v>1</v>
      </c>
      <c r="AE256" t="s">
        <v>239</v>
      </c>
      <c r="AF256" t="s">
        <v>29</v>
      </c>
      <c r="AG256">
        <v>2</v>
      </c>
      <c r="AH256" t="s">
        <v>25</v>
      </c>
      <c r="AI256">
        <v>1106</v>
      </c>
      <c r="AJ256" t="s">
        <v>246</v>
      </c>
      <c r="AK256" t="s">
        <v>1346</v>
      </c>
      <c r="AQ256" t="s">
        <v>533</v>
      </c>
      <c r="AS256" t="str">
        <f t="shared" si="4"/>
        <v>BB01687</v>
      </c>
    </row>
    <row r="257" spans="1:45" ht="15" customHeight="1">
      <c r="A257" t="s">
        <v>1349</v>
      </c>
      <c r="B257">
        <v>686</v>
      </c>
      <c r="C257" t="s">
        <v>27</v>
      </c>
      <c r="D257" s="8">
        <v>45680</v>
      </c>
      <c r="E257" s="22">
        <v>45946</v>
      </c>
      <c r="F257" t="s">
        <v>540</v>
      </c>
      <c r="H257">
        <v>1</v>
      </c>
      <c r="I257">
        <v>76561182</v>
      </c>
      <c r="J257" t="s">
        <v>1590</v>
      </c>
      <c r="K257" s="8">
        <v>45680</v>
      </c>
      <c r="Q257">
        <v>1</v>
      </c>
      <c r="R257">
        <v>941</v>
      </c>
      <c r="S257" t="s">
        <v>1591</v>
      </c>
      <c r="T257" t="s">
        <v>219</v>
      </c>
      <c r="U257">
        <v>1</v>
      </c>
      <c r="V257">
        <v>525.17999999999995</v>
      </c>
      <c r="W257">
        <v>619.71</v>
      </c>
      <c r="X257">
        <v>0</v>
      </c>
      <c r="Y257">
        <v>525.17999999999995</v>
      </c>
      <c r="Z257">
        <v>18</v>
      </c>
      <c r="AA257">
        <v>94.53</v>
      </c>
      <c r="AB257">
        <v>619.71</v>
      </c>
      <c r="AC257">
        <v>1</v>
      </c>
      <c r="AE257" t="s">
        <v>239</v>
      </c>
      <c r="AF257" t="s">
        <v>29</v>
      </c>
      <c r="AG257">
        <v>2</v>
      </c>
      <c r="AH257" t="s">
        <v>25</v>
      </c>
      <c r="AI257">
        <v>1106</v>
      </c>
      <c r="AJ257" t="s">
        <v>246</v>
      </c>
      <c r="AK257" t="s">
        <v>1346</v>
      </c>
      <c r="AQ257" t="s">
        <v>540</v>
      </c>
      <c r="AS257" t="str">
        <f t="shared" si="4"/>
        <v>BB01686</v>
      </c>
    </row>
    <row r="258" spans="1:45" ht="15" customHeight="1">
      <c r="A258" t="s">
        <v>1349</v>
      </c>
      <c r="B258">
        <v>685</v>
      </c>
      <c r="C258" t="s">
        <v>27</v>
      </c>
      <c r="D258" s="8">
        <v>45680</v>
      </c>
      <c r="E258" s="22">
        <v>45946</v>
      </c>
      <c r="F258" t="s">
        <v>540</v>
      </c>
      <c r="H258">
        <v>1</v>
      </c>
      <c r="I258">
        <v>76561182</v>
      </c>
      <c r="J258" t="s">
        <v>1592</v>
      </c>
      <c r="K258" s="8">
        <v>45680</v>
      </c>
      <c r="Q258">
        <v>1</v>
      </c>
      <c r="R258">
        <v>935</v>
      </c>
      <c r="S258" t="s">
        <v>1376</v>
      </c>
      <c r="T258" t="s">
        <v>219</v>
      </c>
      <c r="U258">
        <v>1</v>
      </c>
      <c r="V258">
        <v>452.31</v>
      </c>
      <c r="W258">
        <v>533.72</v>
      </c>
      <c r="X258">
        <v>0</v>
      </c>
      <c r="Y258">
        <v>452.31</v>
      </c>
      <c r="Z258">
        <v>18</v>
      </c>
      <c r="AA258">
        <v>81.41</v>
      </c>
      <c r="AB258">
        <v>533.72</v>
      </c>
      <c r="AC258">
        <v>1</v>
      </c>
      <c r="AE258" t="s">
        <v>239</v>
      </c>
      <c r="AF258" t="s">
        <v>29</v>
      </c>
      <c r="AG258">
        <v>2</v>
      </c>
      <c r="AH258" t="s">
        <v>25</v>
      </c>
      <c r="AI258">
        <v>1106</v>
      </c>
      <c r="AJ258" t="s">
        <v>246</v>
      </c>
      <c r="AK258" t="s">
        <v>1346</v>
      </c>
      <c r="AQ258" t="s">
        <v>540</v>
      </c>
      <c r="AS258" t="str">
        <f t="shared" si="4"/>
        <v>BB01685</v>
      </c>
    </row>
    <row r="259" spans="1:45" ht="15" customHeight="1">
      <c r="A259" t="s">
        <v>1349</v>
      </c>
      <c r="B259">
        <v>684</v>
      </c>
      <c r="C259" t="s">
        <v>27</v>
      </c>
      <c r="D259" s="8">
        <v>45680</v>
      </c>
      <c r="E259" s="22">
        <v>45946</v>
      </c>
      <c r="F259" t="s">
        <v>561</v>
      </c>
      <c r="G259" t="s">
        <v>158</v>
      </c>
      <c r="H259">
        <v>1</v>
      </c>
      <c r="I259">
        <v>73241854</v>
      </c>
      <c r="J259" t="s">
        <v>1593</v>
      </c>
      <c r="K259" s="8">
        <v>45680</v>
      </c>
      <c r="Q259">
        <v>1</v>
      </c>
      <c r="R259">
        <v>934</v>
      </c>
      <c r="S259" t="s">
        <v>1402</v>
      </c>
      <c r="T259" t="s">
        <v>219</v>
      </c>
      <c r="U259">
        <v>1</v>
      </c>
      <c r="V259">
        <v>21.01</v>
      </c>
      <c r="W259">
        <v>24.79</v>
      </c>
      <c r="X259">
        <v>0</v>
      </c>
      <c r="Y259">
        <v>21.01</v>
      </c>
      <c r="Z259">
        <v>17.989999999999998</v>
      </c>
      <c r="AA259">
        <v>3.78</v>
      </c>
      <c r="AB259">
        <v>24.79</v>
      </c>
      <c r="AC259">
        <v>1</v>
      </c>
      <c r="AE259" t="s">
        <v>239</v>
      </c>
      <c r="AF259" t="s">
        <v>29</v>
      </c>
      <c r="AG259">
        <v>2</v>
      </c>
      <c r="AH259" t="s">
        <v>25</v>
      </c>
      <c r="AI259">
        <v>1106</v>
      </c>
      <c r="AJ259" t="s">
        <v>246</v>
      </c>
      <c r="AK259" t="s">
        <v>1346</v>
      </c>
      <c r="AQ259" t="s">
        <v>561</v>
      </c>
      <c r="AS259" t="str">
        <f t="shared" si="4"/>
        <v>BB01684</v>
      </c>
    </row>
    <row r="260" spans="1:45" ht="15" customHeight="1">
      <c r="A260" t="s">
        <v>1349</v>
      </c>
      <c r="B260">
        <v>683</v>
      </c>
      <c r="C260" t="s">
        <v>27</v>
      </c>
      <c r="D260" s="8">
        <v>45680</v>
      </c>
      <c r="E260" s="22">
        <v>45946</v>
      </c>
      <c r="F260" t="s">
        <v>561</v>
      </c>
      <c r="G260" t="s">
        <v>158</v>
      </c>
      <c r="H260">
        <v>1</v>
      </c>
      <c r="I260">
        <v>73241854</v>
      </c>
      <c r="J260" t="s">
        <v>1594</v>
      </c>
      <c r="K260" s="8">
        <v>45680</v>
      </c>
      <c r="Q260">
        <v>1</v>
      </c>
      <c r="R260">
        <v>933</v>
      </c>
      <c r="S260" t="s">
        <v>1404</v>
      </c>
      <c r="T260" t="s">
        <v>219</v>
      </c>
      <c r="U260">
        <v>1</v>
      </c>
      <c r="V260">
        <v>18.09</v>
      </c>
      <c r="W260">
        <v>21.35</v>
      </c>
      <c r="X260">
        <v>0</v>
      </c>
      <c r="Y260">
        <v>18.09</v>
      </c>
      <c r="Z260">
        <v>18.02</v>
      </c>
      <c r="AA260">
        <v>3.26</v>
      </c>
      <c r="AB260">
        <v>21.35</v>
      </c>
      <c r="AC260">
        <v>1</v>
      </c>
      <c r="AE260" t="s">
        <v>239</v>
      </c>
      <c r="AF260" t="s">
        <v>29</v>
      </c>
      <c r="AG260">
        <v>2</v>
      </c>
      <c r="AH260" t="s">
        <v>25</v>
      </c>
      <c r="AI260">
        <v>1106</v>
      </c>
      <c r="AJ260" t="s">
        <v>246</v>
      </c>
      <c r="AK260" t="s">
        <v>1346</v>
      </c>
      <c r="AQ260" t="s">
        <v>561</v>
      </c>
      <c r="AS260" t="str">
        <f t="shared" si="4"/>
        <v>BB01683</v>
      </c>
    </row>
    <row r="261" spans="1:45" ht="15" customHeight="1">
      <c r="A261" t="s">
        <v>1349</v>
      </c>
      <c r="B261">
        <v>682</v>
      </c>
      <c r="C261" t="s">
        <v>27</v>
      </c>
      <c r="D261" s="8">
        <v>45680</v>
      </c>
      <c r="E261" s="22">
        <v>45946</v>
      </c>
      <c r="F261" t="s">
        <v>526</v>
      </c>
      <c r="H261">
        <v>1</v>
      </c>
      <c r="I261">
        <v>19941551</v>
      </c>
      <c r="J261" t="s">
        <v>1595</v>
      </c>
      <c r="K261" s="8">
        <v>45680</v>
      </c>
      <c r="Q261">
        <v>1</v>
      </c>
      <c r="R261">
        <v>940</v>
      </c>
      <c r="S261" t="s">
        <v>1362</v>
      </c>
      <c r="T261" t="s">
        <v>219</v>
      </c>
      <c r="U261">
        <v>1</v>
      </c>
      <c r="V261">
        <v>293.38</v>
      </c>
      <c r="W261">
        <v>346.19</v>
      </c>
      <c r="X261">
        <v>0</v>
      </c>
      <c r="Y261">
        <v>293.38</v>
      </c>
      <c r="Z261">
        <v>18</v>
      </c>
      <c r="AA261">
        <v>52.81</v>
      </c>
      <c r="AB261">
        <v>346.19</v>
      </c>
      <c r="AC261">
        <v>1</v>
      </c>
      <c r="AE261" t="s">
        <v>239</v>
      </c>
      <c r="AF261" t="s">
        <v>29</v>
      </c>
      <c r="AG261">
        <v>2</v>
      </c>
      <c r="AH261" t="s">
        <v>25</v>
      </c>
      <c r="AI261">
        <v>1106</v>
      </c>
      <c r="AJ261" t="s">
        <v>246</v>
      </c>
      <c r="AK261" t="s">
        <v>1346</v>
      </c>
      <c r="AQ261" t="s">
        <v>526</v>
      </c>
      <c r="AS261" t="str">
        <f t="shared" si="4"/>
        <v>BB01682</v>
      </c>
    </row>
    <row r="262" spans="1:45" ht="15" customHeight="1">
      <c r="A262" t="s">
        <v>1349</v>
      </c>
      <c r="B262">
        <v>681</v>
      </c>
      <c r="C262" t="s">
        <v>27</v>
      </c>
      <c r="D262" s="8">
        <v>45680</v>
      </c>
      <c r="E262" s="22">
        <v>45946</v>
      </c>
      <c r="F262" t="s">
        <v>526</v>
      </c>
      <c r="H262">
        <v>1</v>
      </c>
      <c r="I262">
        <v>19941551</v>
      </c>
      <c r="J262" t="s">
        <v>1596</v>
      </c>
      <c r="K262" s="8">
        <v>45680</v>
      </c>
      <c r="Q262">
        <v>1</v>
      </c>
      <c r="R262">
        <v>939</v>
      </c>
      <c r="S262" t="s">
        <v>1577</v>
      </c>
      <c r="T262" t="s">
        <v>219</v>
      </c>
      <c r="U262">
        <v>1</v>
      </c>
      <c r="V262">
        <v>248.53</v>
      </c>
      <c r="W262">
        <v>293.26</v>
      </c>
      <c r="X262">
        <v>0</v>
      </c>
      <c r="Y262">
        <v>248.53</v>
      </c>
      <c r="Z262">
        <v>18</v>
      </c>
      <c r="AA262">
        <v>44.73</v>
      </c>
      <c r="AB262">
        <v>293.26</v>
      </c>
      <c r="AC262">
        <v>1</v>
      </c>
      <c r="AE262" t="s">
        <v>239</v>
      </c>
      <c r="AF262" t="s">
        <v>29</v>
      </c>
      <c r="AG262">
        <v>2</v>
      </c>
      <c r="AH262" t="s">
        <v>25</v>
      </c>
      <c r="AI262">
        <v>1106</v>
      </c>
      <c r="AJ262" t="s">
        <v>246</v>
      </c>
      <c r="AK262" t="s">
        <v>1346</v>
      </c>
      <c r="AQ262" t="s">
        <v>526</v>
      </c>
      <c r="AS262" t="str">
        <f t="shared" si="4"/>
        <v>BB01681</v>
      </c>
    </row>
    <row r="263" spans="1:45" ht="15" customHeight="1">
      <c r="A263" t="s">
        <v>1349</v>
      </c>
      <c r="B263">
        <v>680</v>
      </c>
      <c r="C263" t="s">
        <v>27</v>
      </c>
      <c r="D263" s="8">
        <v>45680</v>
      </c>
      <c r="E263" s="22">
        <v>45946</v>
      </c>
      <c r="F263" t="s">
        <v>533</v>
      </c>
      <c r="H263">
        <v>1</v>
      </c>
      <c r="I263">
        <v>19889371</v>
      </c>
      <c r="J263" t="s">
        <v>1597</v>
      </c>
      <c r="K263" s="8">
        <v>45680</v>
      </c>
      <c r="Q263">
        <v>1</v>
      </c>
      <c r="R263">
        <v>938</v>
      </c>
      <c r="S263" t="s">
        <v>1368</v>
      </c>
      <c r="T263" t="s">
        <v>219</v>
      </c>
      <c r="U263">
        <v>1</v>
      </c>
      <c r="V263">
        <v>149.69</v>
      </c>
      <c r="W263">
        <v>176.63</v>
      </c>
      <c r="X263">
        <v>0</v>
      </c>
      <c r="Y263">
        <v>149.69</v>
      </c>
      <c r="Z263">
        <v>18</v>
      </c>
      <c r="AA263">
        <v>26.94</v>
      </c>
      <c r="AB263">
        <v>176.63</v>
      </c>
      <c r="AC263">
        <v>1</v>
      </c>
      <c r="AE263" t="s">
        <v>239</v>
      </c>
      <c r="AF263" t="s">
        <v>29</v>
      </c>
      <c r="AG263">
        <v>2</v>
      </c>
      <c r="AH263" t="s">
        <v>25</v>
      </c>
      <c r="AI263">
        <v>1106</v>
      </c>
      <c r="AJ263" t="s">
        <v>246</v>
      </c>
      <c r="AK263" t="s">
        <v>1346</v>
      </c>
      <c r="AQ263" t="s">
        <v>533</v>
      </c>
      <c r="AS263" t="str">
        <f t="shared" si="4"/>
        <v>BB01680</v>
      </c>
    </row>
    <row r="264" spans="1:45" ht="15" customHeight="1">
      <c r="A264" t="s">
        <v>1349</v>
      </c>
      <c r="B264">
        <v>679</v>
      </c>
      <c r="C264" t="s">
        <v>27</v>
      </c>
      <c r="D264" s="8">
        <v>45680</v>
      </c>
      <c r="E264" s="22">
        <v>45946</v>
      </c>
      <c r="F264" t="s">
        <v>533</v>
      </c>
      <c r="H264">
        <v>1</v>
      </c>
      <c r="I264">
        <v>19889371</v>
      </c>
      <c r="J264" t="s">
        <v>1598</v>
      </c>
      <c r="K264" s="8">
        <v>45680</v>
      </c>
      <c r="Q264">
        <v>1</v>
      </c>
      <c r="R264">
        <v>937</v>
      </c>
      <c r="S264" t="s">
        <v>1370</v>
      </c>
      <c r="T264" t="s">
        <v>219</v>
      </c>
      <c r="U264">
        <v>1</v>
      </c>
      <c r="V264">
        <v>126.8</v>
      </c>
      <c r="W264">
        <v>149.62</v>
      </c>
      <c r="X264">
        <v>0</v>
      </c>
      <c r="Y264">
        <v>126.8</v>
      </c>
      <c r="Z264">
        <v>18</v>
      </c>
      <c r="AA264">
        <v>22.82</v>
      </c>
      <c r="AB264">
        <v>149.62</v>
      </c>
      <c r="AC264">
        <v>1</v>
      </c>
      <c r="AE264" t="s">
        <v>239</v>
      </c>
      <c r="AF264" t="s">
        <v>29</v>
      </c>
      <c r="AG264">
        <v>2</v>
      </c>
      <c r="AH264" t="s">
        <v>25</v>
      </c>
      <c r="AI264">
        <v>1106</v>
      </c>
      <c r="AJ264" t="s">
        <v>246</v>
      </c>
      <c r="AK264" t="s">
        <v>1346</v>
      </c>
      <c r="AQ264" t="s">
        <v>533</v>
      </c>
      <c r="AS264" t="str">
        <f t="shared" si="4"/>
        <v>BB01679</v>
      </c>
    </row>
    <row r="265" spans="1:45" ht="15" customHeight="1">
      <c r="A265" t="s">
        <v>1349</v>
      </c>
      <c r="B265">
        <v>678</v>
      </c>
      <c r="C265" t="s">
        <v>27</v>
      </c>
      <c r="D265" s="8">
        <v>45680</v>
      </c>
      <c r="E265" s="22">
        <v>45946</v>
      </c>
      <c r="F265" t="s">
        <v>540</v>
      </c>
      <c r="H265">
        <v>1</v>
      </c>
      <c r="I265">
        <v>76561182</v>
      </c>
      <c r="J265" t="s">
        <v>1599</v>
      </c>
      <c r="K265" s="8">
        <v>45680</v>
      </c>
      <c r="Q265">
        <v>1</v>
      </c>
      <c r="R265">
        <v>936</v>
      </c>
      <c r="S265" t="s">
        <v>1374</v>
      </c>
      <c r="T265" t="s">
        <v>219</v>
      </c>
      <c r="U265">
        <v>1</v>
      </c>
      <c r="V265">
        <v>149.69</v>
      </c>
      <c r="W265">
        <v>176.63</v>
      </c>
      <c r="X265">
        <v>0</v>
      </c>
      <c r="Y265">
        <v>149.69</v>
      </c>
      <c r="Z265">
        <v>18</v>
      </c>
      <c r="AA265">
        <v>26.94</v>
      </c>
      <c r="AB265">
        <v>176.63</v>
      </c>
      <c r="AC265">
        <v>1</v>
      </c>
      <c r="AE265" t="s">
        <v>239</v>
      </c>
      <c r="AF265" t="s">
        <v>29</v>
      </c>
      <c r="AG265">
        <v>2</v>
      </c>
      <c r="AH265" t="s">
        <v>25</v>
      </c>
      <c r="AI265">
        <v>1106</v>
      </c>
      <c r="AJ265" t="s">
        <v>246</v>
      </c>
      <c r="AK265" t="s">
        <v>1346</v>
      </c>
      <c r="AQ265" t="s">
        <v>540</v>
      </c>
      <c r="AS265" t="str">
        <f t="shared" si="4"/>
        <v>BB01678</v>
      </c>
    </row>
    <row r="266" spans="1:45" ht="15" customHeight="1">
      <c r="A266" t="s">
        <v>1349</v>
      </c>
      <c r="B266">
        <v>677</v>
      </c>
      <c r="C266" t="s">
        <v>27</v>
      </c>
      <c r="D266" s="8">
        <v>45680</v>
      </c>
      <c r="E266" s="22">
        <v>45946</v>
      </c>
      <c r="F266" t="s">
        <v>540</v>
      </c>
      <c r="H266">
        <v>1</v>
      </c>
      <c r="I266">
        <v>76561182</v>
      </c>
      <c r="J266" t="s">
        <v>1600</v>
      </c>
      <c r="K266" s="8">
        <v>45680</v>
      </c>
      <c r="Q266">
        <v>1</v>
      </c>
      <c r="R266">
        <v>935</v>
      </c>
      <c r="S266" t="s">
        <v>1376</v>
      </c>
      <c r="T266" t="s">
        <v>219</v>
      </c>
      <c r="U266">
        <v>1</v>
      </c>
      <c r="V266">
        <v>126.8</v>
      </c>
      <c r="W266">
        <v>149.62</v>
      </c>
      <c r="X266">
        <v>0</v>
      </c>
      <c r="Y266">
        <v>126.8</v>
      </c>
      <c r="Z266">
        <v>18</v>
      </c>
      <c r="AA266">
        <v>22.82</v>
      </c>
      <c r="AB266">
        <v>149.62</v>
      </c>
      <c r="AC266">
        <v>1</v>
      </c>
      <c r="AE266" t="s">
        <v>239</v>
      </c>
      <c r="AF266" t="s">
        <v>29</v>
      </c>
      <c r="AG266">
        <v>2</v>
      </c>
      <c r="AH266" t="s">
        <v>25</v>
      </c>
      <c r="AI266">
        <v>1106</v>
      </c>
      <c r="AJ266" t="s">
        <v>246</v>
      </c>
      <c r="AK266" t="s">
        <v>1346</v>
      </c>
      <c r="AQ266" t="s">
        <v>540</v>
      </c>
      <c r="AS266" t="str">
        <f t="shared" si="4"/>
        <v>BB01677</v>
      </c>
    </row>
    <row r="267" spans="1:45" ht="15" customHeight="1">
      <c r="A267" t="s">
        <v>1349</v>
      </c>
      <c r="B267">
        <v>676</v>
      </c>
      <c r="C267" t="s">
        <v>27</v>
      </c>
      <c r="D267" s="8">
        <v>45680</v>
      </c>
      <c r="E267" s="22">
        <v>45946</v>
      </c>
      <c r="F267" t="s">
        <v>561</v>
      </c>
      <c r="G267" t="s">
        <v>158</v>
      </c>
      <c r="H267">
        <v>1</v>
      </c>
      <c r="I267">
        <v>73241854</v>
      </c>
      <c r="J267" t="s">
        <v>1601</v>
      </c>
      <c r="K267" s="8">
        <v>45680</v>
      </c>
      <c r="Q267">
        <v>1</v>
      </c>
      <c r="R267">
        <v>934</v>
      </c>
      <c r="S267" t="s">
        <v>1402</v>
      </c>
      <c r="T267" t="s">
        <v>219</v>
      </c>
      <c r="U267">
        <v>1</v>
      </c>
      <c r="V267">
        <v>5.99</v>
      </c>
      <c r="W267">
        <v>7.07</v>
      </c>
      <c r="X267">
        <v>0</v>
      </c>
      <c r="Y267">
        <v>5.99</v>
      </c>
      <c r="Z267">
        <v>18.03</v>
      </c>
      <c r="AA267">
        <v>1.08</v>
      </c>
      <c r="AB267">
        <v>7.07</v>
      </c>
      <c r="AC267">
        <v>1</v>
      </c>
      <c r="AE267" t="s">
        <v>239</v>
      </c>
      <c r="AF267" t="s">
        <v>29</v>
      </c>
      <c r="AG267">
        <v>2</v>
      </c>
      <c r="AH267" t="s">
        <v>25</v>
      </c>
      <c r="AI267">
        <v>1106</v>
      </c>
      <c r="AJ267" t="s">
        <v>246</v>
      </c>
      <c r="AK267" t="s">
        <v>1346</v>
      </c>
      <c r="AQ267" t="s">
        <v>561</v>
      </c>
      <c r="AS267" t="str">
        <f t="shared" si="4"/>
        <v>BB01676</v>
      </c>
    </row>
    <row r="268" spans="1:45" ht="15" customHeight="1">
      <c r="A268" t="s">
        <v>1349</v>
      </c>
      <c r="B268">
        <v>675</v>
      </c>
      <c r="C268" t="s">
        <v>27</v>
      </c>
      <c r="D268" s="8">
        <v>45680</v>
      </c>
      <c r="E268" s="22">
        <v>45946</v>
      </c>
      <c r="F268" t="s">
        <v>561</v>
      </c>
      <c r="G268" t="s">
        <v>158</v>
      </c>
      <c r="H268">
        <v>1</v>
      </c>
      <c r="I268">
        <v>73241854</v>
      </c>
      <c r="J268" t="s">
        <v>1602</v>
      </c>
      <c r="K268" s="8">
        <v>45680</v>
      </c>
      <c r="Q268">
        <v>1</v>
      </c>
      <c r="R268">
        <v>933</v>
      </c>
      <c r="S268" t="s">
        <v>1404</v>
      </c>
      <c r="T268" t="s">
        <v>219</v>
      </c>
      <c r="U268">
        <v>1</v>
      </c>
      <c r="V268">
        <v>5.07</v>
      </c>
      <c r="W268">
        <v>5.98</v>
      </c>
      <c r="X268">
        <v>0</v>
      </c>
      <c r="Y268">
        <v>5.07</v>
      </c>
      <c r="Z268">
        <v>17.95</v>
      </c>
      <c r="AA268">
        <v>0.91</v>
      </c>
      <c r="AB268">
        <v>5.98</v>
      </c>
      <c r="AC268">
        <v>1</v>
      </c>
      <c r="AE268" t="s">
        <v>239</v>
      </c>
      <c r="AF268" t="s">
        <v>29</v>
      </c>
      <c r="AG268">
        <v>2</v>
      </c>
      <c r="AH268" t="s">
        <v>25</v>
      </c>
      <c r="AI268">
        <v>1106</v>
      </c>
      <c r="AJ268" t="s">
        <v>246</v>
      </c>
      <c r="AK268" t="s">
        <v>1346</v>
      </c>
      <c r="AQ268" t="s">
        <v>561</v>
      </c>
      <c r="AS268" t="str">
        <f t="shared" si="4"/>
        <v>BB01675</v>
      </c>
    </row>
    <row r="269" spans="1:45" ht="15" customHeight="1">
      <c r="A269" t="s">
        <v>221</v>
      </c>
      <c r="B269">
        <v>1312</v>
      </c>
      <c r="C269" t="s">
        <v>27</v>
      </c>
      <c r="D269" s="8">
        <v>45680</v>
      </c>
      <c r="E269" s="22">
        <v>45946</v>
      </c>
      <c r="F269" t="s">
        <v>763</v>
      </c>
      <c r="H269">
        <v>6</v>
      </c>
      <c r="I269">
        <v>20612849251</v>
      </c>
      <c r="J269" t="s">
        <v>1603</v>
      </c>
      <c r="K269" s="8">
        <v>45680</v>
      </c>
      <c r="Q269">
        <v>1</v>
      </c>
      <c r="R269">
        <v>874</v>
      </c>
      <c r="S269" t="s">
        <v>1390</v>
      </c>
      <c r="T269" t="s">
        <v>219</v>
      </c>
      <c r="U269">
        <v>1</v>
      </c>
      <c r="V269">
        <v>25.35</v>
      </c>
      <c r="W269">
        <v>29.91</v>
      </c>
      <c r="X269">
        <v>0</v>
      </c>
      <c r="Y269">
        <v>25.35</v>
      </c>
      <c r="Z269">
        <v>17.989999999999998</v>
      </c>
      <c r="AA269">
        <v>4.5599999999999996</v>
      </c>
      <c r="AB269">
        <v>29.91</v>
      </c>
      <c r="AC269">
        <v>1</v>
      </c>
      <c r="AE269" t="s">
        <v>239</v>
      </c>
      <c r="AF269" t="s">
        <v>29</v>
      </c>
      <c r="AG269">
        <v>2</v>
      </c>
      <c r="AH269" t="s">
        <v>25</v>
      </c>
      <c r="AI269">
        <v>1106</v>
      </c>
      <c r="AJ269" t="s">
        <v>246</v>
      </c>
      <c r="AK269" t="s">
        <v>1346</v>
      </c>
      <c r="AQ269" t="s">
        <v>763</v>
      </c>
      <c r="AS269" t="str">
        <f t="shared" si="4"/>
        <v>FB011312</v>
      </c>
    </row>
    <row r="270" spans="1:45" ht="15" customHeight="1">
      <c r="A270" t="s">
        <v>221</v>
      </c>
      <c r="B270">
        <v>1311</v>
      </c>
      <c r="C270" t="s">
        <v>27</v>
      </c>
      <c r="D270" s="8">
        <v>45680</v>
      </c>
      <c r="E270" s="22">
        <v>45946</v>
      </c>
      <c r="F270" t="s">
        <v>763</v>
      </c>
      <c r="H270">
        <v>6</v>
      </c>
      <c r="I270">
        <v>20612849251</v>
      </c>
      <c r="J270" t="s">
        <v>1604</v>
      </c>
      <c r="K270" s="8">
        <v>45680</v>
      </c>
      <c r="Q270">
        <v>1</v>
      </c>
      <c r="R270">
        <v>932</v>
      </c>
      <c r="S270" t="s">
        <v>1605</v>
      </c>
      <c r="T270" t="s">
        <v>219</v>
      </c>
      <c r="U270">
        <v>1</v>
      </c>
      <c r="V270">
        <v>100</v>
      </c>
      <c r="W270">
        <v>118</v>
      </c>
      <c r="X270">
        <v>0</v>
      </c>
      <c r="Y270">
        <v>100</v>
      </c>
      <c r="Z270">
        <v>18</v>
      </c>
      <c r="AA270">
        <v>18</v>
      </c>
      <c r="AB270">
        <v>118</v>
      </c>
      <c r="AC270">
        <v>1</v>
      </c>
      <c r="AE270" t="s">
        <v>239</v>
      </c>
      <c r="AF270" t="s">
        <v>29</v>
      </c>
      <c r="AG270">
        <v>2</v>
      </c>
      <c r="AH270" t="s">
        <v>25</v>
      </c>
      <c r="AI270">
        <v>1106</v>
      </c>
      <c r="AJ270" t="s">
        <v>246</v>
      </c>
      <c r="AK270" t="s">
        <v>1396</v>
      </c>
      <c r="AQ270" t="s">
        <v>763</v>
      </c>
      <c r="AS270" t="str">
        <f t="shared" si="4"/>
        <v>FB011311</v>
      </c>
    </row>
    <row r="271" spans="1:45" ht="15" customHeight="1">
      <c r="A271" t="s">
        <v>221</v>
      </c>
      <c r="B271">
        <v>1310</v>
      </c>
      <c r="C271" t="s">
        <v>27</v>
      </c>
      <c r="D271" s="8">
        <v>45680</v>
      </c>
      <c r="E271" s="22">
        <v>45946</v>
      </c>
      <c r="F271" t="s">
        <v>763</v>
      </c>
      <c r="H271">
        <v>6</v>
      </c>
      <c r="I271">
        <v>20612849251</v>
      </c>
      <c r="J271" t="s">
        <v>1606</v>
      </c>
      <c r="K271" s="8">
        <v>45680</v>
      </c>
      <c r="Q271">
        <v>1</v>
      </c>
      <c r="R271">
        <v>931</v>
      </c>
      <c r="S271" t="s">
        <v>1607</v>
      </c>
      <c r="T271" t="s">
        <v>219</v>
      </c>
      <c r="U271">
        <v>1</v>
      </c>
      <c r="V271">
        <v>100</v>
      </c>
      <c r="W271">
        <v>118</v>
      </c>
      <c r="X271">
        <v>0</v>
      </c>
      <c r="Y271">
        <v>100</v>
      </c>
      <c r="Z271">
        <v>18</v>
      </c>
      <c r="AA271">
        <v>18</v>
      </c>
      <c r="AB271">
        <v>118</v>
      </c>
      <c r="AC271">
        <v>1</v>
      </c>
      <c r="AE271" t="s">
        <v>239</v>
      </c>
      <c r="AF271" t="s">
        <v>29</v>
      </c>
      <c r="AG271">
        <v>2</v>
      </c>
      <c r="AH271" t="s">
        <v>25</v>
      </c>
      <c r="AI271">
        <v>1106</v>
      </c>
      <c r="AJ271" t="s">
        <v>246</v>
      </c>
      <c r="AK271" t="s">
        <v>1396</v>
      </c>
      <c r="AQ271" t="s">
        <v>763</v>
      </c>
      <c r="AS271" t="str">
        <f t="shared" si="4"/>
        <v>FB011310</v>
      </c>
    </row>
    <row r="272" spans="1:45" ht="15" customHeight="1">
      <c r="A272" t="s">
        <v>221</v>
      </c>
      <c r="B272">
        <v>1309</v>
      </c>
      <c r="C272" t="s">
        <v>27</v>
      </c>
      <c r="D272" s="8">
        <v>45680</v>
      </c>
      <c r="E272" s="22">
        <v>45946</v>
      </c>
      <c r="F272" t="s">
        <v>763</v>
      </c>
      <c r="H272">
        <v>6</v>
      </c>
      <c r="I272">
        <v>20612849251</v>
      </c>
      <c r="J272" t="s">
        <v>1608</v>
      </c>
      <c r="K272" s="8">
        <v>45680</v>
      </c>
      <c r="Q272">
        <v>1</v>
      </c>
      <c r="R272">
        <v>877</v>
      </c>
      <c r="S272" t="s">
        <v>197</v>
      </c>
      <c r="T272" t="s">
        <v>219</v>
      </c>
      <c r="U272">
        <v>1</v>
      </c>
      <c r="V272">
        <v>6508.39</v>
      </c>
      <c r="W272">
        <v>7679.9</v>
      </c>
      <c r="X272">
        <v>0</v>
      </c>
      <c r="Y272">
        <v>6508.39</v>
      </c>
      <c r="Z272">
        <v>18</v>
      </c>
      <c r="AA272">
        <v>1171.51</v>
      </c>
      <c r="AB272">
        <v>7679.9</v>
      </c>
      <c r="AC272">
        <v>1</v>
      </c>
      <c r="AE272" t="s">
        <v>239</v>
      </c>
      <c r="AF272" t="s">
        <v>29</v>
      </c>
      <c r="AG272">
        <v>2</v>
      </c>
      <c r="AH272" t="s">
        <v>25</v>
      </c>
      <c r="AI272">
        <v>1106</v>
      </c>
      <c r="AJ272" t="s">
        <v>246</v>
      </c>
      <c r="AK272" t="s">
        <v>1346</v>
      </c>
      <c r="AQ272" t="s">
        <v>763</v>
      </c>
      <c r="AS272" t="str">
        <f t="shared" si="4"/>
        <v>FB011309</v>
      </c>
    </row>
    <row r="273" spans="1:45" ht="15" customHeight="1">
      <c r="A273" t="s">
        <v>221</v>
      </c>
      <c r="B273">
        <v>1308</v>
      </c>
      <c r="C273" t="s">
        <v>27</v>
      </c>
      <c r="D273" s="8">
        <v>45680</v>
      </c>
      <c r="E273" s="22">
        <v>45946</v>
      </c>
      <c r="F273" t="s">
        <v>763</v>
      </c>
      <c r="H273">
        <v>6</v>
      </c>
      <c r="I273">
        <v>20612849251</v>
      </c>
      <c r="J273" t="s">
        <v>1609</v>
      </c>
      <c r="K273" s="8">
        <v>45680</v>
      </c>
      <c r="Q273">
        <v>1</v>
      </c>
      <c r="R273">
        <v>870</v>
      </c>
      <c r="S273" t="s">
        <v>1227</v>
      </c>
      <c r="T273" t="s">
        <v>219</v>
      </c>
      <c r="U273">
        <v>1</v>
      </c>
      <c r="V273">
        <v>5640.85</v>
      </c>
      <c r="W273">
        <v>6656.2</v>
      </c>
      <c r="X273">
        <v>0</v>
      </c>
      <c r="Y273">
        <v>5640.85</v>
      </c>
      <c r="Z273">
        <v>18</v>
      </c>
      <c r="AA273">
        <v>1015.35</v>
      </c>
      <c r="AB273">
        <v>6656.2</v>
      </c>
      <c r="AC273">
        <v>1</v>
      </c>
      <c r="AE273" t="s">
        <v>239</v>
      </c>
      <c r="AF273" t="s">
        <v>29</v>
      </c>
      <c r="AG273">
        <v>2</v>
      </c>
      <c r="AH273" t="s">
        <v>25</v>
      </c>
      <c r="AI273">
        <v>1106</v>
      </c>
      <c r="AJ273" t="s">
        <v>246</v>
      </c>
      <c r="AK273" t="s">
        <v>1346</v>
      </c>
      <c r="AQ273" t="s">
        <v>763</v>
      </c>
      <c r="AS273" t="str">
        <f t="shared" si="4"/>
        <v>FB011308</v>
      </c>
    </row>
    <row r="274" spans="1:45" ht="15" customHeight="1">
      <c r="A274" t="s">
        <v>221</v>
      </c>
      <c r="B274">
        <v>1307</v>
      </c>
      <c r="C274" t="s">
        <v>27</v>
      </c>
      <c r="D274" s="8">
        <v>45680</v>
      </c>
      <c r="E274" s="22">
        <v>45946</v>
      </c>
      <c r="F274" t="s">
        <v>1353</v>
      </c>
      <c r="G274" t="s">
        <v>158</v>
      </c>
      <c r="H274">
        <v>6</v>
      </c>
      <c r="I274">
        <v>20602855733</v>
      </c>
      <c r="J274" t="s">
        <v>1610</v>
      </c>
      <c r="K274" s="8">
        <v>45680</v>
      </c>
      <c r="Q274">
        <v>1</v>
      </c>
      <c r="R274">
        <v>877</v>
      </c>
      <c r="S274" t="s">
        <v>197</v>
      </c>
      <c r="T274" t="s">
        <v>219</v>
      </c>
      <c r="U274">
        <v>1</v>
      </c>
      <c r="V274">
        <v>170</v>
      </c>
      <c r="W274">
        <v>200.6</v>
      </c>
      <c r="X274">
        <v>0</v>
      </c>
      <c r="Y274">
        <v>170</v>
      </c>
      <c r="Z274">
        <v>18</v>
      </c>
      <c r="AA274">
        <v>30.6</v>
      </c>
      <c r="AB274">
        <v>200.6</v>
      </c>
      <c r="AC274">
        <v>1</v>
      </c>
      <c r="AE274" t="s">
        <v>239</v>
      </c>
      <c r="AF274" t="s">
        <v>29</v>
      </c>
      <c r="AG274">
        <v>2</v>
      </c>
      <c r="AH274" t="s">
        <v>25</v>
      </c>
      <c r="AI274">
        <v>1106</v>
      </c>
      <c r="AJ274" t="s">
        <v>246</v>
      </c>
      <c r="AK274" t="s">
        <v>1346</v>
      </c>
      <c r="AQ274" t="s">
        <v>1353</v>
      </c>
      <c r="AS274" t="str">
        <f t="shared" si="4"/>
        <v>FB011307</v>
      </c>
    </row>
    <row r="275" spans="1:45" ht="15" customHeight="1">
      <c r="A275" t="s">
        <v>221</v>
      </c>
      <c r="B275">
        <v>1306</v>
      </c>
      <c r="C275" t="s">
        <v>27</v>
      </c>
      <c r="D275" s="8">
        <v>45680</v>
      </c>
      <c r="E275" s="22">
        <v>45946</v>
      </c>
      <c r="F275" t="s">
        <v>1353</v>
      </c>
      <c r="G275" t="s">
        <v>158</v>
      </c>
      <c r="H275">
        <v>6</v>
      </c>
      <c r="I275">
        <v>20602855733</v>
      </c>
      <c r="J275" t="s">
        <v>1611</v>
      </c>
      <c r="K275" s="8">
        <v>45680</v>
      </c>
      <c r="Q275">
        <v>1</v>
      </c>
      <c r="R275">
        <v>870</v>
      </c>
      <c r="S275" t="s">
        <v>1227</v>
      </c>
      <c r="T275" t="s">
        <v>219</v>
      </c>
      <c r="U275">
        <v>1</v>
      </c>
      <c r="V275">
        <v>187.63</v>
      </c>
      <c r="W275">
        <v>221.4</v>
      </c>
      <c r="X275">
        <v>0</v>
      </c>
      <c r="Y275">
        <v>187.63</v>
      </c>
      <c r="Z275">
        <v>18</v>
      </c>
      <c r="AA275">
        <v>33.770000000000003</v>
      </c>
      <c r="AB275">
        <v>221.4</v>
      </c>
      <c r="AC275">
        <v>1</v>
      </c>
      <c r="AE275" t="s">
        <v>239</v>
      </c>
      <c r="AF275" t="s">
        <v>29</v>
      </c>
      <c r="AG275">
        <v>2</v>
      </c>
      <c r="AH275" t="s">
        <v>25</v>
      </c>
      <c r="AI275">
        <v>1106</v>
      </c>
      <c r="AJ275" t="s">
        <v>246</v>
      </c>
      <c r="AK275" t="s">
        <v>1346</v>
      </c>
      <c r="AQ275" t="s">
        <v>1353</v>
      </c>
      <c r="AS275" t="str">
        <f t="shared" si="4"/>
        <v>FB011306</v>
      </c>
    </row>
    <row r="276" spans="1:45" ht="15" customHeight="1">
      <c r="A276" t="s">
        <v>221</v>
      </c>
      <c r="B276">
        <v>1305</v>
      </c>
      <c r="C276" t="s">
        <v>27</v>
      </c>
      <c r="D276" s="8">
        <v>45680</v>
      </c>
      <c r="E276" s="22">
        <v>45946</v>
      </c>
      <c r="F276" t="s">
        <v>469</v>
      </c>
      <c r="G276" t="s">
        <v>158</v>
      </c>
      <c r="H276">
        <v>6</v>
      </c>
      <c r="I276">
        <v>20608627422</v>
      </c>
      <c r="J276" t="s">
        <v>1612</v>
      </c>
      <c r="K276" s="8">
        <v>45680</v>
      </c>
      <c r="Q276">
        <v>1</v>
      </c>
      <c r="R276">
        <v>874</v>
      </c>
      <c r="S276" t="s">
        <v>1390</v>
      </c>
      <c r="T276" t="s">
        <v>219</v>
      </c>
      <c r="U276">
        <v>1</v>
      </c>
      <c r="V276">
        <v>5</v>
      </c>
      <c r="W276">
        <v>5.9</v>
      </c>
      <c r="X276">
        <v>0</v>
      </c>
      <c r="Y276">
        <v>5</v>
      </c>
      <c r="Z276">
        <v>18</v>
      </c>
      <c r="AA276">
        <v>0.9</v>
      </c>
      <c r="AB276">
        <v>5.9</v>
      </c>
      <c r="AC276">
        <v>1</v>
      </c>
      <c r="AE276" t="s">
        <v>239</v>
      </c>
      <c r="AF276" t="s">
        <v>29</v>
      </c>
      <c r="AG276">
        <v>2</v>
      </c>
      <c r="AH276" t="s">
        <v>25</v>
      </c>
      <c r="AI276">
        <v>1106</v>
      </c>
      <c r="AJ276" t="s">
        <v>246</v>
      </c>
      <c r="AK276" t="s">
        <v>1346</v>
      </c>
      <c r="AQ276" t="s">
        <v>469</v>
      </c>
      <c r="AS276" t="str">
        <f t="shared" si="4"/>
        <v>FB011305</v>
      </c>
    </row>
    <row r="277" spans="1:45" ht="15" customHeight="1">
      <c r="A277" t="s">
        <v>221</v>
      </c>
      <c r="B277">
        <v>1304</v>
      </c>
      <c r="C277" t="s">
        <v>27</v>
      </c>
      <c r="D277" s="8">
        <v>45680</v>
      </c>
      <c r="E277" s="22">
        <v>45946</v>
      </c>
      <c r="F277" t="s">
        <v>469</v>
      </c>
      <c r="G277" t="s">
        <v>158</v>
      </c>
      <c r="H277">
        <v>6</v>
      </c>
      <c r="I277">
        <v>20608627422</v>
      </c>
      <c r="J277" t="s">
        <v>1613</v>
      </c>
      <c r="K277" s="8">
        <v>45680</v>
      </c>
      <c r="Q277">
        <v>1</v>
      </c>
      <c r="R277">
        <v>877</v>
      </c>
      <c r="S277" t="s">
        <v>197</v>
      </c>
      <c r="T277" t="s">
        <v>219</v>
      </c>
      <c r="U277">
        <v>1</v>
      </c>
      <c r="V277">
        <v>400.93</v>
      </c>
      <c r="W277">
        <v>473.1</v>
      </c>
      <c r="X277">
        <v>0</v>
      </c>
      <c r="Y277">
        <v>400.93</v>
      </c>
      <c r="Z277">
        <v>18</v>
      </c>
      <c r="AA277">
        <v>72.17</v>
      </c>
      <c r="AB277">
        <v>473.1</v>
      </c>
      <c r="AC277">
        <v>1</v>
      </c>
      <c r="AE277" t="s">
        <v>239</v>
      </c>
      <c r="AF277" t="s">
        <v>29</v>
      </c>
      <c r="AG277">
        <v>2</v>
      </c>
      <c r="AH277" t="s">
        <v>25</v>
      </c>
      <c r="AI277">
        <v>1106</v>
      </c>
      <c r="AJ277" t="s">
        <v>246</v>
      </c>
      <c r="AK277" t="s">
        <v>1346</v>
      </c>
      <c r="AQ277" t="s">
        <v>469</v>
      </c>
      <c r="AS277" t="str">
        <f t="shared" ref="AS277:AS340" si="5">+CONCATENATE(A277,B277)</f>
        <v>FB011304</v>
      </c>
    </row>
    <row r="278" spans="1:45" ht="15" customHeight="1">
      <c r="A278" t="s">
        <v>221</v>
      </c>
      <c r="B278">
        <v>1303</v>
      </c>
      <c r="C278" t="s">
        <v>27</v>
      </c>
      <c r="D278" s="8">
        <v>45680</v>
      </c>
      <c r="E278" s="22">
        <v>45946</v>
      </c>
      <c r="F278" t="s">
        <v>469</v>
      </c>
      <c r="G278" t="s">
        <v>158</v>
      </c>
      <c r="H278">
        <v>6</v>
      </c>
      <c r="I278">
        <v>20608627422</v>
      </c>
      <c r="J278" t="s">
        <v>1614</v>
      </c>
      <c r="K278" s="8">
        <v>45680</v>
      </c>
      <c r="Q278">
        <v>1</v>
      </c>
      <c r="R278">
        <v>870</v>
      </c>
      <c r="S278" t="s">
        <v>1227</v>
      </c>
      <c r="T278" t="s">
        <v>219</v>
      </c>
      <c r="U278">
        <v>1</v>
      </c>
      <c r="V278">
        <v>289.32</v>
      </c>
      <c r="W278">
        <v>341.4</v>
      </c>
      <c r="X278">
        <v>0</v>
      </c>
      <c r="Y278">
        <v>289.32</v>
      </c>
      <c r="Z278">
        <v>18</v>
      </c>
      <c r="AA278">
        <v>52.08</v>
      </c>
      <c r="AB278">
        <v>341.4</v>
      </c>
      <c r="AC278">
        <v>1</v>
      </c>
      <c r="AE278" t="s">
        <v>239</v>
      </c>
      <c r="AF278" t="s">
        <v>29</v>
      </c>
      <c r="AG278">
        <v>2</v>
      </c>
      <c r="AH278" t="s">
        <v>25</v>
      </c>
      <c r="AI278">
        <v>1106</v>
      </c>
      <c r="AJ278" t="s">
        <v>246</v>
      </c>
      <c r="AK278" t="s">
        <v>1346</v>
      </c>
      <c r="AQ278" t="s">
        <v>469</v>
      </c>
      <c r="AS278" t="str">
        <f t="shared" si="5"/>
        <v>FB011303</v>
      </c>
    </row>
    <row r="279" spans="1:45" ht="15" customHeight="1">
      <c r="A279" t="s">
        <v>221</v>
      </c>
      <c r="B279">
        <v>1302</v>
      </c>
      <c r="C279" t="s">
        <v>27</v>
      </c>
      <c r="D279" s="8">
        <v>45680</v>
      </c>
      <c r="E279" s="22">
        <v>45946</v>
      </c>
      <c r="F279" t="s">
        <v>449</v>
      </c>
      <c r="H279">
        <v>6</v>
      </c>
      <c r="I279">
        <v>20609584719</v>
      </c>
      <c r="J279" t="s">
        <v>1615</v>
      </c>
      <c r="K279" s="8">
        <v>45680</v>
      </c>
      <c r="Q279">
        <v>1</v>
      </c>
      <c r="R279">
        <v>877</v>
      </c>
      <c r="S279" t="s">
        <v>197</v>
      </c>
      <c r="T279" t="s">
        <v>219</v>
      </c>
      <c r="U279">
        <v>1</v>
      </c>
      <c r="V279">
        <v>106.95</v>
      </c>
      <c r="W279">
        <v>126.2</v>
      </c>
      <c r="X279">
        <v>0</v>
      </c>
      <c r="Y279">
        <v>106.95</v>
      </c>
      <c r="Z279">
        <v>18</v>
      </c>
      <c r="AA279">
        <v>19.25</v>
      </c>
      <c r="AB279">
        <v>126.2</v>
      </c>
      <c r="AC279">
        <v>1</v>
      </c>
      <c r="AE279" t="s">
        <v>239</v>
      </c>
      <c r="AF279" t="s">
        <v>29</v>
      </c>
      <c r="AG279">
        <v>2</v>
      </c>
      <c r="AH279" t="s">
        <v>25</v>
      </c>
      <c r="AI279">
        <v>1106</v>
      </c>
      <c r="AJ279" t="s">
        <v>246</v>
      </c>
      <c r="AK279" t="s">
        <v>1346</v>
      </c>
      <c r="AQ279" t="s">
        <v>449</v>
      </c>
      <c r="AS279" t="str">
        <f t="shared" si="5"/>
        <v>FB011302</v>
      </c>
    </row>
    <row r="280" spans="1:45" ht="15" customHeight="1">
      <c r="A280" t="s">
        <v>221</v>
      </c>
      <c r="B280">
        <v>1301</v>
      </c>
      <c r="C280" t="s">
        <v>27</v>
      </c>
      <c r="D280" s="8">
        <v>45680</v>
      </c>
      <c r="E280" s="22">
        <v>45946</v>
      </c>
      <c r="F280" t="s">
        <v>449</v>
      </c>
      <c r="H280">
        <v>6</v>
      </c>
      <c r="I280">
        <v>20609584719</v>
      </c>
      <c r="J280" t="s">
        <v>1616</v>
      </c>
      <c r="K280" s="8">
        <v>45680</v>
      </c>
      <c r="Q280">
        <v>1</v>
      </c>
      <c r="R280">
        <v>870</v>
      </c>
      <c r="S280" t="s">
        <v>1227</v>
      </c>
      <c r="T280" t="s">
        <v>219</v>
      </c>
      <c r="U280">
        <v>1</v>
      </c>
      <c r="V280">
        <v>66.69</v>
      </c>
      <c r="W280">
        <v>78.7</v>
      </c>
      <c r="X280">
        <v>0</v>
      </c>
      <c r="Y280">
        <v>66.69</v>
      </c>
      <c r="Z280">
        <v>18.010000000000002</v>
      </c>
      <c r="AA280">
        <v>12.01</v>
      </c>
      <c r="AB280">
        <v>78.7</v>
      </c>
      <c r="AC280">
        <v>1</v>
      </c>
      <c r="AE280" t="s">
        <v>239</v>
      </c>
      <c r="AF280" t="s">
        <v>29</v>
      </c>
      <c r="AG280">
        <v>2</v>
      </c>
      <c r="AH280" t="s">
        <v>25</v>
      </c>
      <c r="AI280">
        <v>1106</v>
      </c>
      <c r="AJ280" t="s">
        <v>246</v>
      </c>
      <c r="AK280" t="s">
        <v>1346</v>
      </c>
      <c r="AQ280" t="s">
        <v>449</v>
      </c>
      <c r="AS280" t="str">
        <f t="shared" si="5"/>
        <v>FB011301</v>
      </c>
    </row>
    <row r="281" spans="1:45" ht="15" customHeight="1">
      <c r="A281" t="s">
        <v>221</v>
      </c>
      <c r="B281">
        <v>1300</v>
      </c>
      <c r="C281" t="s">
        <v>27</v>
      </c>
      <c r="D281" s="8">
        <v>45680</v>
      </c>
      <c r="E281" s="22">
        <v>45946</v>
      </c>
      <c r="F281" t="s">
        <v>459</v>
      </c>
      <c r="H281">
        <v>6</v>
      </c>
      <c r="I281">
        <v>20516587874</v>
      </c>
      <c r="J281" t="s">
        <v>1617</v>
      </c>
      <c r="K281" s="8">
        <v>45680</v>
      </c>
      <c r="Q281">
        <v>1</v>
      </c>
      <c r="R281">
        <v>877</v>
      </c>
      <c r="S281" t="s">
        <v>197</v>
      </c>
      <c r="T281" t="s">
        <v>219</v>
      </c>
      <c r="U281">
        <v>1</v>
      </c>
      <c r="V281">
        <v>54.75</v>
      </c>
      <c r="W281">
        <v>64.599999999999994</v>
      </c>
      <c r="X281">
        <v>0</v>
      </c>
      <c r="Y281">
        <v>54.75</v>
      </c>
      <c r="Z281">
        <v>17.989999999999998</v>
      </c>
      <c r="AA281">
        <v>9.85</v>
      </c>
      <c r="AB281">
        <v>64.599999999999994</v>
      </c>
      <c r="AC281">
        <v>1</v>
      </c>
      <c r="AE281" t="s">
        <v>239</v>
      </c>
      <c r="AF281" t="s">
        <v>29</v>
      </c>
      <c r="AG281">
        <v>2</v>
      </c>
      <c r="AH281" t="s">
        <v>25</v>
      </c>
      <c r="AI281">
        <v>1106</v>
      </c>
      <c r="AJ281" t="s">
        <v>246</v>
      </c>
      <c r="AK281" t="s">
        <v>1346</v>
      </c>
      <c r="AQ281" t="s">
        <v>459</v>
      </c>
      <c r="AS281" t="str">
        <f t="shared" si="5"/>
        <v>FB011300</v>
      </c>
    </row>
    <row r="282" spans="1:45" ht="15" customHeight="1">
      <c r="A282" t="s">
        <v>221</v>
      </c>
      <c r="B282">
        <v>1299</v>
      </c>
      <c r="C282" t="s">
        <v>27</v>
      </c>
      <c r="D282" s="8">
        <v>45680</v>
      </c>
      <c r="E282" s="22">
        <v>45946</v>
      </c>
      <c r="F282" t="s">
        <v>459</v>
      </c>
      <c r="H282">
        <v>6</v>
      </c>
      <c r="I282">
        <v>20516587874</v>
      </c>
      <c r="J282" t="s">
        <v>1618</v>
      </c>
      <c r="K282" s="8">
        <v>45680</v>
      </c>
      <c r="Q282">
        <v>1</v>
      </c>
      <c r="R282">
        <v>870</v>
      </c>
      <c r="S282" t="s">
        <v>1227</v>
      </c>
      <c r="T282" t="s">
        <v>219</v>
      </c>
      <c r="U282">
        <v>1</v>
      </c>
      <c r="V282">
        <v>33.22</v>
      </c>
      <c r="W282">
        <v>39.200000000000003</v>
      </c>
      <c r="X282">
        <v>0</v>
      </c>
      <c r="Y282">
        <v>33.22</v>
      </c>
      <c r="Z282">
        <v>18</v>
      </c>
      <c r="AA282">
        <v>5.98</v>
      </c>
      <c r="AB282">
        <v>39.200000000000003</v>
      </c>
      <c r="AC282">
        <v>1</v>
      </c>
      <c r="AE282" t="s">
        <v>239</v>
      </c>
      <c r="AF282" t="s">
        <v>29</v>
      </c>
      <c r="AG282">
        <v>2</v>
      </c>
      <c r="AH282" t="s">
        <v>25</v>
      </c>
      <c r="AI282">
        <v>1106</v>
      </c>
      <c r="AJ282" t="s">
        <v>246</v>
      </c>
      <c r="AK282" t="s">
        <v>1346</v>
      </c>
      <c r="AQ282" t="s">
        <v>459</v>
      </c>
      <c r="AS282" t="str">
        <f t="shared" si="5"/>
        <v>FB011299</v>
      </c>
    </row>
    <row r="283" spans="1:45" ht="15" customHeight="1">
      <c r="A283" t="s">
        <v>221</v>
      </c>
      <c r="B283">
        <v>1298</v>
      </c>
      <c r="C283" t="s">
        <v>27</v>
      </c>
      <c r="D283" s="8">
        <v>45680</v>
      </c>
      <c r="E283" s="22">
        <v>45946</v>
      </c>
      <c r="F283" t="s">
        <v>792</v>
      </c>
      <c r="H283">
        <v>6</v>
      </c>
      <c r="I283">
        <v>10165565784</v>
      </c>
      <c r="J283" t="s">
        <v>1619</v>
      </c>
      <c r="K283" s="8">
        <v>45680</v>
      </c>
      <c r="Q283">
        <v>1</v>
      </c>
      <c r="R283">
        <v>877</v>
      </c>
      <c r="S283" t="s">
        <v>197</v>
      </c>
      <c r="T283" t="s">
        <v>219</v>
      </c>
      <c r="U283">
        <v>1</v>
      </c>
      <c r="V283">
        <v>97.37</v>
      </c>
      <c r="W283">
        <v>114.9</v>
      </c>
      <c r="X283">
        <v>0</v>
      </c>
      <c r="Y283">
        <v>97.37</v>
      </c>
      <c r="Z283">
        <v>18</v>
      </c>
      <c r="AA283">
        <v>17.53</v>
      </c>
      <c r="AB283">
        <v>114.9</v>
      </c>
      <c r="AC283">
        <v>1</v>
      </c>
      <c r="AE283" t="s">
        <v>239</v>
      </c>
      <c r="AF283" t="s">
        <v>29</v>
      </c>
      <c r="AG283">
        <v>2</v>
      </c>
      <c r="AH283" t="s">
        <v>25</v>
      </c>
      <c r="AI283">
        <v>1106</v>
      </c>
      <c r="AJ283" t="s">
        <v>246</v>
      </c>
      <c r="AK283" t="s">
        <v>1346</v>
      </c>
      <c r="AQ283" t="s">
        <v>792</v>
      </c>
      <c r="AS283" t="str">
        <f t="shared" si="5"/>
        <v>FB011298</v>
      </c>
    </row>
    <row r="284" spans="1:45" ht="15" customHeight="1">
      <c r="A284" t="s">
        <v>221</v>
      </c>
      <c r="B284">
        <v>1297</v>
      </c>
      <c r="C284" t="s">
        <v>27</v>
      </c>
      <c r="D284" s="8">
        <v>45680</v>
      </c>
      <c r="E284" s="22">
        <v>45946</v>
      </c>
      <c r="F284" t="s">
        <v>792</v>
      </c>
      <c r="H284">
        <v>6</v>
      </c>
      <c r="I284">
        <v>10165565784</v>
      </c>
      <c r="J284" t="s">
        <v>1620</v>
      </c>
      <c r="K284" s="8">
        <v>45680</v>
      </c>
      <c r="Q284">
        <v>1</v>
      </c>
      <c r="R284">
        <v>870</v>
      </c>
      <c r="S284" t="s">
        <v>1227</v>
      </c>
      <c r="T284" t="s">
        <v>219</v>
      </c>
      <c r="U284">
        <v>1</v>
      </c>
      <c r="V284">
        <v>59.07</v>
      </c>
      <c r="W284">
        <v>69.7</v>
      </c>
      <c r="X284">
        <v>0</v>
      </c>
      <c r="Y284">
        <v>59.07</v>
      </c>
      <c r="Z284">
        <v>18</v>
      </c>
      <c r="AA284">
        <v>10.63</v>
      </c>
      <c r="AB284">
        <v>69.7</v>
      </c>
      <c r="AC284">
        <v>1</v>
      </c>
      <c r="AE284" t="s">
        <v>239</v>
      </c>
      <c r="AF284" t="s">
        <v>29</v>
      </c>
      <c r="AG284">
        <v>2</v>
      </c>
      <c r="AH284" t="s">
        <v>25</v>
      </c>
      <c r="AI284">
        <v>1106</v>
      </c>
      <c r="AJ284" t="s">
        <v>246</v>
      </c>
      <c r="AK284" t="s">
        <v>1346</v>
      </c>
      <c r="AQ284" t="s">
        <v>792</v>
      </c>
      <c r="AS284" t="str">
        <f t="shared" si="5"/>
        <v>FB011297</v>
      </c>
    </row>
    <row r="285" spans="1:45" ht="15" customHeight="1">
      <c r="A285" t="s">
        <v>221</v>
      </c>
      <c r="B285">
        <v>1296</v>
      </c>
      <c r="C285" t="s">
        <v>27</v>
      </c>
      <c r="D285" s="8">
        <v>45680</v>
      </c>
      <c r="E285" s="22">
        <v>45946</v>
      </c>
      <c r="F285" t="s">
        <v>422</v>
      </c>
      <c r="H285">
        <v>6</v>
      </c>
      <c r="I285">
        <v>20611890746</v>
      </c>
      <c r="J285" t="s">
        <v>1393</v>
      </c>
      <c r="K285" s="8">
        <v>45680</v>
      </c>
      <c r="Q285">
        <v>1</v>
      </c>
      <c r="R285">
        <v>874</v>
      </c>
      <c r="S285" t="s">
        <v>1390</v>
      </c>
      <c r="T285" t="s">
        <v>219</v>
      </c>
      <c r="U285">
        <v>1</v>
      </c>
      <c r="V285">
        <v>1</v>
      </c>
      <c r="W285">
        <v>1.18</v>
      </c>
      <c r="X285">
        <v>0</v>
      </c>
      <c r="Y285">
        <v>1</v>
      </c>
      <c r="Z285">
        <v>18</v>
      </c>
      <c r="AA285">
        <v>0.18</v>
      </c>
      <c r="AB285">
        <v>1.18</v>
      </c>
      <c r="AC285">
        <v>1</v>
      </c>
      <c r="AE285" t="s">
        <v>239</v>
      </c>
      <c r="AF285" t="s">
        <v>29</v>
      </c>
      <c r="AG285">
        <v>2</v>
      </c>
      <c r="AH285" t="s">
        <v>25</v>
      </c>
      <c r="AI285">
        <v>1106</v>
      </c>
      <c r="AJ285" t="s">
        <v>246</v>
      </c>
      <c r="AK285" t="s">
        <v>1346</v>
      </c>
      <c r="AQ285" t="s">
        <v>422</v>
      </c>
      <c r="AS285" t="str">
        <f t="shared" si="5"/>
        <v>FB011296</v>
      </c>
    </row>
    <row r="286" spans="1:45" ht="15" customHeight="1">
      <c r="A286" t="s">
        <v>221</v>
      </c>
      <c r="B286">
        <v>1295</v>
      </c>
      <c r="C286" t="s">
        <v>27</v>
      </c>
      <c r="D286" s="8">
        <v>45680</v>
      </c>
      <c r="E286" s="22">
        <v>45946</v>
      </c>
      <c r="F286" t="s">
        <v>422</v>
      </c>
      <c r="H286">
        <v>6</v>
      </c>
      <c r="I286">
        <v>20611890746</v>
      </c>
      <c r="J286" t="s">
        <v>1621</v>
      </c>
      <c r="K286" s="8">
        <v>45680</v>
      </c>
      <c r="Q286">
        <v>1</v>
      </c>
      <c r="R286">
        <v>930</v>
      </c>
      <c r="S286" s="29" t="s">
        <v>1622</v>
      </c>
      <c r="T286" t="s">
        <v>219</v>
      </c>
      <c r="U286">
        <v>1</v>
      </c>
      <c r="V286">
        <v>1400</v>
      </c>
      <c r="W286">
        <v>1652</v>
      </c>
      <c r="X286">
        <v>0</v>
      </c>
      <c r="Y286">
        <v>1400</v>
      </c>
      <c r="Z286">
        <v>18</v>
      </c>
      <c r="AA286">
        <v>252</v>
      </c>
      <c r="AB286">
        <v>1652</v>
      </c>
      <c r="AC286">
        <v>1</v>
      </c>
      <c r="AE286" t="s">
        <v>239</v>
      </c>
      <c r="AF286" t="s">
        <v>29</v>
      </c>
      <c r="AG286">
        <v>2</v>
      </c>
      <c r="AH286" t="s">
        <v>25</v>
      </c>
      <c r="AI286">
        <v>1106</v>
      </c>
      <c r="AJ286" t="s">
        <v>246</v>
      </c>
      <c r="AK286" t="s">
        <v>1342</v>
      </c>
      <c r="AQ286" t="s">
        <v>422</v>
      </c>
      <c r="AS286" t="str">
        <f t="shared" si="5"/>
        <v>FB011295</v>
      </c>
    </row>
    <row r="287" spans="1:45" ht="15" customHeight="1">
      <c r="A287" t="s">
        <v>221</v>
      </c>
      <c r="B287">
        <v>1294</v>
      </c>
      <c r="C287" t="s">
        <v>27</v>
      </c>
      <c r="D287" s="8">
        <v>45680</v>
      </c>
      <c r="E287" s="22">
        <v>45946</v>
      </c>
      <c r="F287" t="s">
        <v>422</v>
      </c>
      <c r="H287">
        <v>6</v>
      </c>
      <c r="I287">
        <v>20611890746</v>
      </c>
      <c r="J287" t="s">
        <v>1623</v>
      </c>
      <c r="K287" s="8">
        <v>45680</v>
      </c>
      <c r="Q287">
        <v>1</v>
      </c>
      <c r="R287">
        <v>929</v>
      </c>
      <c r="S287" s="29" t="s">
        <v>1624</v>
      </c>
      <c r="T287" t="s">
        <v>219</v>
      </c>
      <c r="U287">
        <v>1</v>
      </c>
      <c r="V287">
        <v>1400</v>
      </c>
      <c r="W287">
        <v>1652</v>
      </c>
      <c r="X287">
        <v>0</v>
      </c>
      <c r="Y287">
        <v>1400</v>
      </c>
      <c r="Z287">
        <v>18</v>
      </c>
      <c r="AA287">
        <v>252</v>
      </c>
      <c r="AB287">
        <v>1652</v>
      </c>
      <c r="AC287">
        <v>1</v>
      </c>
      <c r="AE287" t="s">
        <v>239</v>
      </c>
      <c r="AF287" t="s">
        <v>29</v>
      </c>
      <c r="AG287">
        <v>2</v>
      </c>
      <c r="AH287" t="s">
        <v>25</v>
      </c>
      <c r="AI287">
        <v>1106</v>
      </c>
      <c r="AJ287" t="s">
        <v>246</v>
      </c>
      <c r="AK287" t="s">
        <v>1342</v>
      </c>
      <c r="AQ287" t="s">
        <v>422</v>
      </c>
      <c r="AS287" t="str">
        <f t="shared" si="5"/>
        <v>FB011294</v>
      </c>
    </row>
    <row r="288" spans="1:45" ht="15" customHeight="1">
      <c r="A288" t="s">
        <v>221</v>
      </c>
      <c r="B288">
        <v>1293</v>
      </c>
      <c r="C288" t="s">
        <v>27</v>
      </c>
      <c r="D288" s="8">
        <v>45680</v>
      </c>
      <c r="E288" s="22">
        <v>45946</v>
      </c>
      <c r="F288" t="s">
        <v>422</v>
      </c>
      <c r="H288">
        <v>6</v>
      </c>
      <c r="I288">
        <v>20611890746</v>
      </c>
      <c r="J288" t="s">
        <v>1625</v>
      </c>
      <c r="K288" s="8">
        <v>45680</v>
      </c>
      <c r="Q288">
        <v>1</v>
      </c>
      <c r="R288">
        <v>877</v>
      </c>
      <c r="S288" t="s">
        <v>197</v>
      </c>
      <c r="T288" t="s">
        <v>219</v>
      </c>
      <c r="U288">
        <v>1</v>
      </c>
      <c r="V288">
        <v>3754.15</v>
      </c>
      <c r="W288">
        <v>4429.8999999999996</v>
      </c>
      <c r="X288">
        <v>0</v>
      </c>
      <c r="Y288">
        <v>3754.15</v>
      </c>
      <c r="Z288">
        <v>18</v>
      </c>
      <c r="AA288">
        <v>675.75</v>
      </c>
      <c r="AB288">
        <v>4429.8999999999996</v>
      </c>
      <c r="AC288">
        <v>1</v>
      </c>
      <c r="AE288" t="s">
        <v>239</v>
      </c>
      <c r="AF288" t="s">
        <v>29</v>
      </c>
      <c r="AG288">
        <v>2</v>
      </c>
      <c r="AH288" t="s">
        <v>25</v>
      </c>
      <c r="AI288">
        <v>1106</v>
      </c>
      <c r="AJ288" t="s">
        <v>246</v>
      </c>
      <c r="AK288" t="s">
        <v>1346</v>
      </c>
      <c r="AQ288" t="s">
        <v>422</v>
      </c>
      <c r="AS288" t="str">
        <f t="shared" si="5"/>
        <v>FB011293</v>
      </c>
    </row>
    <row r="289" spans="1:45" ht="15" customHeight="1">
      <c r="A289" t="s">
        <v>221</v>
      </c>
      <c r="B289">
        <v>1292</v>
      </c>
      <c r="C289" t="s">
        <v>27</v>
      </c>
      <c r="D289" s="8">
        <v>45680</v>
      </c>
      <c r="E289" s="22">
        <v>45946</v>
      </c>
      <c r="F289" t="s">
        <v>422</v>
      </c>
      <c r="H289">
        <v>6</v>
      </c>
      <c r="I289">
        <v>20611890746</v>
      </c>
      <c r="J289" t="s">
        <v>1626</v>
      </c>
      <c r="K289" s="8">
        <v>45680</v>
      </c>
      <c r="Q289">
        <v>1</v>
      </c>
      <c r="R289">
        <v>870</v>
      </c>
      <c r="S289" t="s">
        <v>1227</v>
      </c>
      <c r="T289" t="s">
        <v>219</v>
      </c>
      <c r="U289">
        <v>1</v>
      </c>
      <c r="V289">
        <v>288.14</v>
      </c>
      <c r="W289">
        <v>340</v>
      </c>
      <c r="X289">
        <v>0</v>
      </c>
      <c r="Y289">
        <v>288.14</v>
      </c>
      <c r="Z289">
        <v>18</v>
      </c>
      <c r="AA289">
        <v>51.86</v>
      </c>
      <c r="AB289">
        <v>340</v>
      </c>
      <c r="AC289">
        <v>1</v>
      </c>
      <c r="AE289" t="s">
        <v>239</v>
      </c>
      <c r="AF289" t="s">
        <v>29</v>
      </c>
      <c r="AG289">
        <v>2</v>
      </c>
      <c r="AH289" t="s">
        <v>25</v>
      </c>
      <c r="AI289">
        <v>1106</v>
      </c>
      <c r="AJ289" t="s">
        <v>246</v>
      </c>
      <c r="AK289" t="s">
        <v>1346</v>
      </c>
      <c r="AQ289" t="s">
        <v>422</v>
      </c>
      <c r="AS289" t="str">
        <f t="shared" si="5"/>
        <v>FB011292</v>
      </c>
    </row>
    <row r="290" spans="1:45" ht="15" customHeight="1">
      <c r="A290" t="s">
        <v>221</v>
      </c>
      <c r="B290">
        <v>1291</v>
      </c>
      <c r="C290" t="s">
        <v>27</v>
      </c>
      <c r="D290" s="8">
        <v>45680</v>
      </c>
      <c r="E290" s="22">
        <v>45946</v>
      </c>
      <c r="F290" t="s">
        <v>422</v>
      </c>
      <c r="H290">
        <v>6</v>
      </c>
      <c r="I290">
        <v>20611890746</v>
      </c>
      <c r="J290" t="s">
        <v>1393</v>
      </c>
      <c r="K290" s="8">
        <v>45680</v>
      </c>
      <c r="Q290">
        <v>1</v>
      </c>
      <c r="R290">
        <v>874</v>
      </c>
      <c r="S290" t="s">
        <v>1390</v>
      </c>
      <c r="T290" t="s">
        <v>219</v>
      </c>
      <c r="U290">
        <v>1</v>
      </c>
      <c r="V290">
        <v>1</v>
      </c>
      <c r="W290">
        <v>1.18</v>
      </c>
      <c r="X290">
        <v>0</v>
      </c>
      <c r="Y290">
        <v>1</v>
      </c>
      <c r="Z290">
        <v>18</v>
      </c>
      <c r="AA290">
        <v>0.18</v>
      </c>
      <c r="AB290">
        <v>1.18</v>
      </c>
      <c r="AC290">
        <v>1</v>
      </c>
      <c r="AE290" t="s">
        <v>239</v>
      </c>
      <c r="AF290" t="s">
        <v>29</v>
      </c>
      <c r="AG290">
        <v>2</v>
      </c>
      <c r="AH290" t="s">
        <v>25</v>
      </c>
      <c r="AI290">
        <v>1106</v>
      </c>
      <c r="AJ290" t="s">
        <v>246</v>
      </c>
      <c r="AK290" t="s">
        <v>1346</v>
      </c>
      <c r="AQ290" t="s">
        <v>422</v>
      </c>
      <c r="AS290" t="str">
        <f t="shared" si="5"/>
        <v>FB011291</v>
      </c>
    </row>
    <row r="291" spans="1:45" ht="15" customHeight="1">
      <c r="A291" t="s">
        <v>221</v>
      </c>
      <c r="B291">
        <v>1290</v>
      </c>
      <c r="C291" t="s">
        <v>27</v>
      </c>
      <c r="D291" s="8">
        <v>45680</v>
      </c>
      <c r="E291" s="22">
        <v>45946</v>
      </c>
      <c r="F291" t="s">
        <v>422</v>
      </c>
      <c r="H291">
        <v>6</v>
      </c>
      <c r="I291">
        <v>20611890746</v>
      </c>
      <c r="J291" t="s">
        <v>1627</v>
      </c>
      <c r="K291" s="8">
        <v>45680</v>
      </c>
      <c r="Q291">
        <v>1</v>
      </c>
      <c r="R291">
        <v>928</v>
      </c>
      <c r="S291" s="29" t="s">
        <v>1628</v>
      </c>
      <c r="T291" t="s">
        <v>219</v>
      </c>
      <c r="U291">
        <v>1</v>
      </c>
      <c r="V291">
        <v>2400</v>
      </c>
      <c r="W291">
        <v>2832</v>
      </c>
      <c r="X291">
        <v>0</v>
      </c>
      <c r="Y291">
        <v>2400</v>
      </c>
      <c r="Z291">
        <v>18</v>
      </c>
      <c r="AA291">
        <v>432</v>
      </c>
      <c r="AB291">
        <v>2832</v>
      </c>
      <c r="AC291">
        <v>1</v>
      </c>
      <c r="AE291" t="s">
        <v>239</v>
      </c>
      <c r="AF291" t="s">
        <v>29</v>
      </c>
      <c r="AG291">
        <v>2</v>
      </c>
      <c r="AH291" t="s">
        <v>25</v>
      </c>
      <c r="AI291">
        <v>1106</v>
      </c>
      <c r="AJ291" t="s">
        <v>246</v>
      </c>
      <c r="AK291" t="s">
        <v>1342</v>
      </c>
      <c r="AQ291" t="s">
        <v>422</v>
      </c>
      <c r="AS291" t="str">
        <f t="shared" si="5"/>
        <v>FB011290</v>
      </c>
    </row>
    <row r="292" spans="1:45" ht="15" customHeight="1">
      <c r="A292" t="s">
        <v>221</v>
      </c>
      <c r="B292">
        <v>1289</v>
      </c>
      <c r="C292" t="s">
        <v>27</v>
      </c>
      <c r="D292" s="8">
        <v>45680</v>
      </c>
      <c r="E292" s="22">
        <v>45946</v>
      </c>
      <c r="F292" t="s">
        <v>422</v>
      </c>
      <c r="H292">
        <v>6</v>
      </c>
      <c r="I292">
        <v>20611890746</v>
      </c>
      <c r="J292" t="s">
        <v>1629</v>
      </c>
      <c r="K292" s="8">
        <v>45680</v>
      </c>
      <c r="Q292">
        <v>1</v>
      </c>
      <c r="R292">
        <v>927</v>
      </c>
      <c r="S292" s="29" t="s">
        <v>1630</v>
      </c>
      <c r="T292" t="s">
        <v>219</v>
      </c>
      <c r="U292">
        <v>1</v>
      </c>
      <c r="V292">
        <v>800</v>
      </c>
      <c r="W292">
        <v>944</v>
      </c>
      <c r="X292">
        <v>0</v>
      </c>
      <c r="Y292">
        <v>800</v>
      </c>
      <c r="Z292">
        <v>18</v>
      </c>
      <c r="AA292">
        <v>144</v>
      </c>
      <c r="AB292">
        <v>944</v>
      </c>
      <c r="AC292">
        <v>1</v>
      </c>
      <c r="AE292" t="s">
        <v>239</v>
      </c>
      <c r="AF292" t="s">
        <v>29</v>
      </c>
      <c r="AG292">
        <v>2</v>
      </c>
      <c r="AH292" t="s">
        <v>25</v>
      </c>
      <c r="AI292">
        <v>1106</v>
      </c>
      <c r="AJ292" t="s">
        <v>246</v>
      </c>
      <c r="AK292" t="s">
        <v>1342</v>
      </c>
      <c r="AQ292" t="s">
        <v>422</v>
      </c>
      <c r="AS292" t="str">
        <f t="shared" si="5"/>
        <v>FB011289</v>
      </c>
    </row>
    <row r="293" spans="1:45" ht="15" customHeight="1">
      <c r="A293" t="s">
        <v>221</v>
      </c>
      <c r="B293">
        <v>1288</v>
      </c>
      <c r="C293" t="s">
        <v>27</v>
      </c>
      <c r="D293" s="8">
        <v>45680</v>
      </c>
      <c r="E293" s="22">
        <v>45946</v>
      </c>
      <c r="F293" t="s">
        <v>422</v>
      </c>
      <c r="H293">
        <v>6</v>
      </c>
      <c r="I293">
        <v>20611890746</v>
      </c>
      <c r="J293" t="s">
        <v>1631</v>
      </c>
      <c r="K293" s="8">
        <v>45680</v>
      </c>
      <c r="Q293">
        <v>1</v>
      </c>
      <c r="R293">
        <v>926</v>
      </c>
      <c r="S293" s="29" t="s">
        <v>1632</v>
      </c>
      <c r="T293" t="s">
        <v>219</v>
      </c>
      <c r="U293">
        <v>1</v>
      </c>
      <c r="V293">
        <v>800</v>
      </c>
      <c r="W293">
        <v>944</v>
      </c>
      <c r="X293">
        <v>0</v>
      </c>
      <c r="Y293">
        <v>800</v>
      </c>
      <c r="Z293">
        <v>18</v>
      </c>
      <c r="AA293">
        <v>144</v>
      </c>
      <c r="AB293">
        <v>944</v>
      </c>
      <c r="AC293">
        <v>1</v>
      </c>
      <c r="AE293" t="s">
        <v>239</v>
      </c>
      <c r="AF293" t="s">
        <v>29</v>
      </c>
      <c r="AG293">
        <v>2</v>
      </c>
      <c r="AH293" t="s">
        <v>25</v>
      </c>
      <c r="AI293">
        <v>1106</v>
      </c>
      <c r="AJ293" t="s">
        <v>246</v>
      </c>
      <c r="AK293" t="s">
        <v>1342</v>
      </c>
      <c r="AQ293" t="s">
        <v>422</v>
      </c>
      <c r="AS293" t="str">
        <f t="shared" si="5"/>
        <v>FB011288</v>
      </c>
    </row>
    <row r="294" spans="1:45" ht="15" customHeight="1">
      <c r="A294" t="s">
        <v>221</v>
      </c>
      <c r="B294">
        <v>1287</v>
      </c>
      <c r="C294" t="s">
        <v>27</v>
      </c>
      <c r="D294" s="8">
        <v>45680</v>
      </c>
      <c r="E294" s="22">
        <v>45946</v>
      </c>
      <c r="F294" t="s">
        <v>422</v>
      </c>
      <c r="H294">
        <v>6</v>
      </c>
      <c r="I294">
        <v>20611890746</v>
      </c>
      <c r="J294" t="s">
        <v>1633</v>
      </c>
      <c r="K294" s="8">
        <v>45680</v>
      </c>
      <c r="Q294">
        <v>1</v>
      </c>
      <c r="R294">
        <v>925</v>
      </c>
      <c r="S294" s="29" t="s">
        <v>1634</v>
      </c>
      <c r="T294" t="s">
        <v>219</v>
      </c>
      <c r="U294">
        <v>1</v>
      </c>
      <c r="V294">
        <v>800</v>
      </c>
      <c r="W294">
        <v>944</v>
      </c>
      <c r="X294">
        <v>0</v>
      </c>
      <c r="Y294">
        <v>800</v>
      </c>
      <c r="Z294">
        <v>18</v>
      </c>
      <c r="AA294">
        <v>144</v>
      </c>
      <c r="AB294">
        <v>944</v>
      </c>
      <c r="AC294">
        <v>1</v>
      </c>
      <c r="AE294" t="s">
        <v>239</v>
      </c>
      <c r="AF294" t="s">
        <v>29</v>
      </c>
      <c r="AG294">
        <v>2</v>
      </c>
      <c r="AH294" t="s">
        <v>25</v>
      </c>
      <c r="AI294">
        <v>1106</v>
      </c>
      <c r="AJ294" t="s">
        <v>246</v>
      </c>
      <c r="AK294" t="s">
        <v>1342</v>
      </c>
      <c r="AQ294" t="s">
        <v>422</v>
      </c>
      <c r="AS294" t="str">
        <f t="shared" si="5"/>
        <v>FB011287</v>
      </c>
    </row>
    <row r="295" spans="1:45" ht="15" customHeight="1">
      <c r="A295" t="s">
        <v>221</v>
      </c>
      <c r="B295">
        <v>1286</v>
      </c>
      <c r="C295" t="s">
        <v>27</v>
      </c>
      <c r="D295" s="8">
        <v>45680</v>
      </c>
      <c r="E295" s="22">
        <v>45946</v>
      </c>
      <c r="F295" t="s">
        <v>422</v>
      </c>
      <c r="H295">
        <v>6</v>
      </c>
      <c r="I295">
        <v>20611890746</v>
      </c>
      <c r="J295" t="s">
        <v>1635</v>
      </c>
      <c r="K295" s="8">
        <v>45680</v>
      </c>
      <c r="Q295">
        <v>1</v>
      </c>
      <c r="R295">
        <v>924</v>
      </c>
      <c r="S295" s="29" t="s">
        <v>1636</v>
      </c>
      <c r="T295" t="s">
        <v>219</v>
      </c>
      <c r="U295">
        <v>1</v>
      </c>
      <c r="V295">
        <v>2200</v>
      </c>
      <c r="W295">
        <v>2596</v>
      </c>
      <c r="X295">
        <v>0</v>
      </c>
      <c r="Y295">
        <v>2200</v>
      </c>
      <c r="Z295">
        <v>18</v>
      </c>
      <c r="AA295">
        <v>396</v>
      </c>
      <c r="AB295">
        <v>2596</v>
      </c>
      <c r="AC295">
        <v>1</v>
      </c>
      <c r="AE295" t="s">
        <v>239</v>
      </c>
      <c r="AF295" t="s">
        <v>29</v>
      </c>
      <c r="AG295">
        <v>2</v>
      </c>
      <c r="AH295" t="s">
        <v>25</v>
      </c>
      <c r="AI295">
        <v>1106</v>
      </c>
      <c r="AJ295" t="s">
        <v>246</v>
      </c>
      <c r="AK295" t="s">
        <v>1342</v>
      </c>
      <c r="AQ295" t="s">
        <v>422</v>
      </c>
      <c r="AS295" t="str">
        <f t="shared" si="5"/>
        <v>FB011286</v>
      </c>
    </row>
    <row r="296" spans="1:45" ht="15" customHeight="1">
      <c r="A296" t="s">
        <v>221</v>
      </c>
      <c r="B296">
        <v>1285</v>
      </c>
      <c r="C296" t="s">
        <v>27</v>
      </c>
      <c r="D296" s="8">
        <v>45680</v>
      </c>
      <c r="E296" s="22">
        <v>45946</v>
      </c>
      <c r="F296" t="s">
        <v>422</v>
      </c>
      <c r="H296">
        <v>6</v>
      </c>
      <c r="I296">
        <v>20611890746</v>
      </c>
      <c r="J296" t="s">
        <v>1637</v>
      </c>
      <c r="K296" s="8">
        <v>45680</v>
      </c>
      <c r="Q296">
        <v>1</v>
      </c>
      <c r="R296">
        <v>871</v>
      </c>
      <c r="S296" t="s">
        <v>1381</v>
      </c>
      <c r="T296" t="s">
        <v>219</v>
      </c>
      <c r="U296">
        <v>1</v>
      </c>
      <c r="V296">
        <v>5158.5600000000004</v>
      </c>
      <c r="W296">
        <v>6087.1</v>
      </c>
      <c r="X296">
        <v>0</v>
      </c>
      <c r="Y296">
        <v>5158.5600000000004</v>
      </c>
      <c r="Z296">
        <v>18</v>
      </c>
      <c r="AA296">
        <v>928.54</v>
      </c>
      <c r="AB296">
        <v>6087.1</v>
      </c>
      <c r="AC296">
        <v>1</v>
      </c>
      <c r="AE296" t="s">
        <v>239</v>
      </c>
      <c r="AF296" t="s">
        <v>29</v>
      </c>
      <c r="AG296">
        <v>2</v>
      </c>
      <c r="AH296" t="s">
        <v>25</v>
      </c>
      <c r="AI296">
        <v>1106</v>
      </c>
      <c r="AJ296" t="s">
        <v>246</v>
      </c>
      <c r="AK296" t="s">
        <v>1346</v>
      </c>
      <c r="AQ296" t="s">
        <v>422</v>
      </c>
      <c r="AS296" t="str">
        <f t="shared" si="5"/>
        <v>FB011285</v>
      </c>
    </row>
    <row r="297" spans="1:45" ht="15" customHeight="1">
      <c r="A297" t="s">
        <v>221</v>
      </c>
      <c r="B297">
        <v>1284</v>
      </c>
      <c r="C297" t="s">
        <v>27</v>
      </c>
      <c r="D297" s="8">
        <v>45680</v>
      </c>
      <c r="E297" s="22">
        <v>45946</v>
      </c>
      <c r="F297" t="s">
        <v>422</v>
      </c>
      <c r="H297">
        <v>6</v>
      </c>
      <c r="I297">
        <v>20611890746</v>
      </c>
      <c r="J297" t="s">
        <v>1638</v>
      </c>
      <c r="K297" s="8">
        <v>45680</v>
      </c>
      <c r="Q297">
        <v>1</v>
      </c>
      <c r="R297">
        <v>870</v>
      </c>
      <c r="S297" t="s">
        <v>1227</v>
      </c>
      <c r="T297" t="s">
        <v>219</v>
      </c>
      <c r="U297">
        <v>1</v>
      </c>
      <c r="V297">
        <v>3246.44</v>
      </c>
      <c r="W297">
        <v>3830.8</v>
      </c>
      <c r="X297">
        <v>0</v>
      </c>
      <c r="Y297">
        <v>3246.44</v>
      </c>
      <c r="Z297">
        <v>18</v>
      </c>
      <c r="AA297">
        <v>584.36</v>
      </c>
      <c r="AB297">
        <v>3830.8</v>
      </c>
      <c r="AC297">
        <v>1</v>
      </c>
      <c r="AE297" t="s">
        <v>239</v>
      </c>
      <c r="AF297" t="s">
        <v>29</v>
      </c>
      <c r="AG297">
        <v>2</v>
      </c>
      <c r="AH297" t="s">
        <v>25</v>
      </c>
      <c r="AI297">
        <v>1106</v>
      </c>
      <c r="AJ297" t="s">
        <v>246</v>
      </c>
      <c r="AK297" t="s">
        <v>1346</v>
      </c>
      <c r="AQ297" t="s">
        <v>422</v>
      </c>
      <c r="AS297" t="str">
        <f t="shared" si="5"/>
        <v>FB011284</v>
      </c>
    </row>
    <row r="298" spans="1:45" ht="15" customHeight="1">
      <c r="A298" t="s">
        <v>221</v>
      </c>
      <c r="B298">
        <v>1283</v>
      </c>
      <c r="C298" t="s">
        <v>27</v>
      </c>
      <c r="D298" s="8">
        <v>45680</v>
      </c>
      <c r="E298" s="22">
        <v>45946</v>
      </c>
      <c r="F298" t="s">
        <v>497</v>
      </c>
      <c r="H298">
        <v>6</v>
      </c>
      <c r="I298">
        <v>20611587741</v>
      </c>
      <c r="J298" t="s">
        <v>1639</v>
      </c>
      <c r="K298" s="8">
        <v>45680</v>
      </c>
      <c r="Q298">
        <v>1</v>
      </c>
      <c r="R298">
        <v>877</v>
      </c>
      <c r="S298" t="s">
        <v>197</v>
      </c>
      <c r="T298" t="s">
        <v>219</v>
      </c>
      <c r="U298">
        <v>1</v>
      </c>
      <c r="V298">
        <v>25.34</v>
      </c>
      <c r="W298">
        <v>29.9</v>
      </c>
      <c r="X298">
        <v>0</v>
      </c>
      <c r="Y298">
        <v>25.34</v>
      </c>
      <c r="Z298">
        <v>18</v>
      </c>
      <c r="AA298">
        <v>4.5599999999999996</v>
      </c>
      <c r="AB298">
        <v>29.9</v>
      </c>
      <c r="AC298">
        <v>1</v>
      </c>
      <c r="AE298" t="s">
        <v>239</v>
      </c>
      <c r="AF298" t="s">
        <v>29</v>
      </c>
      <c r="AG298">
        <v>2</v>
      </c>
      <c r="AH298" t="s">
        <v>25</v>
      </c>
      <c r="AI298">
        <v>1106</v>
      </c>
      <c r="AJ298" t="s">
        <v>246</v>
      </c>
      <c r="AK298" t="s">
        <v>1346</v>
      </c>
      <c r="AQ298" t="s">
        <v>497</v>
      </c>
      <c r="AS298" t="str">
        <f t="shared" si="5"/>
        <v>FB011283</v>
      </c>
    </row>
    <row r="299" spans="1:45" ht="15" customHeight="1">
      <c r="A299" t="s">
        <v>221</v>
      </c>
      <c r="B299">
        <v>1282</v>
      </c>
      <c r="C299" t="s">
        <v>27</v>
      </c>
      <c r="D299" s="8">
        <v>45680</v>
      </c>
      <c r="E299" s="22">
        <v>45946</v>
      </c>
      <c r="F299" t="s">
        <v>497</v>
      </c>
      <c r="H299">
        <v>6</v>
      </c>
      <c r="I299">
        <v>20611587741</v>
      </c>
      <c r="J299" t="s">
        <v>1460</v>
      </c>
      <c r="K299" s="8">
        <v>45680</v>
      </c>
      <c r="Q299">
        <v>1</v>
      </c>
      <c r="R299">
        <v>870</v>
      </c>
      <c r="S299" t="s">
        <v>1227</v>
      </c>
      <c r="T299" t="s">
        <v>219</v>
      </c>
      <c r="U299">
        <v>1</v>
      </c>
      <c r="V299">
        <v>18.05</v>
      </c>
      <c r="W299">
        <v>21.3</v>
      </c>
      <c r="X299">
        <v>0</v>
      </c>
      <c r="Y299">
        <v>18.05</v>
      </c>
      <c r="Z299">
        <v>18.010000000000002</v>
      </c>
      <c r="AA299">
        <v>3.25</v>
      </c>
      <c r="AB299">
        <v>21.3</v>
      </c>
      <c r="AC299">
        <v>1</v>
      </c>
      <c r="AE299" t="s">
        <v>239</v>
      </c>
      <c r="AF299" t="s">
        <v>29</v>
      </c>
      <c r="AG299">
        <v>2</v>
      </c>
      <c r="AH299" t="s">
        <v>25</v>
      </c>
      <c r="AI299">
        <v>1106</v>
      </c>
      <c r="AJ299" t="s">
        <v>246</v>
      </c>
      <c r="AK299" t="s">
        <v>1346</v>
      </c>
      <c r="AQ299" t="s">
        <v>497</v>
      </c>
      <c r="AS299" t="str">
        <f t="shared" si="5"/>
        <v>FB011282</v>
      </c>
    </row>
    <row r="300" spans="1:45" ht="15" customHeight="1">
      <c r="A300" t="s">
        <v>1349</v>
      </c>
      <c r="B300">
        <v>672</v>
      </c>
      <c r="C300" t="s">
        <v>27</v>
      </c>
      <c r="D300" s="8">
        <v>45680</v>
      </c>
      <c r="E300" s="22">
        <v>45946</v>
      </c>
      <c r="F300" t="s">
        <v>342</v>
      </c>
      <c r="G300" t="s">
        <v>158</v>
      </c>
      <c r="H300">
        <v>1</v>
      </c>
      <c r="I300">
        <v>43908595</v>
      </c>
      <c r="J300" t="s">
        <v>1640</v>
      </c>
      <c r="K300" s="8">
        <v>45680</v>
      </c>
      <c r="Q300">
        <v>1</v>
      </c>
      <c r="R300">
        <v>992</v>
      </c>
      <c r="S300" t="s">
        <v>1265</v>
      </c>
      <c r="T300" t="s">
        <v>219</v>
      </c>
      <c r="U300">
        <v>1</v>
      </c>
      <c r="V300">
        <v>65</v>
      </c>
      <c r="W300">
        <v>76.7</v>
      </c>
      <c r="X300">
        <v>0</v>
      </c>
      <c r="Y300">
        <v>65</v>
      </c>
      <c r="Z300">
        <v>18</v>
      </c>
      <c r="AA300">
        <v>11.7</v>
      </c>
      <c r="AB300">
        <v>76.7</v>
      </c>
      <c r="AC300">
        <v>1</v>
      </c>
      <c r="AE300" t="s">
        <v>239</v>
      </c>
      <c r="AF300" t="s">
        <v>29</v>
      </c>
      <c r="AG300">
        <v>2</v>
      </c>
      <c r="AH300" t="s">
        <v>25</v>
      </c>
      <c r="AI300">
        <v>1106</v>
      </c>
      <c r="AJ300" t="s">
        <v>246</v>
      </c>
      <c r="AK300" t="s">
        <v>1346</v>
      </c>
      <c r="AQ300" t="s">
        <v>342</v>
      </c>
      <c r="AS300" t="str">
        <f t="shared" si="5"/>
        <v>BB01672</v>
      </c>
    </row>
    <row r="301" spans="1:45" ht="15" customHeight="1">
      <c r="A301" t="s">
        <v>1349</v>
      </c>
      <c r="B301">
        <v>674</v>
      </c>
      <c r="C301" t="s">
        <v>27</v>
      </c>
      <c r="D301" s="8">
        <v>45680</v>
      </c>
      <c r="E301" s="22">
        <v>45946</v>
      </c>
      <c r="F301" t="s">
        <v>908</v>
      </c>
      <c r="H301">
        <v>1</v>
      </c>
      <c r="I301">
        <v>76443681</v>
      </c>
      <c r="J301" t="s">
        <v>1641</v>
      </c>
      <c r="K301" s="8">
        <v>45680</v>
      </c>
      <c r="Q301">
        <v>1</v>
      </c>
      <c r="R301">
        <v>877</v>
      </c>
      <c r="S301" t="s">
        <v>197</v>
      </c>
      <c r="T301" t="s">
        <v>219</v>
      </c>
      <c r="U301">
        <v>1</v>
      </c>
      <c r="V301">
        <v>46.78</v>
      </c>
      <c r="W301">
        <v>55.2</v>
      </c>
      <c r="X301">
        <v>0</v>
      </c>
      <c r="Y301">
        <v>46.78</v>
      </c>
      <c r="Z301">
        <v>18</v>
      </c>
      <c r="AA301">
        <v>8.42</v>
      </c>
      <c r="AB301">
        <v>55.2</v>
      </c>
      <c r="AC301">
        <v>1</v>
      </c>
      <c r="AE301" t="s">
        <v>239</v>
      </c>
      <c r="AF301" t="s">
        <v>29</v>
      </c>
      <c r="AG301">
        <v>2</v>
      </c>
      <c r="AH301" t="s">
        <v>25</v>
      </c>
      <c r="AI301">
        <v>1106</v>
      </c>
      <c r="AJ301" t="s">
        <v>246</v>
      </c>
      <c r="AK301" t="s">
        <v>1346</v>
      </c>
      <c r="AQ301" t="s">
        <v>908</v>
      </c>
      <c r="AS301" t="str">
        <f t="shared" si="5"/>
        <v>BB01674</v>
      </c>
    </row>
    <row r="302" spans="1:45" ht="15" customHeight="1">
      <c r="A302" t="s">
        <v>1349</v>
      </c>
      <c r="B302">
        <v>673</v>
      </c>
      <c r="C302" t="s">
        <v>27</v>
      </c>
      <c r="D302" s="8">
        <v>45680</v>
      </c>
      <c r="E302" s="22">
        <v>45946</v>
      </c>
      <c r="F302" t="s">
        <v>908</v>
      </c>
      <c r="H302">
        <v>1</v>
      </c>
      <c r="I302">
        <v>76443681</v>
      </c>
      <c r="J302" t="s">
        <v>1642</v>
      </c>
      <c r="K302" s="8">
        <v>45680</v>
      </c>
      <c r="Q302">
        <v>1</v>
      </c>
      <c r="R302">
        <v>870</v>
      </c>
      <c r="S302" t="s">
        <v>1227</v>
      </c>
      <c r="T302" t="s">
        <v>219</v>
      </c>
      <c r="U302">
        <v>1</v>
      </c>
      <c r="V302">
        <v>32.880000000000003</v>
      </c>
      <c r="W302">
        <v>38.799999999999997</v>
      </c>
      <c r="X302">
        <v>0</v>
      </c>
      <c r="Y302">
        <v>32.880000000000003</v>
      </c>
      <c r="Z302">
        <v>18</v>
      </c>
      <c r="AA302">
        <v>5.92</v>
      </c>
      <c r="AB302">
        <v>38.799999999999997</v>
      </c>
      <c r="AC302">
        <v>1</v>
      </c>
      <c r="AE302" t="s">
        <v>239</v>
      </c>
      <c r="AF302" t="s">
        <v>29</v>
      </c>
      <c r="AG302">
        <v>2</v>
      </c>
      <c r="AH302" t="s">
        <v>25</v>
      </c>
      <c r="AI302">
        <v>1106</v>
      </c>
      <c r="AJ302" t="s">
        <v>246</v>
      </c>
      <c r="AK302" t="s">
        <v>1346</v>
      </c>
      <c r="AQ302" t="s">
        <v>908</v>
      </c>
      <c r="AS302" t="str">
        <f t="shared" si="5"/>
        <v>BB01673</v>
      </c>
    </row>
    <row r="303" spans="1:45" ht="15" customHeight="1">
      <c r="A303" t="s">
        <v>1349</v>
      </c>
      <c r="B303">
        <v>671</v>
      </c>
      <c r="C303" t="s">
        <v>27</v>
      </c>
      <c r="D303" s="8">
        <v>45680</v>
      </c>
      <c r="E303" s="22">
        <v>45946</v>
      </c>
      <c r="F303" t="s">
        <v>342</v>
      </c>
      <c r="G303" t="s">
        <v>158</v>
      </c>
      <c r="H303">
        <v>1</v>
      </c>
      <c r="I303">
        <v>43908595</v>
      </c>
      <c r="J303" t="s">
        <v>1643</v>
      </c>
      <c r="K303" s="8">
        <v>45680</v>
      </c>
      <c r="Q303">
        <v>1</v>
      </c>
      <c r="R303">
        <v>923</v>
      </c>
      <c r="S303" s="29" t="s">
        <v>1644</v>
      </c>
      <c r="T303" t="s">
        <v>219</v>
      </c>
      <c r="U303">
        <v>1</v>
      </c>
      <c r="V303">
        <v>600</v>
      </c>
      <c r="W303">
        <v>708</v>
      </c>
      <c r="X303">
        <v>0</v>
      </c>
      <c r="Y303">
        <v>600</v>
      </c>
      <c r="Z303">
        <v>18</v>
      </c>
      <c r="AA303">
        <v>108</v>
      </c>
      <c r="AB303">
        <v>708</v>
      </c>
      <c r="AC303">
        <v>1</v>
      </c>
      <c r="AE303" t="s">
        <v>239</v>
      </c>
      <c r="AF303" t="s">
        <v>29</v>
      </c>
      <c r="AG303">
        <v>2</v>
      </c>
      <c r="AH303" t="s">
        <v>25</v>
      </c>
      <c r="AI303">
        <v>1106</v>
      </c>
      <c r="AJ303" t="s">
        <v>246</v>
      </c>
      <c r="AK303" t="s">
        <v>1342</v>
      </c>
      <c r="AQ303" t="s">
        <v>342</v>
      </c>
      <c r="AS303" t="str">
        <f t="shared" si="5"/>
        <v>BB01671</v>
      </c>
    </row>
    <row r="304" spans="1:45" ht="15" customHeight="1">
      <c r="A304" t="s">
        <v>1349</v>
      </c>
      <c r="B304">
        <v>670</v>
      </c>
      <c r="C304" t="s">
        <v>27</v>
      </c>
      <c r="D304" s="8">
        <v>45680</v>
      </c>
      <c r="E304" s="22">
        <v>45946</v>
      </c>
      <c r="F304" t="s">
        <v>342</v>
      </c>
      <c r="G304" t="s">
        <v>158</v>
      </c>
      <c r="H304">
        <v>1</v>
      </c>
      <c r="I304">
        <v>43908595</v>
      </c>
      <c r="J304" t="s">
        <v>1645</v>
      </c>
      <c r="K304" s="8">
        <v>45680</v>
      </c>
      <c r="Q304">
        <v>1</v>
      </c>
      <c r="R304">
        <v>922</v>
      </c>
      <c r="S304" s="29" t="s">
        <v>1646</v>
      </c>
      <c r="T304" t="s">
        <v>219</v>
      </c>
      <c r="U304">
        <v>1</v>
      </c>
      <c r="V304">
        <v>660</v>
      </c>
      <c r="W304">
        <v>778.8</v>
      </c>
      <c r="X304">
        <v>0</v>
      </c>
      <c r="Y304">
        <v>660</v>
      </c>
      <c r="Z304">
        <v>18</v>
      </c>
      <c r="AA304">
        <v>118.8</v>
      </c>
      <c r="AB304">
        <v>778.8</v>
      </c>
      <c r="AC304">
        <v>1</v>
      </c>
      <c r="AE304" t="s">
        <v>239</v>
      </c>
      <c r="AF304" t="s">
        <v>29</v>
      </c>
      <c r="AG304">
        <v>2</v>
      </c>
      <c r="AH304" t="s">
        <v>25</v>
      </c>
      <c r="AI304">
        <v>1106</v>
      </c>
      <c r="AJ304" t="s">
        <v>246</v>
      </c>
      <c r="AK304" t="s">
        <v>1342</v>
      </c>
      <c r="AQ304" t="s">
        <v>342</v>
      </c>
      <c r="AS304" t="str">
        <f t="shared" si="5"/>
        <v>BB01670</v>
      </c>
    </row>
    <row r="305" spans="1:45" ht="15" customHeight="1">
      <c r="A305" t="s">
        <v>1349</v>
      </c>
      <c r="B305">
        <v>669</v>
      </c>
      <c r="C305" t="s">
        <v>27</v>
      </c>
      <c r="D305" s="8">
        <v>45680</v>
      </c>
      <c r="E305" s="22">
        <v>45946</v>
      </c>
      <c r="F305" t="s">
        <v>342</v>
      </c>
      <c r="G305" t="s">
        <v>158</v>
      </c>
      <c r="H305">
        <v>1</v>
      </c>
      <c r="I305">
        <v>43908595</v>
      </c>
      <c r="J305" t="s">
        <v>1647</v>
      </c>
      <c r="K305" s="8">
        <v>45680</v>
      </c>
      <c r="Q305">
        <v>1</v>
      </c>
      <c r="R305">
        <v>877</v>
      </c>
      <c r="S305" t="s">
        <v>197</v>
      </c>
      <c r="T305" t="s">
        <v>219</v>
      </c>
      <c r="U305">
        <v>1</v>
      </c>
      <c r="V305">
        <v>281.61</v>
      </c>
      <c r="W305">
        <v>332.3</v>
      </c>
      <c r="X305">
        <v>0</v>
      </c>
      <c r="Y305">
        <v>281.61</v>
      </c>
      <c r="Z305">
        <v>18</v>
      </c>
      <c r="AA305">
        <v>50.69</v>
      </c>
      <c r="AB305">
        <v>332.3</v>
      </c>
      <c r="AC305">
        <v>1</v>
      </c>
      <c r="AE305" t="s">
        <v>239</v>
      </c>
      <c r="AF305" t="s">
        <v>29</v>
      </c>
      <c r="AG305">
        <v>2</v>
      </c>
      <c r="AH305" t="s">
        <v>25</v>
      </c>
      <c r="AI305">
        <v>1106</v>
      </c>
      <c r="AJ305" t="s">
        <v>246</v>
      </c>
      <c r="AK305" t="s">
        <v>1346</v>
      </c>
      <c r="AQ305" t="s">
        <v>342</v>
      </c>
      <c r="AS305" t="str">
        <f t="shared" si="5"/>
        <v>BB01669</v>
      </c>
    </row>
    <row r="306" spans="1:45" ht="15" customHeight="1">
      <c r="A306" t="s">
        <v>1349</v>
      </c>
      <c r="B306">
        <v>668</v>
      </c>
      <c r="C306" t="s">
        <v>27</v>
      </c>
      <c r="D306" s="8">
        <v>45680</v>
      </c>
      <c r="E306" s="22">
        <v>45946</v>
      </c>
      <c r="F306" t="s">
        <v>342</v>
      </c>
      <c r="G306" t="s">
        <v>158</v>
      </c>
      <c r="H306">
        <v>1</v>
      </c>
      <c r="I306">
        <v>43908595</v>
      </c>
      <c r="J306" t="s">
        <v>1648</v>
      </c>
      <c r="K306" s="8">
        <v>45680</v>
      </c>
      <c r="Q306">
        <v>1</v>
      </c>
      <c r="R306">
        <v>870</v>
      </c>
      <c r="S306" t="s">
        <v>1227</v>
      </c>
      <c r="T306" t="s">
        <v>219</v>
      </c>
      <c r="U306">
        <v>1</v>
      </c>
      <c r="V306">
        <v>238.98</v>
      </c>
      <c r="W306">
        <v>282</v>
      </c>
      <c r="X306">
        <v>0</v>
      </c>
      <c r="Y306">
        <v>238.98</v>
      </c>
      <c r="Z306">
        <v>18</v>
      </c>
      <c r="AA306">
        <v>43.02</v>
      </c>
      <c r="AB306">
        <v>282</v>
      </c>
      <c r="AC306">
        <v>1</v>
      </c>
      <c r="AE306" t="s">
        <v>239</v>
      </c>
      <c r="AF306" t="s">
        <v>29</v>
      </c>
      <c r="AG306">
        <v>2</v>
      </c>
      <c r="AH306" t="s">
        <v>25</v>
      </c>
      <c r="AI306">
        <v>1106</v>
      </c>
      <c r="AJ306" t="s">
        <v>246</v>
      </c>
      <c r="AK306" t="s">
        <v>1346</v>
      </c>
      <c r="AQ306" t="s">
        <v>342</v>
      </c>
      <c r="AS306" t="str">
        <f t="shared" si="5"/>
        <v>BB01668</v>
      </c>
    </row>
    <row r="307" spans="1:45" ht="15" customHeight="1">
      <c r="A307" t="s">
        <v>221</v>
      </c>
      <c r="B307">
        <v>1281</v>
      </c>
      <c r="C307" t="s">
        <v>27</v>
      </c>
      <c r="D307" s="8">
        <v>45680</v>
      </c>
      <c r="E307" s="22">
        <v>45946</v>
      </c>
      <c r="F307" t="s">
        <v>431</v>
      </c>
      <c r="G307" t="s">
        <v>158</v>
      </c>
      <c r="H307">
        <v>6</v>
      </c>
      <c r="I307">
        <v>20296011356</v>
      </c>
      <c r="J307" t="s">
        <v>1406</v>
      </c>
      <c r="K307" s="8">
        <v>45680</v>
      </c>
      <c r="Q307">
        <v>1</v>
      </c>
      <c r="R307">
        <v>921</v>
      </c>
      <c r="S307" t="s">
        <v>1407</v>
      </c>
      <c r="T307" t="s">
        <v>219</v>
      </c>
      <c r="U307">
        <v>1</v>
      </c>
      <c r="V307">
        <v>600</v>
      </c>
      <c r="W307">
        <v>708</v>
      </c>
      <c r="X307">
        <v>0</v>
      </c>
      <c r="Y307">
        <v>600</v>
      </c>
      <c r="Z307">
        <v>18</v>
      </c>
      <c r="AA307">
        <v>108</v>
      </c>
      <c r="AB307">
        <v>708</v>
      </c>
      <c r="AC307">
        <v>1</v>
      </c>
      <c r="AE307" t="s">
        <v>239</v>
      </c>
      <c r="AF307" t="s">
        <v>29</v>
      </c>
      <c r="AG307">
        <v>2</v>
      </c>
      <c r="AH307" t="s">
        <v>25</v>
      </c>
      <c r="AI307">
        <v>1106</v>
      </c>
      <c r="AJ307" t="s">
        <v>246</v>
      </c>
      <c r="AK307" t="s">
        <v>1408</v>
      </c>
      <c r="AQ307" t="s">
        <v>431</v>
      </c>
      <c r="AS307" t="str">
        <f t="shared" si="5"/>
        <v>FB011281</v>
      </c>
    </row>
    <row r="308" spans="1:45" ht="15" customHeight="1">
      <c r="A308" t="s">
        <v>221</v>
      </c>
      <c r="B308">
        <v>1280</v>
      </c>
      <c r="C308" t="s">
        <v>27</v>
      </c>
      <c r="D308" s="8">
        <v>45680</v>
      </c>
      <c r="E308" s="22">
        <v>45946</v>
      </c>
      <c r="F308" t="s">
        <v>431</v>
      </c>
      <c r="G308" t="s">
        <v>158</v>
      </c>
      <c r="H308">
        <v>6</v>
      </c>
      <c r="I308">
        <v>20296011356</v>
      </c>
      <c r="J308" t="s">
        <v>1649</v>
      </c>
      <c r="K308" s="8">
        <v>45680</v>
      </c>
      <c r="Q308">
        <v>1</v>
      </c>
      <c r="R308">
        <v>920</v>
      </c>
      <c r="S308" t="s">
        <v>1650</v>
      </c>
      <c r="T308" t="s">
        <v>219</v>
      </c>
      <c r="U308">
        <v>1</v>
      </c>
      <c r="V308">
        <v>1000</v>
      </c>
      <c r="W308">
        <v>1180</v>
      </c>
      <c r="X308">
        <v>0</v>
      </c>
      <c r="Y308">
        <v>1000</v>
      </c>
      <c r="Z308">
        <v>18</v>
      </c>
      <c r="AA308">
        <v>180</v>
      </c>
      <c r="AB308">
        <v>1180</v>
      </c>
      <c r="AC308">
        <v>1</v>
      </c>
      <c r="AE308" t="s">
        <v>239</v>
      </c>
      <c r="AF308" t="s">
        <v>29</v>
      </c>
      <c r="AG308">
        <v>2</v>
      </c>
      <c r="AH308" t="s">
        <v>25</v>
      </c>
      <c r="AI308">
        <v>1106</v>
      </c>
      <c r="AJ308" t="s">
        <v>246</v>
      </c>
      <c r="AK308" t="s">
        <v>1342</v>
      </c>
      <c r="AQ308" t="s">
        <v>431</v>
      </c>
      <c r="AS308" t="str">
        <f t="shared" si="5"/>
        <v>FB011280</v>
      </c>
    </row>
    <row r="309" spans="1:45" ht="15" customHeight="1">
      <c r="A309" t="s">
        <v>221</v>
      </c>
      <c r="B309">
        <v>1279</v>
      </c>
      <c r="C309" t="s">
        <v>27</v>
      </c>
      <c r="D309" s="8">
        <v>45680</v>
      </c>
      <c r="E309" s="22">
        <v>45946</v>
      </c>
      <c r="F309" t="s">
        <v>431</v>
      </c>
      <c r="G309" t="s">
        <v>158</v>
      </c>
      <c r="H309">
        <v>6</v>
      </c>
      <c r="I309">
        <v>20296011356</v>
      </c>
      <c r="J309" t="s">
        <v>1651</v>
      </c>
      <c r="K309" s="8">
        <v>45680</v>
      </c>
      <c r="Q309">
        <v>1</v>
      </c>
      <c r="R309">
        <v>877</v>
      </c>
      <c r="S309" t="s">
        <v>197</v>
      </c>
      <c r="T309" t="s">
        <v>219</v>
      </c>
      <c r="U309">
        <v>1</v>
      </c>
      <c r="V309">
        <v>3384.15</v>
      </c>
      <c r="W309">
        <v>3993.3</v>
      </c>
      <c r="X309">
        <v>0</v>
      </c>
      <c r="Y309">
        <v>3384.15</v>
      </c>
      <c r="Z309">
        <v>18</v>
      </c>
      <c r="AA309">
        <v>609.15</v>
      </c>
      <c r="AB309">
        <v>3993.3</v>
      </c>
      <c r="AC309">
        <v>1</v>
      </c>
      <c r="AE309" t="s">
        <v>239</v>
      </c>
      <c r="AF309" t="s">
        <v>29</v>
      </c>
      <c r="AG309">
        <v>2</v>
      </c>
      <c r="AH309" t="s">
        <v>25</v>
      </c>
      <c r="AI309">
        <v>1106</v>
      </c>
      <c r="AJ309" t="s">
        <v>246</v>
      </c>
      <c r="AK309" t="s">
        <v>1346</v>
      </c>
      <c r="AQ309" t="s">
        <v>431</v>
      </c>
      <c r="AS309" t="str">
        <f t="shared" si="5"/>
        <v>FB011279</v>
      </c>
    </row>
    <row r="310" spans="1:45" ht="15" customHeight="1">
      <c r="A310" t="s">
        <v>221</v>
      </c>
      <c r="B310">
        <v>1278</v>
      </c>
      <c r="C310" t="s">
        <v>27</v>
      </c>
      <c r="D310" s="8">
        <v>45680</v>
      </c>
      <c r="E310" s="22">
        <v>45946</v>
      </c>
      <c r="F310" t="s">
        <v>431</v>
      </c>
      <c r="G310" t="s">
        <v>158</v>
      </c>
      <c r="H310">
        <v>6</v>
      </c>
      <c r="I310">
        <v>20296011356</v>
      </c>
      <c r="J310" t="s">
        <v>1652</v>
      </c>
      <c r="K310" s="8">
        <v>45680</v>
      </c>
      <c r="Q310">
        <v>1</v>
      </c>
      <c r="R310">
        <v>870</v>
      </c>
      <c r="S310" t="s">
        <v>1227</v>
      </c>
      <c r="T310" t="s">
        <v>219</v>
      </c>
      <c r="U310">
        <v>1</v>
      </c>
      <c r="V310">
        <v>1669.75</v>
      </c>
      <c r="W310">
        <v>1970.3</v>
      </c>
      <c r="X310">
        <v>0</v>
      </c>
      <c r="Y310">
        <v>1669.75</v>
      </c>
      <c r="Z310">
        <v>18</v>
      </c>
      <c r="AA310">
        <v>300.55</v>
      </c>
      <c r="AB310">
        <v>1970.3</v>
      </c>
      <c r="AC310">
        <v>1</v>
      </c>
      <c r="AE310" t="s">
        <v>239</v>
      </c>
      <c r="AF310" t="s">
        <v>29</v>
      </c>
      <c r="AG310">
        <v>2</v>
      </c>
      <c r="AH310" t="s">
        <v>25</v>
      </c>
      <c r="AI310">
        <v>1106</v>
      </c>
      <c r="AJ310" t="s">
        <v>246</v>
      </c>
      <c r="AK310" t="s">
        <v>1346</v>
      </c>
      <c r="AQ310" t="s">
        <v>431</v>
      </c>
      <c r="AS310" t="str">
        <f t="shared" si="5"/>
        <v>FB011278</v>
      </c>
    </row>
    <row r="311" spans="1:45" ht="15" customHeight="1">
      <c r="A311" t="s">
        <v>1349</v>
      </c>
      <c r="B311">
        <v>667</v>
      </c>
      <c r="C311" t="s">
        <v>27</v>
      </c>
      <c r="D311" s="8">
        <v>45680</v>
      </c>
      <c r="E311" s="22">
        <v>45946</v>
      </c>
      <c r="F311" t="s">
        <v>923</v>
      </c>
      <c r="H311">
        <v>1</v>
      </c>
      <c r="I311">
        <v>17850400</v>
      </c>
      <c r="J311" t="s">
        <v>1653</v>
      </c>
      <c r="K311" s="8">
        <v>45680</v>
      </c>
      <c r="Q311">
        <v>1</v>
      </c>
      <c r="R311">
        <v>871</v>
      </c>
      <c r="S311" t="s">
        <v>1381</v>
      </c>
      <c r="T311" t="s">
        <v>219</v>
      </c>
      <c r="U311">
        <v>1</v>
      </c>
      <c r="V311">
        <v>19.41</v>
      </c>
      <c r="W311">
        <v>22.9</v>
      </c>
      <c r="X311">
        <v>0</v>
      </c>
      <c r="Y311">
        <v>19.41</v>
      </c>
      <c r="Z311">
        <v>17.98</v>
      </c>
      <c r="AA311">
        <v>3.49</v>
      </c>
      <c r="AB311">
        <v>22.9</v>
      </c>
      <c r="AC311">
        <v>1</v>
      </c>
      <c r="AE311" t="s">
        <v>239</v>
      </c>
      <c r="AF311" t="s">
        <v>29</v>
      </c>
      <c r="AG311">
        <v>2</v>
      </c>
      <c r="AH311" t="s">
        <v>25</v>
      </c>
      <c r="AI311">
        <v>1106</v>
      </c>
      <c r="AJ311" t="s">
        <v>246</v>
      </c>
      <c r="AK311" t="s">
        <v>1346</v>
      </c>
      <c r="AQ311" t="s">
        <v>923</v>
      </c>
      <c r="AS311" t="str">
        <f t="shared" si="5"/>
        <v>BB01667</v>
      </c>
    </row>
    <row r="312" spans="1:45" ht="15" customHeight="1">
      <c r="A312" t="s">
        <v>1349</v>
      </c>
      <c r="B312">
        <v>666</v>
      </c>
      <c r="C312" t="s">
        <v>27</v>
      </c>
      <c r="D312" s="8">
        <v>45680</v>
      </c>
      <c r="E312" s="22">
        <v>45946</v>
      </c>
      <c r="F312" t="s">
        <v>923</v>
      </c>
      <c r="H312">
        <v>1</v>
      </c>
      <c r="I312">
        <v>17850400</v>
      </c>
      <c r="J312" t="s">
        <v>1654</v>
      </c>
      <c r="K312" s="8">
        <v>45680</v>
      </c>
      <c r="Q312">
        <v>1</v>
      </c>
      <c r="R312">
        <v>870</v>
      </c>
      <c r="S312" t="s">
        <v>1227</v>
      </c>
      <c r="T312" t="s">
        <v>219</v>
      </c>
      <c r="U312">
        <v>1</v>
      </c>
      <c r="V312">
        <v>12.2</v>
      </c>
      <c r="W312">
        <v>14.4</v>
      </c>
      <c r="X312">
        <v>0</v>
      </c>
      <c r="Y312">
        <v>12.2</v>
      </c>
      <c r="Z312">
        <v>18.03</v>
      </c>
      <c r="AA312">
        <v>2.2000000000000002</v>
      </c>
      <c r="AB312">
        <v>14.4</v>
      </c>
      <c r="AC312">
        <v>1</v>
      </c>
      <c r="AE312" t="s">
        <v>239</v>
      </c>
      <c r="AF312" t="s">
        <v>29</v>
      </c>
      <c r="AG312">
        <v>2</v>
      </c>
      <c r="AH312" t="s">
        <v>25</v>
      </c>
      <c r="AI312">
        <v>1106</v>
      </c>
      <c r="AJ312" t="s">
        <v>246</v>
      </c>
      <c r="AK312" t="s">
        <v>1346</v>
      </c>
      <c r="AQ312" t="s">
        <v>923</v>
      </c>
      <c r="AS312" t="str">
        <f t="shared" si="5"/>
        <v>BB01666</v>
      </c>
    </row>
    <row r="313" spans="1:45" ht="15" customHeight="1">
      <c r="A313" t="s">
        <v>221</v>
      </c>
      <c r="B313">
        <v>1277</v>
      </c>
      <c r="C313" t="s">
        <v>27</v>
      </c>
      <c r="D313" s="8">
        <v>45680</v>
      </c>
      <c r="E313" s="22">
        <v>45946</v>
      </c>
      <c r="F313" t="s">
        <v>422</v>
      </c>
      <c r="H313">
        <v>6</v>
      </c>
      <c r="I313">
        <v>20611890746</v>
      </c>
      <c r="J313" t="s">
        <v>1393</v>
      </c>
      <c r="K313" s="8">
        <v>45680</v>
      </c>
      <c r="Q313">
        <v>1</v>
      </c>
      <c r="R313">
        <v>874</v>
      </c>
      <c r="S313" t="s">
        <v>1390</v>
      </c>
      <c r="T313" t="s">
        <v>219</v>
      </c>
      <c r="U313">
        <v>1</v>
      </c>
      <c r="V313">
        <v>1</v>
      </c>
      <c r="W313">
        <v>1.18</v>
      </c>
      <c r="X313">
        <v>0</v>
      </c>
      <c r="Y313">
        <v>1</v>
      </c>
      <c r="Z313">
        <v>18</v>
      </c>
      <c r="AA313">
        <v>0.18</v>
      </c>
      <c r="AB313">
        <v>1.18</v>
      </c>
      <c r="AC313">
        <v>1</v>
      </c>
      <c r="AE313" t="s">
        <v>239</v>
      </c>
      <c r="AF313" t="s">
        <v>29</v>
      </c>
      <c r="AG313">
        <v>2</v>
      </c>
      <c r="AH313" t="s">
        <v>25</v>
      </c>
      <c r="AI313">
        <v>1106</v>
      </c>
      <c r="AJ313" t="s">
        <v>246</v>
      </c>
      <c r="AK313" t="s">
        <v>1346</v>
      </c>
      <c r="AQ313" t="s">
        <v>422</v>
      </c>
      <c r="AS313" t="str">
        <f t="shared" si="5"/>
        <v>FB011277</v>
      </c>
    </row>
    <row r="314" spans="1:45" ht="15" customHeight="1">
      <c r="A314" t="s">
        <v>221</v>
      </c>
      <c r="B314">
        <v>1276</v>
      </c>
      <c r="C314" t="s">
        <v>27</v>
      </c>
      <c r="D314" s="8">
        <v>45680</v>
      </c>
      <c r="E314" s="22">
        <v>45946</v>
      </c>
      <c r="F314" t="s">
        <v>422</v>
      </c>
      <c r="H314">
        <v>6</v>
      </c>
      <c r="I314">
        <v>20611890746</v>
      </c>
      <c r="J314" t="s">
        <v>1655</v>
      </c>
      <c r="K314" s="8">
        <v>45680</v>
      </c>
      <c r="Q314">
        <v>1</v>
      </c>
      <c r="R314">
        <v>919</v>
      </c>
      <c r="S314" s="29" t="s">
        <v>1656</v>
      </c>
      <c r="T314" t="s">
        <v>219</v>
      </c>
      <c r="U314">
        <v>1</v>
      </c>
      <c r="V314">
        <v>1400</v>
      </c>
      <c r="W314">
        <v>1652</v>
      </c>
      <c r="X314">
        <v>0</v>
      </c>
      <c r="Y314">
        <v>1400</v>
      </c>
      <c r="Z314">
        <v>18</v>
      </c>
      <c r="AA314">
        <v>252</v>
      </c>
      <c r="AB314">
        <v>1652</v>
      </c>
      <c r="AC314">
        <v>1</v>
      </c>
      <c r="AE314" t="s">
        <v>239</v>
      </c>
      <c r="AF314" t="s">
        <v>29</v>
      </c>
      <c r="AG314">
        <v>2</v>
      </c>
      <c r="AH314" t="s">
        <v>25</v>
      </c>
      <c r="AI314">
        <v>1106</v>
      </c>
      <c r="AJ314" t="s">
        <v>246</v>
      </c>
      <c r="AK314" t="s">
        <v>1342</v>
      </c>
      <c r="AQ314" t="s">
        <v>422</v>
      </c>
      <c r="AS314" t="str">
        <f t="shared" si="5"/>
        <v>FB011276</v>
      </c>
    </row>
    <row r="315" spans="1:45" ht="15" customHeight="1">
      <c r="A315" t="s">
        <v>221</v>
      </c>
      <c r="B315">
        <v>1275</v>
      </c>
      <c r="C315" t="s">
        <v>27</v>
      </c>
      <c r="D315" s="8">
        <v>45680</v>
      </c>
      <c r="E315" s="22">
        <v>45946</v>
      </c>
      <c r="F315" t="s">
        <v>422</v>
      </c>
      <c r="H315">
        <v>6</v>
      </c>
      <c r="I315">
        <v>20611890746</v>
      </c>
      <c r="J315" t="s">
        <v>1657</v>
      </c>
      <c r="K315" s="8">
        <v>45680</v>
      </c>
      <c r="Q315">
        <v>1</v>
      </c>
      <c r="R315">
        <v>877</v>
      </c>
      <c r="S315" t="s">
        <v>197</v>
      </c>
      <c r="T315" t="s">
        <v>219</v>
      </c>
      <c r="U315">
        <v>1</v>
      </c>
      <c r="V315">
        <v>2372.2399999999998</v>
      </c>
      <c r="W315">
        <v>2799.24</v>
      </c>
      <c r="X315">
        <v>0</v>
      </c>
      <c r="Y315">
        <v>2372.2399999999998</v>
      </c>
      <c r="Z315">
        <v>18</v>
      </c>
      <c r="AA315">
        <v>427</v>
      </c>
      <c r="AB315">
        <v>2799.24</v>
      </c>
      <c r="AC315">
        <v>1</v>
      </c>
      <c r="AE315" t="s">
        <v>239</v>
      </c>
      <c r="AF315" t="s">
        <v>29</v>
      </c>
      <c r="AG315">
        <v>2</v>
      </c>
      <c r="AH315" t="s">
        <v>25</v>
      </c>
      <c r="AI315">
        <v>1106</v>
      </c>
      <c r="AJ315" t="s">
        <v>246</v>
      </c>
      <c r="AK315" t="s">
        <v>1346</v>
      </c>
      <c r="AQ315" t="s">
        <v>422</v>
      </c>
      <c r="AS315" t="str">
        <f t="shared" si="5"/>
        <v>FB011275</v>
      </c>
    </row>
    <row r="316" spans="1:45" ht="15" customHeight="1">
      <c r="A316" t="s">
        <v>221</v>
      </c>
      <c r="B316">
        <v>1274</v>
      </c>
      <c r="C316" t="s">
        <v>27</v>
      </c>
      <c r="D316" s="8">
        <v>45680</v>
      </c>
      <c r="E316" s="22">
        <v>45946</v>
      </c>
      <c r="F316" t="s">
        <v>422</v>
      </c>
      <c r="H316">
        <v>6</v>
      </c>
      <c r="I316">
        <v>20611890746</v>
      </c>
      <c r="J316" t="s">
        <v>1658</v>
      </c>
      <c r="K316" s="8">
        <v>45680</v>
      </c>
      <c r="Q316">
        <v>1</v>
      </c>
      <c r="R316">
        <v>870</v>
      </c>
      <c r="S316" t="s">
        <v>1227</v>
      </c>
      <c r="T316" t="s">
        <v>219</v>
      </c>
      <c r="U316">
        <v>1</v>
      </c>
      <c r="V316">
        <v>1467.44</v>
      </c>
      <c r="W316">
        <v>1731.58</v>
      </c>
      <c r="X316">
        <v>0</v>
      </c>
      <c r="Y316">
        <v>1467.44</v>
      </c>
      <c r="Z316">
        <v>18</v>
      </c>
      <c r="AA316">
        <v>264.14</v>
      </c>
      <c r="AB316">
        <v>1731.58</v>
      </c>
      <c r="AC316">
        <v>1</v>
      </c>
      <c r="AE316" t="s">
        <v>239</v>
      </c>
      <c r="AF316" t="s">
        <v>29</v>
      </c>
      <c r="AG316">
        <v>2</v>
      </c>
      <c r="AH316" t="s">
        <v>25</v>
      </c>
      <c r="AI316">
        <v>1106</v>
      </c>
      <c r="AJ316" t="s">
        <v>246</v>
      </c>
      <c r="AK316" t="s">
        <v>1346</v>
      </c>
      <c r="AQ316" t="s">
        <v>422</v>
      </c>
      <c r="AS316" t="str">
        <f t="shared" si="5"/>
        <v>FB011274</v>
      </c>
    </row>
    <row r="317" spans="1:45" ht="15" customHeight="1">
      <c r="A317" t="s">
        <v>221</v>
      </c>
      <c r="B317">
        <v>1273</v>
      </c>
      <c r="C317" t="s">
        <v>27</v>
      </c>
      <c r="D317" s="8">
        <v>45680</v>
      </c>
      <c r="E317" s="22">
        <v>45946</v>
      </c>
      <c r="F317" t="s">
        <v>422</v>
      </c>
      <c r="H317">
        <v>6</v>
      </c>
      <c r="I317">
        <v>20611890746</v>
      </c>
      <c r="J317" t="s">
        <v>1393</v>
      </c>
      <c r="K317" s="8">
        <v>45680</v>
      </c>
      <c r="Q317">
        <v>1</v>
      </c>
      <c r="R317">
        <v>874</v>
      </c>
      <c r="S317" t="s">
        <v>1390</v>
      </c>
      <c r="T317" t="s">
        <v>219</v>
      </c>
      <c r="U317">
        <v>1</v>
      </c>
      <c r="V317">
        <v>1</v>
      </c>
      <c r="W317">
        <v>1.18</v>
      </c>
      <c r="X317">
        <v>0</v>
      </c>
      <c r="Y317">
        <v>1</v>
      </c>
      <c r="Z317">
        <v>18</v>
      </c>
      <c r="AA317">
        <v>0.18</v>
      </c>
      <c r="AB317">
        <v>1.18</v>
      </c>
      <c r="AC317">
        <v>1</v>
      </c>
      <c r="AE317" t="s">
        <v>239</v>
      </c>
      <c r="AF317" t="s">
        <v>29</v>
      </c>
      <c r="AG317">
        <v>2</v>
      </c>
      <c r="AH317" t="s">
        <v>25</v>
      </c>
      <c r="AI317">
        <v>1106</v>
      </c>
      <c r="AJ317" t="s">
        <v>246</v>
      </c>
      <c r="AK317" t="s">
        <v>1346</v>
      </c>
      <c r="AQ317" t="s">
        <v>422</v>
      </c>
      <c r="AS317" t="str">
        <f t="shared" si="5"/>
        <v>FB011273</v>
      </c>
    </row>
    <row r="318" spans="1:45" ht="15" customHeight="1">
      <c r="A318" t="s">
        <v>221</v>
      </c>
      <c r="B318">
        <v>1272</v>
      </c>
      <c r="C318" t="s">
        <v>27</v>
      </c>
      <c r="D318" s="8">
        <v>45680</v>
      </c>
      <c r="E318" s="22">
        <v>45946</v>
      </c>
      <c r="F318" t="s">
        <v>422</v>
      </c>
      <c r="H318">
        <v>6</v>
      </c>
      <c r="I318">
        <v>20611890746</v>
      </c>
      <c r="J318" t="s">
        <v>1659</v>
      </c>
      <c r="K318" s="8">
        <v>45680</v>
      </c>
      <c r="Q318">
        <v>1</v>
      </c>
      <c r="R318">
        <v>918</v>
      </c>
      <c r="S318" s="29" t="s">
        <v>1660</v>
      </c>
      <c r="T318" t="s">
        <v>219</v>
      </c>
      <c r="U318">
        <v>1</v>
      </c>
      <c r="V318">
        <v>1400</v>
      </c>
      <c r="W318">
        <v>1652</v>
      </c>
      <c r="X318">
        <v>0</v>
      </c>
      <c r="Y318">
        <v>1400</v>
      </c>
      <c r="Z318">
        <v>18</v>
      </c>
      <c r="AA318">
        <v>252</v>
      </c>
      <c r="AB318">
        <v>1652</v>
      </c>
      <c r="AC318">
        <v>1</v>
      </c>
      <c r="AE318" t="s">
        <v>239</v>
      </c>
      <c r="AF318" t="s">
        <v>29</v>
      </c>
      <c r="AG318">
        <v>2</v>
      </c>
      <c r="AH318" t="s">
        <v>25</v>
      </c>
      <c r="AI318">
        <v>1106</v>
      </c>
      <c r="AJ318" t="s">
        <v>246</v>
      </c>
      <c r="AK318" t="s">
        <v>1342</v>
      </c>
      <c r="AQ318" t="s">
        <v>422</v>
      </c>
      <c r="AS318" t="str">
        <f t="shared" si="5"/>
        <v>FB011272</v>
      </c>
    </row>
    <row r="319" spans="1:45" ht="15" customHeight="1">
      <c r="A319" t="s">
        <v>221</v>
      </c>
      <c r="B319">
        <v>1271</v>
      </c>
      <c r="C319" t="s">
        <v>27</v>
      </c>
      <c r="D319" s="8">
        <v>45680</v>
      </c>
      <c r="E319" s="22">
        <v>45946</v>
      </c>
      <c r="F319" t="s">
        <v>422</v>
      </c>
      <c r="H319">
        <v>6</v>
      </c>
      <c r="I319">
        <v>20611890746</v>
      </c>
      <c r="J319" t="s">
        <v>1661</v>
      </c>
      <c r="K319" s="8">
        <v>45680</v>
      </c>
      <c r="Q319">
        <v>1</v>
      </c>
      <c r="R319">
        <v>877</v>
      </c>
      <c r="S319" t="s">
        <v>197</v>
      </c>
      <c r="T319" t="s">
        <v>219</v>
      </c>
      <c r="U319">
        <v>1</v>
      </c>
      <c r="V319">
        <v>2382.31</v>
      </c>
      <c r="W319">
        <v>2811.12</v>
      </c>
      <c r="X319">
        <v>0</v>
      </c>
      <c r="Y319">
        <v>2382.31</v>
      </c>
      <c r="Z319">
        <v>18</v>
      </c>
      <c r="AA319">
        <v>428.81</v>
      </c>
      <c r="AB319">
        <v>2811.12</v>
      </c>
      <c r="AC319">
        <v>1</v>
      </c>
      <c r="AE319" t="s">
        <v>239</v>
      </c>
      <c r="AF319" t="s">
        <v>29</v>
      </c>
      <c r="AG319">
        <v>2</v>
      </c>
      <c r="AH319" t="s">
        <v>25</v>
      </c>
      <c r="AI319">
        <v>1106</v>
      </c>
      <c r="AJ319" t="s">
        <v>246</v>
      </c>
      <c r="AK319" t="s">
        <v>1346</v>
      </c>
      <c r="AQ319" t="s">
        <v>422</v>
      </c>
      <c r="AS319" t="str">
        <f t="shared" si="5"/>
        <v>FB011271</v>
      </c>
    </row>
    <row r="320" spans="1:45" ht="15" customHeight="1">
      <c r="A320" t="s">
        <v>221</v>
      </c>
      <c r="B320">
        <v>1270</v>
      </c>
      <c r="C320" t="s">
        <v>27</v>
      </c>
      <c r="D320" s="8">
        <v>45680</v>
      </c>
      <c r="E320" s="22">
        <v>45946</v>
      </c>
      <c r="F320" t="s">
        <v>422</v>
      </c>
      <c r="H320">
        <v>6</v>
      </c>
      <c r="I320">
        <v>20611890746</v>
      </c>
      <c r="J320" t="s">
        <v>1662</v>
      </c>
      <c r="K320" s="8">
        <v>45680</v>
      </c>
      <c r="Q320">
        <v>1</v>
      </c>
      <c r="R320">
        <v>870</v>
      </c>
      <c r="S320" t="s">
        <v>1227</v>
      </c>
      <c r="T320" t="s">
        <v>219</v>
      </c>
      <c r="U320">
        <v>1</v>
      </c>
      <c r="V320">
        <v>1468.68</v>
      </c>
      <c r="W320">
        <v>1733.04</v>
      </c>
      <c r="X320">
        <v>0</v>
      </c>
      <c r="Y320">
        <v>1468.68</v>
      </c>
      <c r="Z320">
        <v>18</v>
      </c>
      <c r="AA320">
        <v>264.36</v>
      </c>
      <c r="AB320">
        <v>1733.04</v>
      </c>
      <c r="AC320">
        <v>1</v>
      </c>
      <c r="AE320" t="s">
        <v>239</v>
      </c>
      <c r="AF320" t="s">
        <v>29</v>
      </c>
      <c r="AG320">
        <v>2</v>
      </c>
      <c r="AH320" t="s">
        <v>25</v>
      </c>
      <c r="AI320">
        <v>1106</v>
      </c>
      <c r="AJ320" t="s">
        <v>246</v>
      </c>
      <c r="AK320" t="s">
        <v>1346</v>
      </c>
      <c r="AQ320" t="s">
        <v>422</v>
      </c>
      <c r="AS320" t="str">
        <f t="shared" si="5"/>
        <v>FB011270</v>
      </c>
    </row>
    <row r="321" spans="1:45" ht="15" customHeight="1">
      <c r="A321" t="s">
        <v>221</v>
      </c>
      <c r="B321">
        <v>1269</v>
      </c>
      <c r="C321" t="s">
        <v>27</v>
      </c>
      <c r="D321" s="8">
        <v>45680</v>
      </c>
      <c r="E321" s="22">
        <v>45946</v>
      </c>
      <c r="F321" t="s">
        <v>492</v>
      </c>
      <c r="H321">
        <v>6</v>
      </c>
      <c r="I321">
        <v>20609649039</v>
      </c>
      <c r="J321" t="s">
        <v>1663</v>
      </c>
      <c r="K321" s="8">
        <v>45680</v>
      </c>
      <c r="Q321">
        <v>1</v>
      </c>
      <c r="R321">
        <v>877</v>
      </c>
      <c r="S321" t="s">
        <v>197</v>
      </c>
      <c r="T321" t="s">
        <v>219</v>
      </c>
      <c r="U321">
        <v>1</v>
      </c>
      <c r="V321">
        <v>22</v>
      </c>
      <c r="W321">
        <v>25.96</v>
      </c>
      <c r="X321">
        <v>0</v>
      </c>
      <c r="Y321">
        <v>22</v>
      </c>
      <c r="Z321">
        <v>18</v>
      </c>
      <c r="AA321">
        <v>3.96</v>
      </c>
      <c r="AB321">
        <v>25.96</v>
      </c>
      <c r="AC321">
        <v>1</v>
      </c>
      <c r="AE321" t="s">
        <v>239</v>
      </c>
      <c r="AF321" t="s">
        <v>29</v>
      </c>
      <c r="AG321">
        <v>2</v>
      </c>
      <c r="AH321" t="s">
        <v>25</v>
      </c>
      <c r="AI321">
        <v>1106</v>
      </c>
      <c r="AJ321" t="s">
        <v>246</v>
      </c>
      <c r="AK321" t="s">
        <v>1346</v>
      </c>
      <c r="AQ321" t="s">
        <v>492</v>
      </c>
      <c r="AS321" t="str">
        <f t="shared" si="5"/>
        <v>FB011269</v>
      </c>
    </row>
    <row r="322" spans="1:45" ht="15" customHeight="1">
      <c r="A322" t="s">
        <v>221</v>
      </c>
      <c r="B322">
        <v>1268</v>
      </c>
      <c r="C322" t="s">
        <v>27</v>
      </c>
      <c r="D322" s="8">
        <v>45680</v>
      </c>
      <c r="E322" s="22">
        <v>45946</v>
      </c>
      <c r="F322" t="s">
        <v>492</v>
      </c>
      <c r="H322">
        <v>6</v>
      </c>
      <c r="I322">
        <v>20609649039</v>
      </c>
      <c r="J322" t="s">
        <v>1664</v>
      </c>
      <c r="K322" s="8">
        <v>45680</v>
      </c>
      <c r="Q322">
        <v>1</v>
      </c>
      <c r="R322">
        <v>870</v>
      </c>
      <c r="S322" t="s">
        <v>1227</v>
      </c>
      <c r="T322" t="s">
        <v>219</v>
      </c>
      <c r="U322">
        <v>1</v>
      </c>
      <c r="V322">
        <v>20.5</v>
      </c>
      <c r="W322">
        <v>24.19</v>
      </c>
      <c r="X322">
        <v>0</v>
      </c>
      <c r="Y322">
        <v>20.5</v>
      </c>
      <c r="Z322">
        <v>18</v>
      </c>
      <c r="AA322">
        <v>3.69</v>
      </c>
      <c r="AB322">
        <v>24.19</v>
      </c>
      <c r="AC322">
        <v>1</v>
      </c>
      <c r="AE322" t="s">
        <v>239</v>
      </c>
      <c r="AF322" t="s">
        <v>29</v>
      </c>
      <c r="AG322">
        <v>2</v>
      </c>
      <c r="AH322" t="s">
        <v>25</v>
      </c>
      <c r="AI322">
        <v>1106</v>
      </c>
      <c r="AJ322" t="s">
        <v>246</v>
      </c>
      <c r="AK322" t="s">
        <v>1346</v>
      </c>
      <c r="AQ322" t="s">
        <v>492</v>
      </c>
      <c r="AS322" t="str">
        <f t="shared" si="5"/>
        <v>FB011268</v>
      </c>
    </row>
    <row r="323" spans="1:45" ht="15" customHeight="1">
      <c r="A323" t="s">
        <v>221</v>
      </c>
      <c r="B323">
        <v>1267</v>
      </c>
      <c r="C323" t="s">
        <v>27</v>
      </c>
      <c r="D323" s="8">
        <v>45680</v>
      </c>
      <c r="E323" s="22">
        <v>45946</v>
      </c>
      <c r="F323" t="s">
        <v>855</v>
      </c>
      <c r="H323">
        <v>6</v>
      </c>
      <c r="I323">
        <v>20606865199</v>
      </c>
      <c r="J323" t="s">
        <v>1665</v>
      </c>
      <c r="K323" s="8">
        <v>45680</v>
      </c>
      <c r="Q323">
        <v>1</v>
      </c>
      <c r="R323">
        <v>871</v>
      </c>
      <c r="S323" t="s">
        <v>1381</v>
      </c>
      <c r="T323" t="s">
        <v>219</v>
      </c>
      <c r="U323">
        <v>1</v>
      </c>
      <c r="V323">
        <v>52.29</v>
      </c>
      <c r="W323">
        <v>61.7</v>
      </c>
      <c r="X323">
        <v>0</v>
      </c>
      <c r="Y323">
        <v>52.29</v>
      </c>
      <c r="Z323">
        <v>18</v>
      </c>
      <c r="AA323">
        <v>9.41</v>
      </c>
      <c r="AB323">
        <v>61.7</v>
      </c>
      <c r="AC323">
        <v>1</v>
      </c>
      <c r="AE323" t="s">
        <v>239</v>
      </c>
      <c r="AF323" t="s">
        <v>29</v>
      </c>
      <c r="AG323">
        <v>2</v>
      </c>
      <c r="AH323" t="s">
        <v>25</v>
      </c>
      <c r="AI323">
        <v>1106</v>
      </c>
      <c r="AJ323" t="s">
        <v>246</v>
      </c>
      <c r="AK323" t="s">
        <v>1346</v>
      </c>
      <c r="AQ323" t="s">
        <v>855</v>
      </c>
      <c r="AS323" t="str">
        <f t="shared" si="5"/>
        <v>FB011267</v>
      </c>
    </row>
    <row r="324" spans="1:45" ht="15" customHeight="1">
      <c r="A324" t="s">
        <v>221</v>
      </c>
      <c r="B324">
        <v>1266</v>
      </c>
      <c r="C324" t="s">
        <v>27</v>
      </c>
      <c r="D324" s="8">
        <v>45680</v>
      </c>
      <c r="E324" s="22">
        <v>45946</v>
      </c>
      <c r="F324" t="s">
        <v>855</v>
      </c>
      <c r="H324">
        <v>6</v>
      </c>
      <c r="I324">
        <v>20606865199</v>
      </c>
      <c r="J324" t="s">
        <v>1666</v>
      </c>
      <c r="K324" s="8">
        <v>45680</v>
      </c>
      <c r="Q324">
        <v>1</v>
      </c>
      <c r="R324">
        <v>870</v>
      </c>
      <c r="S324" t="s">
        <v>1227</v>
      </c>
      <c r="T324" t="s">
        <v>219</v>
      </c>
      <c r="U324">
        <v>1</v>
      </c>
      <c r="V324">
        <v>32.200000000000003</v>
      </c>
      <c r="W324">
        <v>38</v>
      </c>
      <c r="X324">
        <v>0</v>
      </c>
      <c r="Y324">
        <v>32.200000000000003</v>
      </c>
      <c r="Z324">
        <v>18.010000000000002</v>
      </c>
      <c r="AA324">
        <v>5.8</v>
      </c>
      <c r="AB324">
        <v>38</v>
      </c>
      <c r="AC324">
        <v>1</v>
      </c>
      <c r="AE324" t="s">
        <v>239</v>
      </c>
      <c r="AF324" t="s">
        <v>29</v>
      </c>
      <c r="AG324">
        <v>2</v>
      </c>
      <c r="AH324" t="s">
        <v>25</v>
      </c>
      <c r="AI324">
        <v>1106</v>
      </c>
      <c r="AJ324" t="s">
        <v>246</v>
      </c>
      <c r="AK324" t="s">
        <v>1346</v>
      </c>
      <c r="AQ324" t="s">
        <v>855</v>
      </c>
      <c r="AS324" t="str">
        <f t="shared" si="5"/>
        <v>FB011266</v>
      </c>
    </row>
    <row r="325" spans="1:45" ht="15" customHeight="1">
      <c r="A325" t="s">
        <v>217</v>
      </c>
      <c r="B325">
        <v>214</v>
      </c>
      <c r="C325" t="s">
        <v>27</v>
      </c>
      <c r="D325" s="8">
        <v>45673</v>
      </c>
      <c r="E325" s="22">
        <v>45946</v>
      </c>
      <c r="F325" t="s">
        <v>928</v>
      </c>
      <c r="H325">
        <v>6</v>
      </c>
      <c r="I325">
        <v>20609670518</v>
      </c>
      <c r="J325" t="s">
        <v>1667</v>
      </c>
      <c r="K325" s="8">
        <v>45673</v>
      </c>
      <c r="Q325">
        <v>1</v>
      </c>
      <c r="R325">
        <v>917</v>
      </c>
      <c r="S325" t="s">
        <v>1668</v>
      </c>
      <c r="T325" t="s">
        <v>219</v>
      </c>
      <c r="U325">
        <v>1</v>
      </c>
      <c r="V325">
        <v>1230</v>
      </c>
      <c r="W325">
        <v>1451.4</v>
      </c>
      <c r="X325">
        <v>0</v>
      </c>
      <c r="Y325">
        <v>1230</v>
      </c>
      <c r="Z325">
        <v>18</v>
      </c>
      <c r="AA325">
        <v>221.4</v>
      </c>
      <c r="AB325">
        <v>1451.4</v>
      </c>
      <c r="AC325">
        <v>1</v>
      </c>
      <c r="AE325" t="s">
        <v>239</v>
      </c>
      <c r="AF325" t="s">
        <v>29</v>
      </c>
      <c r="AG325">
        <v>2</v>
      </c>
      <c r="AH325" t="s">
        <v>25</v>
      </c>
      <c r="AI325">
        <v>1106</v>
      </c>
      <c r="AJ325" t="s">
        <v>246</v>
      </c>
      <c r="AK325" t="s">
        <v>1342</v>
      </c>
      <c r="AQ325" t="s">
        <v>928</v>
      </c>
      <c r="AS325" t="str">
        <f t="shared" si="5"/>
        <v>FFF1214</v>
      </c>
    </row>
    <row r="326" spans="1:45" ht="15" customHeight="1">
      <c r="A326" t="s">
        <v>217</v>
      </c>
      <c r="B326">
        <v>213</v>
      </c>
      <c r="C326" t="s">
        <v>27</v>
      </c>
      <c r="D326" s="8">
        <v>45673</v>
      </c>
      <c r="E326" s="22">
        <v>45946</v>
      </c>
      <c r="F326" t="s">
        <v>34</v>
      </c>
      <c r="H326">
        <v>6</v>
      </c>
      <c r="I326">
        <v>20611018925</v>
      </c>
      <c r="J326" t="s">
        <v>1669</v>
      </c>
      <c r="K326" s="8">
        <v>45673</v>
      </c>
      <c r="Q326">
        <v>1</v>
      </c>
      <c r="R326">
        <v>916</v>
      </c>
      <c r="S326" t="s">
        <v>1670</v>
      </c>
      <c r="T326" t="s">
        <v>219</v>
      </c>
      <c r="U326">
        <v>1</v>
      </c>
      <c r="V326">
        <v>720</v>
      </c>
      <c r="W326">
        <v>849.6</v>
      </c>
      <c r="X326">
        <v>0</v>
      </c>
      <c r="Y326">
        <v>720</v>
      </c>
      <c r="Z326">
        <v>18</v>
      </c>
      <c r="AA326">
        <v>129.6</v>
      </c>
      <c r="AB326">
        <v>849.6</v>
      </c>
      <c r="AC326">
        <v>1</v>
      </c>
      <c r="AE326" t="s">
        <v>239</v>
      </c>
      <c r="AF326" t="s">
        <v>29</v>
      </c>
      <c r="AG326">
        <v>2</v>
      </c>
      <c r="AH326" t="s">
        <v>25</v>
      </c>
      <c r="AI326">
        <v>1106</v>
      </c>
      <c r="AJ326" t="s">
        <v>246</v>
      </c>
      <c r="AK326" t="s">
        <v>1342</v>
      </c>
      <c r="AQ326" t="s">
        <v>34</v>
      </c>
      <c r="AS326" t="str">
        <f t="shared" si="5"/>
        <v>FFF1213</v>
      </c>
    </row>
    <row r="327" spans="1:45" ht="15" customHeight="1">
      <c r="A327" t="s">
        <v>217</v>
      </c>
      <c r="B327">
        <v>212</v>
      </c>
      <c r="C327" t="s">
        <v>27</v>
      </c>
      <c r="D327" s="8">
        <v>45673</v>
      </c>
      <c r="E327" s="22">
        <v>45946</v>
      </c>
      <c r="F327" t="s">
        <v>34</v>
      </c>
      <c r="H327">
        <v>6</v>
      </c>
      <c r="I327">
        <v>20611018925</v>
      </c>
      <c r="J327" t="s">
        <v>1671</v>
      </c>
      <c r="K327" s="8">
        <v>45673</v>
      </c>
      <c r="Q327">
        <v>1</v>
      </c>
      <c r="R327">
        <v>915</v>
      </c>
      <c r="S327" t="s">
        <v>1672</v>
      </c>
      <c r="T327" t="s">
        <v>219</v>
      </c>
      <c r="U327">
        <v>1</v>
      </c>
      <c r="V327">
        <v>720</v>
      </c>
      <c r="W327">
        <v>849.6</v>
      </c>
      <c r="X327">
        <v>0</v>
      </c>
      <c r="Y327">
        <v>720</v>
      </c>
      <c r="Z327">
        <v>18</v>
      </c>
      <c r="AA327">
        <v>129.6</v>
      </c>
      <c r="AB327">
        <v>849.6</v>
      </c>
      <c r="AC327">
        <v>1</v>
      </c>
      <c r="AE327" t="s">
        <v>239</v>
      </c>
      <c r="AF327" t="s">
        <v>29</v>
      </c>
      <c r="AG327">
        <v>2</v>
      </c>
      <c r="AH327" t="s">
        <v>25</v>
      </c>
      <c r="AI327">
        <v>1106</v>
      </c>
      <c r="AJ327" t="s">
        <v>246</v>
      </c>
      <c r="AK327" t="s">
        <v>1342</v>
      </c>
      <c r="AQ327" t="s">
        <v>34</v>
      </c>
      <c r="AS327" t="str">
        <f t="shared" si="5"/>
        <v>FFF1212</v>
      </c>
    </row>
    <row r="328" spans="1:45" ht="15" customHeight="1">
      <c r="A328" t="s">
        <v>217</v>
      </c>
      <c r="B328">
        <v>211</v>
      </c>
      <c r="C328" t="s">
        <v>27</v>
      </c>
      <c r="D328" s="8">
        <v>45673</v>
      </c>
      <c r="E328" s="22">
        <v>45946</v>
      </c>
      <c r="F328" t="s">
        <v>34</v>
      </c>
      <c r="H328">
        <v>6</v>
      </c>
      <c r="I328">
        <v>20611018925</v>
      </c>
      <c r="J328" t="s">
        <v>1673</v>
      </c>
      <c r="K328" s="8">
        <v>45673</v>
      </c>
      <c r="Q328">
        <v>1</v>
      </c>
      <c r="R328">
        <v>914</v>
      </c>
      <c r="S328" t="s">
        <v>1674</v>
      </c>
      <c r="T328" t="s">
        <v>219</v>
      </c>
      <c r="U328">
        <v>1</v>
      </c>
      <c r="V328">
        <v>209.66</v>
      </c>
      <c r="W328">
        <v>247.4</v>
      </c>
      <c r="X328">
        <v>0</v>
      </c>
      <c r="Y328">
        <v>209.66</v>
      </c>
      <c r="Z328">
        <v>18</v>
      </c>
      <c r="AA328">
        <v>37.74</v>
      </c>
      <c r="AB328">
        <v>247.4</v>
      </c>
      <c r="AC328">
        <v>1</v>
      </c>
      <c r="AE328" t="s">
        <v>239</v>
      </c>
      <c r="AF328" t="s">
        <v>29</v>
      </c>
      <c r="AG328">
        <v>2</v>
      </c>
      <c r="AH328" t="s">
        <v>25</v>
      </c>
      <c r="AI328">
        <v>1106</v>
      </c>
      <c r="AJ328" t="s">
        <v>246</v>
      </c>
      <c r="AK328" t="s">
        <v>1342</v>
      </c>
      <c r="AQ328" t="s">
        <v>34</v>
      </c>
      <c r="AS328" t="str">
        <f t="shared" si="5"/>
        <v>FFF1211</v>
      </c>
    </row>
    <row r="329" spans="1:45" ht="15" customHeight="1">
      <c r="A329" t="s">
        <v>1349</v>
      </c>
      <c r="B329">
        <v>665</v>
      </c>
      <c r="C329" t="s">
        <v>27</v>
      </c>
      <c r="D329" s="8">
        <v>45672</v>
      </c>
      <c r="E329" s="22">
        <v>45946</v>
      </c>
      <c r="F329" t="s">
        <v>949</v>
      </c>
      <c r="H329">
        <v>1</v>
      </c>
      <c r="I329">
        <v>47929429</v>
      </c>
      <c r="J329" t="s">
        <v>1675</v>
      </c>
      <c r="K329" s="8">
        <v>45672</v>
      </c>
      <c r="Q329">
        <v>1</v>
      </c>
      <c r="R329">
        <v>877</v>
      </c>
      <c r="S329" t="s">
        <v>197</v>
      </c>
      <c r="T329" t="s">
        <v>219</v>
      </c>
      <c r="U329">
        <v>1</v>
      </c>
      <c r="V329">
        <v>109.83</v>
      </c>
      <c r="W329">
        <v>129.6</v>
      </c>
      <c r="X329">
        <v>0</v>
      </c>
      <c r="Y329">
        <v>109.83</v>
      </c>
      <c r="Z329">
        <v>18</v>
      </c>
      <c r="AA329">
        <v>19.77</v>
      </c>
      <c r="AB329">
        <v>129.6</v>
      </c>
      <c r="AC329">
        <v>1</v>
      </c>
      <c r="AE329" t="s">
        <v>239</v>
      </c>
      <c r="AF329" t="s">
        <v>29</v>
      </c>
      <c r="AG329">
        <v>2</v>
      </c>
      <c r="AH329" t="s">
        <v>25</v>
      </c>
      <c r="AI329">
        <v>1106</v>
      </c>
      <c r="AJ329" t="s">
        <v>246</v>
      </c>
      <c r="AK329" t="s">
        <v>1346</v>
      </c>
      <c r="AQ329" s="29" t="s">
        <v>1676</v>
      </c>
      <c r="AS329" t="str">
        <f t="shared" si="5"/>
        <v>BB01665</v>
      </c>
    </row>
    <row r="330" spans="1:45" ht="15" customHeight="1">
      <c r="A330" t="s">
        <v>1349</v>
      </c>
      <c r="B330">
        <v>664</v>
      </c>
      <c r="C330" t="s">
        <v>27</v>
      </c>
      <c r="D330" s="8">
        <v>45672</v>
      </c>
      <c r="E330" s="22">
        <v>45946</v>
      </c>
      <c r="F330" t="s">
        <v>949</v>
      </c>
      <c r="H330">
        <v>1</v>
      </c>
      <c r="I330">
        <v>47929429</v>
      </c>
      <c r="J330" t="s">
        <v>1677</v>
      </c>
      <c r="K330" s="8">
        <v>45672</v>
      </c>
      <c r="Q330">
        <v>1</v>
      </c>
      <c r="R330">
        <v>878</v>
      </c>
      <c r="S330" t="s">
        <v>1498</v>
      </c>
      <c r="T330" t="s">
        <v>219</v>
      </c>
      <c r="U330">
        <v>1</v>
      </c>
      <c r="V330">
        <v>61.02</v>
      </c>
      <c r="W330">
        <v>72</v>
      </c>
      <c r="X330">
        <v>0</v>
      </c>
      <c r="Y330">
        <v>61.02</v>
      </c>
      <c r="Z330">
        <v>17.989999999999998</v>
      </c>
      <c r="AA330">
        <v>10.98</v>
      </c>
      <c r="AB330">
        <v>72</v>
      </c>
      <c r="AC330">
        <v>1</v>
      </c>
      <c r="AE330" t="s">
        <v>239</v>
      </c>
      <c r="AF330" t="s">
        <v>29</v>
      </c>
      <c r="AG330">
        <v>2</v>
      </c>
      <c r="AH330" t="s">
        <v>25</v>
      </c>
      <c r="AI330">
        <v>1106</v>
      </c>
      <c r="AJ330" t="s">
        <v>246</v>
      </c>
      <c r="AK330" t="s">
        <v>1346</v>
      </c>
      <c r="AQ330" s="29" t="s">
        <v>1676</v>
      </c>
      <c r="AS330" t="str">
        <f t="shared" si="5"/>
        <v>BB01664</v>
      </c>
    </row>
    <row r="331" spans="1:45" ht="15" customHeight="1">
      <c r="A331" t="s">
        <v>221</v>
      </c>
      <c r="B331">
        <v>1265</v>
      </c>
      <c r="C331" t="s">
        <v>27</v>
      </c>
      <c r="D331" s="8">
        <v>45672</v>
      </c>
      <c r="E331" s="22">
        <v>45946</v>
      </c>
      <c r="F331" t="s">
        <v>431</v>
      </c>
      <c r="G331" t="s">
        <v>158</v>
      </c>
      <c r="H331">
        <v>6</v>
      </c>
      <c r="I331">
        <v>20296011356</v>
      </c>
      <c r="J331" t="s">
        <v>1678</v>
      </c>
      <c r="K331" s="8">
        <v>45672</v>
      </c>
      <c r="Q331">
        <v>1</v>
      </c>
      <c r="R331">
        <v>913</v>
      </c>
      <c r="S331" t="s">
        <v>1533</v>
      </c>
      <c r="T331" t="s">
        <v>219</v>
      </c>
      <c r="U331">
        <v>1</v>
      </c>
      <c r="V331">
        <v>300</v>
      </c>
      <c r="W331">
        <v>354</v>
      </c>
      <c r="X331">
        <v>0</v>
      </c>
      <c r="Y331">
        <v>300</v>
      </c>
      <c r="Z331">
        <v>18</v>
      </c>
      <c r="AA331">
        <v>54</v>
      </c>
      <c r="AB331">
        <v>354</v>
      </c>
      <c r="AC331">
        <v>1</v>
      </c>
      <c r="AE331" t="s">
        <v>239</v>
      </c>
      <c r="AF331" t="s">
        <v>29</v>
      </c>
      <c r="AG331">
        <v>2</v>
      </c>
      <c r="AH331" t="s">
        <v>25</v>
      </c>
      <c r="AI331">
        <v>1106</v>
      </c>
      <c r="AJ331" t="s">
        <v>246</v>
      </c>
      <c r="AK331" t="s">
        <v>1408</v>
      </c>
      <c r="AQ331" t="s">
        <v>431</v>
      </c>
      <c r="AS331" t="str">
        <f t="shared" si="5"/>
        <v>FB011265</v>
      </c>
    </row>
    <row r="332" spans="1:45" ht="15" customHeight="1">
      <c r="A332" t="s">
        <v>221</v>
      </c>
      <c r="B332">
        <v>1264</v>
      </c>
      <c r="C332" t="s">
        <v>27</v>
      </c>
      <c r="D332" s="8">
        <v>45672</v>
      </c>
      <c r="E332" s="22">
        <v>45946</v>
      </c>
      <c r="F332" t="s">
        <v>431</v>
      </c>
      <c r="G332" t="s">
        <v>158</v>
      </c>
      <c r="H332">
        <v>6</v>
      </c>
      <c r="I332">
        <v>20296011356</v>
      </c>
      <c r="J332" t="s">
        <v>1679</v>
      </c>
      <c r="K332" s="8">
        <v>45672</v>
      </c>
      <c r="Q332">
        <v>1</v>
      </c>
      <c r="R332">
        <v>877</v>
      </c>
      <c r="S332" t="s">
        <v>197</v>
      </c>
      <c r="T332" t="s">
        <v>219</v>
      </c>
      <c r="U332">
        <v>1</v>
      </c>
      <c r="V332">
        <v>933.64</v>
      </c>
      <c r="W332">
        <v>1101.7</v>
      </c>
      <c r="X332">
        <v>0</v>
      </c>
      <c r="Y332">
        <v>933.64</v>
      </c>
      <c r="Z332">
        <v>18</v>
      </c>
      <c r="AA332">
        <v>168.06</v>
      </c>
      <c r="AB332">
        <v>1101.7</v>
      </c>
      <c r="AC332">
        <v>1</v>
      </c>
      <c r="AE332" t="s">
        <v>239</v>
      </c>
      <c r="AF332" t="s">
        <v>29</v>
      </c>
      <c r="AG332">
        <v>2</v>
      </c>
      <c r="AH332" t="s">
        <v>25</v>
      </c>
      <c r="AI332">
        <v>1106</v>
      </c>
      <c r="AJ332" t="s">
        <v>246</v>
      </c>
      <c r="AK332" t="s">
        <v>1346</v>
      </c>
      <c r="AQ332" t="s">
        <v>431</v>
      </c>
      <c r="AS332" t="str">
        <f t="shared" si="5"/>
        <v>FB011264</v>
      </c>
    </row>
    <row r="333" spans="1:45" ht="15" customHeight="1">
      <c r="A333" t="s">
        <v>221</v>
      </c>
      <c r="B333">
        <v>1263</v>
      </c>
      <c r="C333" t="s">
        <v>27</v>
      </c>
      <c r="D333" s="8">
        <v>45672</v>
      </c>
      <c r="E333" s="22">
        <v>45946</v>
      </c>
      <c r="F333" t="s">
        <v>431</v>
      </c>
      <c r="G333" t="s">
        <v>158</v>
      </c>
      <c r="H333">
        <v>6</v>
      </c>
      <c r="I333">
        <v>20296011356</v>
      </c>
      <c r="J333" t="s">
        <v>1680</v>
      </c>
      <c r="K333" s="8">
        <v>45672</v>
      </c>
      <c r="Q333">
        <v>1</v>
      </c>
      <c r="R333">
        <v>870</v>
      </c>
      <c r="S333" t="s">
        <v>1227</v>
      </c>
      <c r="T333" t="s">
        <v>219</v>
      </c>
      <c r="U333">
        <v>1</v>
      </c>
      <c r="V333">
        <v>364.66</v>
      </c>
      <c r="W333">
        <v>430.3</v>
      </c>
      <c r="X333">
        <v>0</v>
      </c>
      <c r="Y333">
        <v>364.66</v>
      </c>
      <c r="Z333">
        <v>18</v>
      </c>
      <c r="AA333">
        <v>65.64</v>
      </c>
      <c r="AB333">
        <v>430.3</v>
      </c>
      <c r="AC333">
        <v>1</v>
      </c>
      <c r="AE333" t="s">
        <v>239</v>
      </c>
      <c r="AF333" t="s">
        <v>29</v>
      </c>
      <c r="AG333">
        <v>2</v>
      </c>
      <c r="AH333" t="s">
        <v>25</v>
      </c>
      <c r="AI333">
        <v>1106</v>
      </c>
      <c r="AJ333" t="s">
        <v>246</v>
      </c>
      <c r="AK333" t="s">
        <v>1346</v>
      </c>
      <c r="AQ333" t="s">
        <v>431</v>
      </c>
      <c r="AS333" t="str">
        <f t="shared" si="5"/>
        <v>FB011263</v>
      </c>
    </row>
    <row r="334" spans="1:45" ht="15" customHeight="1">
      <c r="A334" t="s">
        <v>221</v>
      </c>
      <c r="B334">
        <v>1262</v>
      </c>
      <c r="C334" t="s">
        <v>27</v>
      </c>
      <c r="D334" s="8">
        <v>45672</v>
      </c>
      <c r="E334" s="22">
        <v>45946</v>
      </c>
      <c r="F334" t="s">
        <v>459</v>
      </c>
      <c r="H334">
        <v>6</v>
      </c>
      <c r="I334">
        <v>20516587874</v>
      </c>
      <c r="J334" t="s">
        <v>1681</v>
      </c>
      <c r="K334" s="8">
        <v>45672</v>
      </c>
      <c r="Q334">
        <v>1</v>
      </c>
      <c r="R334">
        <v>874</v>
      </c>
      <c r="S334" t="s">
        <v>1390</v>
      </c>
      <c r="T334" t="s">
        <v>219</v>
      </c>
      <c r="U334">
        <v>1</v>
      </c>
      <c r="V334">
        <v>7.5</v>
      </c>
      <c r="W334">
        <v>8.85</v>
      </c>
      <c r="X334">
        <v>0</v>
      </c>
      <c r="Y334">
        <v>7.5</v>
      </c>
      <c r="Z334">
        <v>18</v>
      </c>
      <c r="AA334">
        <v>1.35</v>
      </c>
      <c r="AB334">
        <v>8.85</v>
      </c>
      <c r="AC334">
        <v>1</v>
      </c>
      <c r="AE334" t="s">
        <v>239</v>
      </c>
      <c r="AF334" t="s">
        <v>29</v>
      </c>
      <c r="AG334">
        <v>2</v>
      </c>
      <c r="AH334" t="s">
        <v>25</v>
      </c>
      <c r="AI334">
        <v>1106</v>
      </c>
      <c r="AJ334" t="s">
        <v>246</v>
      </c>
      <c r="AK334" t="s">
        <v>1346</v>
      </c>
      <c r="AQ334" t="s">
        <v>459</v>
      </c>
      <c r="AS334" t="str">
        <f t="shared" si="5"/>
        <v>FB011262</v>
      </c>
    </row>
    <row r="335" spans="1:45" ht="15" customHeight="1">
      <c r="A335" t="s">
        <v>221</v>
      </c>
      <c r="B335">
        <v>1261</v>
      </c>
      <c r="C335" t="s">
        <v>27</v>
      </c>
      <c r="D335" s="8">
        <v>45672</v>
      </c>
      <c r="E335" s="22">
        <v>45946</v>
      </c>
      <c r="F335" t="s">
        <v>459</v>
      </c>
      <c r="H335">
        <v>6</v>
      </c>
      <c r="I335">
        <v>20516587874</v>
      </c>
      <c r="J335" t="s">
        <v>1682</v>
      </c>
      <c r="K335" s="8">
        <v>45672</v>
      </c>
      <c r="Q335">
        <v>1</v>
      </c>
      <c r="R335">
        <v>877</v>
      </c>
      <c r="S335" t="s">
        <v>197</v>
      </c>
      <c r="T335" t="s">
        <v>219</v>
      </c>
      <c r="U335">
        <v>1</v>
      </c>
      <c r="V335">
        <v>95</v>
      </c>
      <c r="W335">
        <v>112.1</v>
      </c>
      <c r="X335">
        <v>0</v>
      </c>
      <c r="Y335">
        <v>95</v>
      </c>
      <c r="Z335">
        <v>18</v>
      </c>
      <c r="AA335">
        <v>17.100000000000001</v>
      </c>
      <c r="AB335">
        <v>112.1</v>
      </c>
      <c r="AC335">
        <v>1</v>
      </c>
      <c r="AE335" t="s">
        <v>239</v>
      </c>
      <c r="AF335" t="s">
        <v>29</v>
      </c>
      <c r="AG335">
        <v>2</v>
      </c>
      <c r="AH335" t="s">
        <v>25</v>
      </c>
      <c r="AI335">
        <v>1106</v>
      </c>
      <c r="AJ335" t="s">
        <v>246</v>
      </c>
      <c r="AK335" t="s">
        <v>1346</v>
      </c>
      <c r="AQ335" t="s">
        <v>459</v>
      </c>
      <c r="AS335" t="str">
        <f t="shared" si="5"/>
        <v>FB011261</v>
      </c>
    </row>
    <row r="336" spans="1:45" ht="15" customHeight="1">
      <c r="A336" t="s">
        <v>221</v>
      </c>
      <c r="B336">
        <v>1260</v>
      </c>
      <c r="C336" t="s">
        <v>27</v>
      </c>
      <c r="D336" s="8">
        <v>45672</v>
      </c>
      <c r="E336" s="22">
        <v>45946</v>
      </c>
      <c r="F336" t="s">
        <v>459</v>
      </c>
      <c r="H336">
        <v>6</v>
      </c>
      <c r="I336">
        <v>20516587874</v>
      </c>
      <c r="J336" t="s">
        <v>1683</v>
      </c>
      <c r="K336" s="8">
        <v>45672</v>
      </c>
      <c r="Q336">
        <v>1</v>
      </c>
      <c r="R336">
        <v>870</v>
      </c>
      <c r="S336" t="s">
        <v>1227</v>
      </c>
      <c r="T336" t="s">
        <v>219</v>
      </c>
      <c r="U336">
        <v>1</v>
      </c>
      <c r="V336">
        <v>56.69</v>
      </c>
      <c r="W336">
        <v>66.900000000000006</v>
      </c>
      <c r="X336">
        <v>0</v>
      </c>
      <c r="Y336">
        <v>56.69</v>
      </c>
      <c r="Z336">
        <v>18.010000000000002</v>
      </c>
      <c r="AA336">
        <v>10.210000000000001</v>
      </c>
      <c r="AB336">
        <v>66.900000000000006</v>
      </c>
      <c r="AC336">
        <v>1</v>
      </c>
      <c r="AE336" t="s">
        <v>239</v>
      </c>
      <c r="AF336" t="s">
        <v>29</v>
      </c>
      <c r="AG336">
        <v>2</v>
      </c>
      <c r="AH336" t="s">
        <v>25</v>
      </c>
      <c r="AI336">
        <v>1106</v>
      </c>
      <c r="AJ336" t="s">
        <v>246</v>
      </c>
      <c r="AK336" t="s">
        <v>1346</v>
      </c>
      <c r="AQ336" t="s">
        <v>459</v>
      </c>
      <c r="AS336" t="str">
        <f t="shared" si="5"/>
        <v>FB011260</v>
      </c>
    </row>
    <row r="337" spans="1:45" ht="15" customHeight="1">
      <c r="A337" t="s">
        <v>1349</v>
      </c>
      <c r="B337">
        <v>663</v>
      </c>
      <c r="C337" t="s">
        <v>27</v>
      </c>
      <c r="D337" s="8">
        <v>45672</v>
      </c>
      <c r="E337" s="22">
        <v>45946</v>
      </c>
      <c r="F337" t="s">
        <v>573</v>
      </c>
      <c r="H337">
        <v>1</v>
      </c>
      <c r="I337">
        <v>45273802</v>
      </c>
      <c r="J337" t="s">
        <v>1684</v>
      </c>
      <c r="K337" s="8">
        <v>45672</v>
      </c>
      <c r="Q337">
        <v>1</v>
      </c>
      <c r="R337">
        <v>877</v>
      </c>
      <c r="S337" t="s">
        <v>197</v>
      </c>
      <c r="T337" t="s">
        <v>219</v>
      </c>
      <c r="U337">
        <v>1</v>
      </c>
      <c r="V337">
        <v>518.80999999999995</v>
      </c>
      <c r="W337">
        <v>612.20000000000005</v>
      </c>
      <c r="X337">
        <v>0</v>
      </c>
      <c r="Y337">
        <v>518.80999999999995</v>
      </c>
      <c r="Z337">
        <v>18</v>
      </c>
      <c r="AA337">
        <v>93.39</v>
      </c>
      <c r="AB337">
        <v>612.20000000000005</v>
      </c>
      <c r="AC337">
        <v>1</v>
      </c>
      <c r="AE337" t="s">
        <v>239</v>
      </c>
      <c r="AF337" t="s">
        <v>29</v>
      </c>
      <c r="AG337">
        <v>2</v>
      </c>
      <c r="AH337" t="s">
        <v>25</v>
      </c>
      <c r="AI337">
        <v>1106</v>
      </c>
      <c r="AJ337" t="s">
        <v>246</v>
      </c>
      <c r="AK337" t="s">
        <v>1346</v>
      </c>
      <c r="AQ337" t="s">
        <v>573</v>
      </c>
      <c r="AS337" t="str">
        <f t="shared" si="5"/>
        <v>BB01663</v>
      </c>
    </row>
    <row r="338" spans="1:45" ht="15" customHeight="1">
      <c r="A338" t="s">
        <v>1349</v>
      </c>
      <c r="B338">
        <v>662</v>
      </c>
      <c r="C338" t="s">
        <v>27</v>
      </c>
      <c r="D338" s="8">
        <v>45672</v>
      </c>
      <c r="E338" s="22">
        <v>45946</v>
      </c>
      <c r="F338" t="s">
        <v>573</v>
      </c>
      <c r="H338">
        <v>1</v>
      </c>
      <c r="I338">
        <v>45273802</v>
      </c>
      <c r="J338" t="s">
        <v>1685</v>
      </c>
      <c r="K338" s="8">
        <v>45672</v>
      </c>
      <c r="Q338">
        <v>1</v>
      </c>
      <c r="R338">
        <v>870</v>
      </c>
      <c r="S338" t="s">
        <v>1227</v>
      </c>
      <c r="T338" t="s">
        <v>219</v>
      </c>
      <c r="U338">
        <v>1</v>
      </c>
      <c r="V338">
        <v>511.53</v>
      </c>
      <c r="W338">
        <v>603.6</v>
      </c>
      <c r="X338">
        <v>0</v>
      </c>
      <c r="Y338">
        <v>511.53</v>
      </c>
      <c r="Z338">
        <v>18</v>
      </c>
      <c r="AA338">
        <v>92.07</v>
      </c>
      <c r="AB338">
        <v>603.6</v>
      </c>
      <c r="AC338">
        <v>1</v>
      </c>
      <c r="AE338" t="s">
        <v>239</v>
      </c>
      <c r="AF338" t="s">
        <v>29</v>
      </c>
      <c r="AG338">
        <v>2</v>
      </c>
      <c r="AH338" t="s">
        <v>25</v>
      </c>
      <c r="AI338">
        <v>1106</v>
      </c>
      <c r="AJ338" t="s">
        <v>246</v>
      </c>
      <c r="AK338" t="s">
        <v>1346</v>
      </c>
      <c r="AQ338" t="s">
        <v>573</v>
      </c>
      <c r="AS338" t="str">
        <f t="shared" si="5"/>
        <v>BB01662</v>
      </c>
    </row>
    <row r="339" spans="1:45" ht="15" customHeight="1">
      <c r="A339" t="s">
        <v>217</v>
      </c>
      <c r="B339">
        <v>210</v>
      </c>
      <c r="C339" t="s">
        <v>27</v>
      </c>
      <c r="D339" s="8">
        <v>45666</v>
      </c>
      <c r="E339" s="22">
        <v>45946</v>
      </c>
      <c r="F339" t="s">
        <v>34</v>
      </c>
      <c r="H339">
        <v>6</v>
      </c>
      <c r="I339">
        <v>20611018925</v>
      </c>
      <c r="J339" t="s">
        <v>1686</v>
      </c>
      <c r="K339" s="8">
        <v>45666</v>
      </c>
      <c r="Q339">
        <v>1</v>
      </c>
      <c r="R339">
        <v>912</v>
      </c>
      <c r="S339" t="s">
        <v>1687</v>
      </c>
      <c r="T339" t="s">
        <v>219</v>
      </c>
      <c r="U339">
        <v>1</v>
      </c>
      <c r="V339">
        <v>976.5</v>
      </c>
      <c r="W339">
        <v>1152.27</v>
      </c>
      <c r="X339">
        <v>0</v>
      </c>
      <c r="Y339">
        <v>976.5</v>
      </c>
      <c r="Z339">
        <v>18</v>
      </c>
      <c r="AA339">
        <v>175.77</v>
      </c>
      <c r="AB339">
        <v>1152.27</v>
      </c>
      <c r="AC339">
        <v>1</v>
      </c>
      <c r="AE339" t="s">
        <v>239</v>
      </c>
      <c r="AF339" t="s">
        <v>29</v>
      </c>
      <c r="AG339">
        <v>2</v>
      </c>
      <c r="AH339" t="s">
        <v>25</v>
      </c>
      <c r="AI339">
        <v>1106</v>
      </c>
      <c r="AJ339" t="s">
        <v>246</v>
      </c>
      <c r="AK339" t="s">
        <v>1342</v>
      </c>
      <c r="AQ339" t="s">
        <v>34</v>
      </c>
      <c r="AS339" t="str">
        <f t="shared" si="5"/>
        <v>FFF1210</v>
      </c>
    </row>
    <row r="340" spans="1:45" ht="15" customHeight="1">
      <c r="A340" t="s">
        <v>217</v>
      </c>
      <c r="B340">
        <v>209</v>
      </c>
      <c r="C340" t="s">
        <v>27</v>
      </c>
      <c r="D340" s="8">
        <v>45666</v>
      </c>
      <c r="E340" s="22">
        <v>45946</v>
      </c>
      <c r="F340" t="s">
        <v>34</v>
      </c>
      <c r="H340">
        <v>6</v>
      </c>
      <c r="I340">
        <v>20611018925</v>
      </c>
      <c r="J340" t="s">
        <v>1688</v>
      </c>
      <c r="K340" s="8">
        <v>45666</v>
      </c>
      <c r="Q340">
        <v>1</v>
      </c>
      <c r="R340">
        <v>911</v>
      </c>
      <c r="S340" t="s">
        <v>1689</v>
      </c>
      <c r="T340" t="s">
        <v>219</v>
      </c>
      <c r="U340">
        <v>1</v>
      </c>
      <c r="V340">
        <v>970</v>
      </c>
      <c r="W340">
        <v>1144.5999999999999</v>
      </c>
      <c r="X340">
        <v>0</v>
      </c>
      <c r="Y340">
        <v>970</v>
      </c>
      <c r="Z340">
        <v>18</v>
      </c>
      <c r="AA340">
        <v>174.6</v>
      </c>
      <c r="AB340">
        <v>1144.5999999999999</v>
      </c>
      <c r="AC340">
        <v>1</v>
      </c>
      <c r="AE340" t="s">
        <v>239</v>
      </c>
      <c r="AF340" t="s">
        <v>29</v>
      </c>
      <c r="AG340">
        <v>2</v>
      </c>
      <c r="AH340" t="s">
        <v>25</v>
      </c>
      <c r="AI340">
        <v>1106</v>
      </c>
      <c r="AJ340" t="s">
        <v>246</v>
      </c>
      <c r="AK340" t="s">
        <v>1342</v>
      </c>
      <c r="AQ340" t="s">
        <v>34</v>
      </c>
      <c r="AS340" t="str">
        <f t="shared" si="5"/>
        <v>FFF1209</v>
      </c>
    </row>
    <row r="341" spans="1:45" ht="15" customHeight="1">
      <c r="A341" t="s">
        <v>221</v>
      </c>
      <c r="B341">
        <v>1259</v>
      </c>
      <c r="C341" t="s">
        <v>27</v>
      </c>
      <c r="D341" s="8">
        <v>45665</v>
      </c>
      <c r="E341" s="22">
        <v>45946</v>
      </c>
      <c r="F341" t="s">
        <v>32</v>
      </c>
      <c r="G341" t="s">
        <v>158</v>
      </c>
      <c r="H341">
        <v>6</v>
      </c>
      <c r="I341">
        <v>20608361074</v>
      </c>
      <c r="J341" t="s">
        <v>1690</v>
      </c>
      <c r="K341" s="8">
        <v>45665</v>
      </c>
      <c r="Q341">
        <v>1</v>
      </c>
      <c r="R341">
        <v>910</v>
      </c>
      <c r="S341" t="s">
        <v>1691</v>
      </c>
      <c r="T341" t="s">
        <v>219</v>
      </c>
      <c r="U341">
        <v>1</v>
      </c>
      <c r="V341">
        <v>44.97</v>
      </c>
      <c r="W341">
        <v>53.07</v>
      </c>
      <c r="X341">
        <v>0</v>
      </c>
      <c r="Y341">
        <v>44.97</v>
      </c>
      <c r="Z341">
        <v>18.010000000000002</v>
      </c>
      <c r="AA341">
        <v>8.1</v>
      </c>
      <c r="AB341">
        <v>53.07</v>
      </c>
      <c r="AC341">
        <v>1</v>
      </c>
      <c r="AE341" t="s">
        <v>239</v>
      </c>
      <c r="AF341" t="s">
        <v>29</v>
      </c>
      <c r="AG341">
        <v>2</v>
      </c>
      <c r="AH341" t="s">
        <v>25</v>
      </c>
      <c r="AI341">
        <v>1106</v>
      </c>
      <c r="AJ341" t="s">
        <v>246</v>
      </c>
      <c r="AK341" t="s">
        <v>1346</v>
      </c>
      <c r="AQ341" t="s">
        <v>32</v>
      </c>
      <c r="AS341" t="str">
        <f t="shared" ref="AS341:AS404" si="6">+CONCATENATE(A341,B341)</f>
        <v>FB011259</v>
      </c>
    </row>
    <row r="342" spans="1:45" ht="15" customHeight="1">
      <c r="A342" t="s">
        <v>221</v>
      </c>
      <c r="B342">
        <v>1258</v>
      </c>
      <c r="C342" t="s">
        <v>27</v>
      </c>
      <c r="D342" s="8">
        <v>45665</v>
      </c>
      <c r="E342" s="22">
        <v>45946</v>
      </c>
      <c r="F342" t="s">
        <v>32</v>
      </c>
      <c r="G342" t="s">
        <v>158</v>
      </c>
      <c r="H342">
        <v>6</v>
      </c>
      <c r="I342">
        <v>20608361074</v>
      </c>
      <c r="J342" t="s">
        <v>1692</v>
      </c>
      <c r="K342" s="8">
        <v>45665</v>
      </c>
      <c r="Q342">
        <v>1</v>
      </c>
      <c r="R342">
        <v>909</v>
      </c>
      <c r="S342" t="s">
        <v>1693</v>
      </c>
      <c r="T342" t="s">
        <v>219</v>
      </c>
      <c r="U342">
        <v>1</v>
      </c>
      <c r="V342">
        <v>210</v>
      </c>
      <c r="W342">
        <v>247.8</v>
      </c>
      <c r="X342">
        <v>0</v>
      </c>
      <c r="Y342">
        <v>210</v>
      </c>
      <c r="Z342">
        <v>18</v>
      </c>
      <c r="AA342">
        <v>37.799999999999997</v>
      </c>
      <c r="AB342">
        <v>247.8</v>
      </c>
      <c r="AC342">
        <v>1</v>
      </c>
      <c r="AE342" t="s">
        <v>239</v>
      </c>
      <c r="AF342" t="s">
        <v>29</v>
      </c>
      <c r="AG342">
        <v>2</v>
      </c>
      <c r="AH342" t="s">
        <v>25</v>
      </c>
      <c r="AI342">
        <v>1106</v>
      </c>
      <c r="AJ342" t="s">
        <v>246</v>
      </c>
      <c r="AK342" t="s">
        <v>1408</v>
      </c>
      <c r="AQ342" t="s">
        <v>32</v>
      </c>
      <c r="AS342" t="str">
        <f t="shared" si="6"/>
        <v>FB011258</v>
      </c>
    </row>
    <row r="343" spans="1:45" ht="15" customHeight="1">
      <c r="A343" t="s">
        <v>221</v>
      </c>
      <c r="B343">
        <v>1257</v>
      </c>
      <c r="C343" t="s">
        <v>27</v>
      </c>
      <c r="D343" s="8">
        <v>45665</v>
      </c>
      <c r="E343" s="22">
        <v>45946</v>
      </c>
      <c r="F343" t="s">
        <v>32</v>
      </c>
      <c r="G343" t="s">
        <v>158</v>
      </c>
      <c r="H343">
        <v>6</v>
      </c>
      <c r="I343">
        <v>20608361074</v>
      </c>
      <c r="J343" t="s">
        <v>1694</v>
      </c>
      <c r="K343" s="8">
        <v>45665</v>
      </c>
      <c r="Q343">
        <v>1</v>
      </c>
      <c r="R343">
        <v>908</v>
      </c>
      <c r="S343" t="s">
        <v>1695</v>
      </c>
      <c r="T343" t="s">
        <v>219</v>
      </c>
      <c r="U343">
        <v>1</v>
      </c>
      <c r="V343">
        <v>2551.0300000000002</v>
      </c>
      <c r="W343">
        <v>3010.21</v>
      </c>
      <c r="X343">
        <v>0</v>
      </c>
      <c r="Y343">
        <v>2551.0300000000002</v>
      </c>
      <c r="Z343">
        <v>18</v>
      </c>
      <c r="AA343">
        <v>459.18</v>
      </c>
      <c r="AB343">
        <v>3010.21</v>
      </c>
      <c r="AC343">
        <v>1</v>
      </c>
      <c r="AE343" t="s">
        <v>239</v>
      </c>
      <c r="AF343" t="s">
        <v>29</v>
      </c>
      <c r="AG343">
        <v>2</v>
      </c>
      <c r="AH343" t="s">
        <v>25</v>
      </c>
      <c r="AI343">
        <v>1106</v>
      </c>
      <c r="AJ343" t="s">
        <v>246</v>
      </c>
      <c r="AK343" t="s">
        <v>1346</v>
      </c>
      <c r="AQ343" t="s">
        <v>32</v>
      </c>
      <c r="AS343" t="str">
        <f t="shared" si="6"/>
        <v>FB011257</v>
      </c>
    </row>
    <row r="344" spans="1:45" ht="15" customHeight="1">
      <c r="A344" t="s">
        <v>221</v>
      </c>
      <c r="B344">
        <v>1256</v>
      </c>
      <c r="C344" t="s">
        <v>27</v>
      </c>
      <c r="D344" s="8">
        <v>45665</v>
      </c>
      <c r="E344" s="22">
        <v>45946</v>
      </c>
      <c r="F344" t="s">
        <v>32</v>
      </c>
      <c r="G344" t="s">
        <v>158</v>
      </c>
      <c r="H344">
        <v>6</v>
      </c>
      <c r="I344">
        <v>20608361074</v>
      </c>
      <c r="J344" t="s">
        <v>1696</v>
      </c>
      <c r="K344" s="8">
        <v>45665</v>
      </c>
      <c r="Q344">
        <v>1</v>
      </c>
      <c r="R344">
        <v>907</v>
      </c>
      <c r="S344" t="s">
        <v>1697</v>
      </c>
      <c r="T344" t="s">
        <v>219</v>
      </c>
      <c r="U344">
        <v>1</v>
      </c>
      <c r="V344">
        <v>1594.55</v>
      </c>
      <c r="W344">
        <v>1881.57</v>
      </c>
      <c r="X344">
        <v>0</v>
      </c>
      <c r="Y344">
        <v>1594.55</v>
      </c>
      <c r="Z344">
        <v>18</v>
      </c>
      <c r="AA344">
        <v>287.02</v>
      </c>
      <c r="AB344">
        <v>1881.57</v>
      </c>
      <c r="AC344">
        <v>1</v>
      </c>
      <c r="AE344" t="s">
        <v>239</v>
      </c>
      <c r="AF344" t="s">
        <v>29</v>
      </c>
      <c r="AG344">
        <v>2</v>
      </c>
      <c r="AH344" t="s">
        <v>25</v>
      </c>
      <c r="AI344">
        <v>1106</v>
      </c>
      <c r="AJ344" t="s">
        <v>246</v>
      </c>
      <c r="AK344" t="s">
        <v>1346</v>
      </c>
      <c r="AQ344" t="s">
        <v>32</v>
      </c>
      <c r="AS344" t="str">
        <f t="shared" si="6"/>
        <v>FB011256</v>
      </c>
    </row>
    <row r="345" spans="1:45" ht="15" customHeight="1">
      <c r="A345" t="s">
        <v>221</v>
      </c>
      <c r="B345">
        <v>1255</v>
      </c>
      <c r="C345" t="s">
        <v>27</v>
      </c>
      <c r="D345" s="8">
        <v>45665</v>
      </c>
      <c r="E345" s="22">
        <v>45946</v>
      </c>
      <c r="F345" t="s">
        <v>34</v>
      </c>
      <c r="H345">
        <v>6</v>
      </c>
      <c r="I345">
        <v>20611018925</v>
      </c>
      <c r="J345" t="s">
        <v>1698</v>
      </c>
      <c r="K345" s="8">
        <v>45665</v>
      </c>
      <c r="Q345">
        <v>1</v>
      </c>
      <c r="R345">
        <v>906</v>
      </c>
      <c r="S345" t="s">
        <v>1699</v>
      </c>
      <c r="T345" t="s">
        <v>219</v>
      </c>
      <c r="U345">
        <v>1</v>
      </c>
      <c r="V345">
        <v>83.53</v>
      </c>
      <c r="W345">
        <v>98.56</v>
      </c>
      <c r="X345">
        <v>0</v>
      </c>
      <c r="Y345">
        <v>83.53</v>
      </c>
      <c r="Z345">
        <v>17.989999999999998</v>
      </c>
      <c r="AA345">
        <v>15.03</v>
      </c>
      <c r="AB345">
        <v>98.56</v>
      </c>
      <c r="AC345">
        <v>1</v>
      </c>
      <c r="AE345" t="s">
        <v>239</v>
      </c>
      <c r="AF345" t="s">
        <v>29</v>
      </c>
      <c r="AG345">
        <v>2</v>
      </c>
      <c r="AH345" t="s">
        <v>25</v>
      </c>
      <c r="AI345">
        <v>1106</v>
      </c>
      <c r="AJ345" t="s">
        <v>246</v>
      </c>
      <c r="AK345" t="s">
        <v>1346</v>
      </c>
      <c r="AQ345" t="s">
        <v>34</v>
      </c>
      <c r="AS345" t="str">
        <f t="shared" si="6"/>
        <v>FB011255</v>
      </c>
    </row>
    <row r="346" spans="1:45" ht="15" customHeight="1">
      <c r="A346" t="s">
        <v>221</v>
      </c>
      <c r="B346">
        <v>1254</v>
      </c>
      <c r="C346" t="s">
        <v>27</v>
      </c>
      <c r="D346" s="8">
        <v>45665</v>
      </c>
      <c r="E346" s="22">
        <v>45946</v>
      </c>
      <c r="F346" t="s">
        <v>34</v>
      </c>
      <c r="H346">
        <v>6</v>
      </c>
      <c r="I346">
        <v>20611018925</v>
      </c>
      <c r="J346" t="s">
        <v>1700</v>
      </c>
      <c r="K346" s="8">
        <v>45665</v>
      </c>
      <c r="Q346">
        <v>1</v>
      </c>
      <c r="R346">
        <v>905</v>
      </c>
      <c r="S346" t="s">
        <v>1701</v>
      </c>
      <c r="T346" t="s">
        <v>219</v>
      </c>
      <c r="U346">
        <v>1</v>
      </c>
      <c r="V346">
        <v>4737.62</v>
      </c>
      <c r="W346">
        <v>5590.39</v>
      </c>
      <c r="X346">
        <v>0</v>
      </c>
      <c r="Y346">
        <v>4737.62</v>
      </c>
      <c r="Z346">
        <v>18</v>
      </c>
      <c r="AA346">
        <v>852.77</v>
      </c>
      <c r="AB346">
        <v>5590.39</v>
      </c>
      <c r="AC346">
        <v>1</v>
      </c>
      <c r="AE346" t="s">
        <v>239</v>
      </c>
      <c r="AF346" t="s">
        <v>29</v>
      </c>
      <c r="AG346">
        <v>2</v>
      </c>
      <c r="AH346" t="s">
        <v>25</v>
      </c>
      <c r="AI346">
        <v>1106</v>
      </c>
      <c r="AJ346" t="s">
        <v>246</v>
      </c>
      <c r="AK346" t="s">
        <v>1346</v>
      </c>
      <c r="AQ346" t="s">
        <v>34</v>
      </c>
      <c r="AS346" t="str">
        <f t="shared" si="6"/>
        <v>FB011254</v>
      </c>
    </row>
    <row r="347" spans="1:45" ht="15" customHeight="1">
      <c r="A347" t="s">
        <v>221</v>
      </c>
      <c r="B347">
        <v>1253</v>
      </c>
      <c r="C347" t="s">
        <v>27</v>
      </c>
      <c r="D347" s="8">
        <v>45665</v>
      </c>
      <c r="E347" s="22">
        <v>45946</v>
      </c>
      <c r="F347" t="s">
        <v>34</v>
      </c>
      <c r="H347">
        <v>6</v>
      </c>
      <c r="I347">
        <v>20611018925</v>
      </c>
      <c r="J347" t="s">
        <v>1702</v>
      </c>
      <c r="K347" s="8">
        <v>45665</v>
      </c>
      <c r="Q347">
        <v>1</v>
      </c>
      <c r="R347">
        <v>904</v>
      </c>
      <c r="S347" t="s">
        <v>1703</v>
      </c>
      <c r="T347" t="s">
        <v>219</v>
      </c>
      <c r="U347">
        <v>1</v>
      </c>
      <c r="V347">
        <v>2961.31</v>
      </c>
      <c r="W347">
        <v>3494.34</v>
      </c>
      <c r="X347">
        <v>0</v>
      </c>
      <c r="Y347">
        <v>2961.31</v>
      </c>
      <c r="Z347">
        <v>18</v>
      </c>
      <c r="AA347">
        <v>533.03</v>
      </c>
      <c r="AB347">
        <v>3494.34</v>
      </c>
      <c r="AC347">
        <v>1</v>
      </c>
      <c r="AE347" t="s">
        <v>239</v>
      </c>
      <c r="AF347" t="s">
        <v>29</v>
      </c>
      <c r="AG347">
        <v>2</v>
      </c>
      <c r="AH347" t="s">
        <v>25</v>
      </c>
      <c r="AI347">
        <v>1106</v>
      </c>
      <c r="AJ347" t="s">
        <v>246</v>
      </c>
      <c r="AK347" t="s">
        <v>1346</v>
      </c>
      <c r="AQ347" t="s">
        <v>34</v>
      </c>
      <c r="AS347" t="str">
        <f t="shared" si="6"/>
        <v>FB011253</v>
      </c>
    </row>
    <row r="348" spans="1:45" ht="15" customHeight="1">
      <c r="A348" t="s">
        <v>221</v>
      </c>
      <c r="B348">
        <v>1252</v>
      </c>
      <c r="C348" t="s">
        <v>27</v>
      </c>
      <c r="D348" s="8">
        <v>45665</v>
      </c>
      <c r="E348" s="22">
        <v>45946</v>
      </c>
      <c r="F348" t="s">
        <v>34</v>
      </c>
      <c r="H348">
        <v>6</v>
      </c>
      <c r="I348">
        <v>20611018925</v>
      </c>
      <c r="J348" t="s">
        <v>1704</v>
      </c>
      <c r="K348" s="8">
        <v>45665</v>
      </c>
      <c r="Q348">
        <v>1</v>
      </c>
      <c r="R348">
        <v>903</v>
      </c>
      <c r="S348" t="s">
        <v>1705</v>
      </c>
      <c r="T348" t="s">
        <v>219</v>
      </c>
      <c r="U348">
        <v>1</v>
      </c>
      <c r="V348">
        <v>390</v>
      </c>
      <c r="W348">
        <v>460.2</v>
      </c>
      <c r="X348">
        <v>0</v>
      </c>
      <c r="Y348">
        <v>390</v>
      </c>
      <c r="Z348">
        <v>18</v>
      </c>
      <c r="AA348">
        <v>70.2</v>
      </c>
      <c r="AB348">
        <v>460.2</v>
      </c>
      <c r="AC348">
        <v>1</v>
      </c>
      <c r="AE348" t="s">
        <v>239</v>
      </c>
      <c r="AF348" t="s">
        <v>29</v>
      </c>
      <c r="AG348">
        <v>2</v>
      </c>
      <c r="AH348" t="s">
        <v>25</v>
      </c>
      <c r="AI348">
        <v>1106</v>
      </c>
      <c r="AJ348" t="s">
        <v>246</v>
      </c>
      <c r="AK348" t="s">
        <v>1408</v>
      </c>
      <c r="AQ348" t="s">
        <v>34</v>
      </c>
      <c r="AS348" t="str">
        <f t="shared" si="6"/>
        <v>FB011252</v>
      </c>
    </row>
    <row r="349" spans="1:45" ht="15" customHeight="1">
      <c r="A349" t="s">
        <v>221</v>
      </c>
      <c r="B349">
        <v>1251</v>
      </c>
      <c r="C349" t="s">
        <v>27</v>
      </c>
      <c r="D349" s="8">
        <v>45665</v>
      </c>
      <c r="E349" s="22">
        <v>45946</v>
      </c>
      <c r="F349" t="s">
        <v>978</v>
      </c>
      <c r="H349">
        <v>6</v>
      </c>
      <c r="I349">
        <v>20604570451</v>
      </c>
      <c r="J349" t="s">
        <v>1706</v>
      </c>
      <c r="K349" s="8">
        <v>45665</v>
      </c>
      <c r="Q349">
        <v>1</v>
      </c>
      <c r="R349">
        <v>877</v>
      </c>
      <c r="S349" t="s">
        <v>197</v>
      </c>
      <c r="T349" t="s">
        <v>219</v>
      </c>
      <c r="U349">
        <v>1</v>
      </c>
      <c r="V349">
        <v>788.9</v>
      </c>
      <c r="W349">
        <v>930.9</v>
      </c>
      <c r="X349">
        <v>0</v>
      </c>
      <c r="Y349">
        <v>788.9</v>
      </c>
      <c r="Z349">
        <v>18</v>
      </c>
      <c r="AA349">
        <v>142</v>
      </c>
      <c r="AB349">
        <v>930.9</v>
      </c>
      <c r="AC349">
        <v>1</v>
      </c>
      <c r="AE349" t="s">
        <v>239</v>
      </c>
      <c r="AF349" t="s">
        <v>29</v>
      </c>
      <c r="AG349">
        <v>2</v>
      </c>
      <c r="AH349" t="s">
        <v>25</v>
      </c>
      <c r="AI349">
        <v>1106</v>
      </c>
      <c r="AJ349" t="s">
        <v>246</v>
      </c>
      <c r="AK349" t="s">
        <v>1346</v>
      </c>
      <c r="AQ349" t="s">
        <v>978</v>
      </c>
      <c r="AS349" t="str">
        <f t="shared" si="6"/>
        <v>FB011251</v>
      </c>
    </row>
    <row r="350" spans="1:45" ht="15" customHeight="1">
      <c r="A350" t="s">
        <v>221</v>
      </c>
      <c r="B350">
        <v>1250</v>
      </c>
      <c r="C350" t="s">
        <v>27</v>
      </c>
      <c r="D350" s="8">
        <v>45665</v>
      </c>
      <c r="E350" s="22">
        <v>45946</v>
      </c>
      <c r="F350" t="s">
        <v>978</v>
      </c>
      <c r="H350">
        <v>6</v>
      </c>
      <c r="I350">
        <v>20604570451</v>
      </c>
      <c r="J350" t="s">
        <v>1707</v>
      </c>
      <c r="K350" s="8">
        <v>45665</v>
      </c>
      <c r="Q350">
        <v>1</v>
      </c>
      <c r="R350">
        <v>870</v>
      </c>
      <c r="S350" t="s">
        <v>1227</v>
      </c>
      <c r="T350" t="s">
        <v>219</v>
      </c>
      <c r="U350">
        <v>1</v>
      </c>
      <c r="V350">
        <v>461.61</v>
      </c>
      <c r="W350">
        <v>544.70000000000005</v>
      </c>
      <c r="X350">
        <v>0</v>
      </c>
      <c r="Y350">
        <v>461.61</v>
      </c>
      <c r="Z350">
        <v>18</v>
      </c>
      <c r="AA350">
        <v>83.09</v>
      </c>
      <c r="AB350">
        <v>544.70000000000005</v>
      </c>
      <c r="AC350">
        <v>1</v>
      </c>
      <c r="AE350" t="s">
        <v>239</v>
      </c>
      <c r="AF350" t="s">
        <v>29</v>
      </c>
      <c r="AG350">
        <v>2</v>
      </c>
      <c r="AH350" t="s">
        <v>25</v>
      </c>
      <c r="AI350">
        <v>1106</v>
      </c>
      <c r="AJ350" t="s">
        <v>246</v>
      </c>
      <c r="AK350" t="s">
        <v>1346</v>
      </c>
      <c r="AQ350" t="s">
        <v>978</v>
      </c>
      <c r="AS350" t="str">
        <f t="shared" si="6"/>
        <v>FB011250</v>
      </c>
    </row>
    <row r="351" spans="1:45" ht="15" customHeight="1">
      <c r="A351" t="s">
        <v>1349</v>
      </c>
      <c r="B351">
        <v>657</v>
      </c>
      <c r="C351" t="s">
        <v>27</v>
      </c>
      <c r="D351" s="8">
        <v>45665</v>
      </c>
      <c r="E351" s="22">
        <v>45946</v>
      </c>
      <c r="F351" t="s">
        <v>1038</v>
      </c>
      <c r="G351" t="s">
        <v>158</v>
      </c>
      <c r="H351">
        <v>1</v>
      </c>
      <c r="I351">
        <v>9059888</v>
      </c>
      <c r="J351" t="s">
        <v>1708</v>
      </c>
      <c r="K351" s="8">
        <v>45665</v>
      </c>
      <c r="Q351">
        <v>1</v>
      </c>
      <c r="R351">
        <v>877</v>
      </c>
      <c r="S351" t="s">
        <v>197</v>
      </c>
      <c r="T351" t="s">
        <v>219</v>
      </c>
      <c r="U351">
        <v>1</v>
      </c>
      <c r="V351">
        <v>1599.66</v>
      </c>
      <c r="W351">
        <v>1887.6</v>
      </c>
      <c r="X351">
        <v>0</v>
      </c>
      <c r="Y351">
        <v>1599.66</v>
      </c>
      <c r="Z351">
        <v>18</v>
      </c>
      <c r="AA351">
        <v>287.94</v>
      </c>
      <c r="AB351">
        <v>1887.6</v>
      </c>
      <c r="AC351">
        <v>1</v>
      </c>
      <c r="AE351" t="s">
        <v>239</v>
      </c>
      <c r="AF351" t="s">
        <v>29</v>
      </c>
      <c r="AG351">
        <v>2</v>
      </c>
      <c r="AH351" t="s">
        <v>25</v>
      </c>
      <c r="AI351">
        <v>1106</v>
      </c>
      <c r="AJ351" t="s">
        <v>246</v>
      </c>
      <c r="AK351" t="s">
        <v>1346</v>
      </c>
      <c r="AQ351" t="s">
        <v>1038</v>
      </c>
      <c r="AS351" t="str">
        <f t="shared" si="6"/>
        <v>BB01657</v>
      </c>
    </row>
    <row r="352" spans="1:45" ht="15" customHeight="1">
      <c r="A352" t="s">
        <v>1349</v>
      </c>
      <c r="B352">
        <v>656</v>
      </c>
      <c r="C352" t="s">
        <v>27</v>
      </c>
      <c r="D352" s="8">
        <v>45665</v>
      </c>
      <c r="E352" s="22">
        <v>45946</v>
      </c>
      <c r="F352" t="s">
        <v>1038</v>
      </c>
      <c r="G352" t="s">
        <v>158</v>
      </c>
      <c r="H352">
        <v>1</v>
      </c>
      <c r="I352">
        <v>9059888</v>
      </c>
      <c r="J352" t="s">
        <v>1709</v>
      </c>
      <c r="K352" s="8">
        <v>45665</v>
      </c>
      <c r="Q352">
        <v>1</v>
      </c>
      <c r="R352">
        <v>870</v>
      </c>
      <c r="S352" t="s">
        <v>1227</v>
      </c>
      <c r="T352" t="s">
        <v>219</v>
      </c>
      <c r="U352">
        <v>1</v>
      </c>
      <c r="V352">
        <v>947.12</v>
      </c>
      <c r="W352">
        <v>1117.5999999999999</v>
      </c>
      <c r="X352">
        <v>0</v>
      </c>
      <c r="Y352">
        <v>947.12</v>
      </c>
      <c r="Z352">
        <v>18</v>
      </c>
      <c r="AA352">
        <v>170.48</v>
      </c>
      <c r="AB352">
        <v>1117.5999999999999</v>
      </c>
      <c r="AC352">
        <v>1</v>
      </c>
      <c r="AE352" t="s">
        <v>239</v>
      </c>
      <c r="AF352" t="s">
        <v>29</v>
      </c>
      <c r="AG352">
        <v>2</v>
      </c>
      <c r="AH352" t="s">
        <v>25</v>
      </c>
      <c r="AI352">
        <v>1106</v>
      </c>
      <c r="AJ352" t="s">
        <v>246</v>
      </c>
      <c r="AK352" t="s">
        <v>1346</v>
      </c>
      <c r="AQ352" t="s">
        <v>1038</v>
      </c>
      <c r="AS352" t="str">
        <f t="shared" si="6"/>
        <v>BB01656</v>
      </c>
    </row>
    <row r="353" spans="1:45" ht="15" customHeight="1">
      <c r="A353" t="s">
        <v>221</v>
      </c>
      <c r="B353">
        <v>1249</v>
      </c>
      <c r="C353" t="s">
        <v>27</v>
      </c>
      <c r="D353" s="8">
        <v>45665</v>
      </c>
      <c r="E353" s="22">
        <v>45946</v>
      </c>
      <c r="F353" t="s">
        <v>459</v>
      </c>
      <c r="H353">
        <v>6</v>
      </c>
      <c r="I353">
        <v>20516587874</v>
      </c>
      <c r="J353" t="s">
        <v>1710</v>
      </c>
      <c r="K353" s="8">
        <v>45665</v>
      </c>
      <c r="Q353">
        <v>1</v>
      </c>
      <c r="R353">
        <v>877</v>
      </c>
      <c r="S353" t="s">
        <v>197</v>
      </c>
      <c r="T353" t="s">
        <v>219</v>
      </c>
      <c r="U353">
        <v>1</v>
      </c>
      <c r="V353">
        <v>92.54</v>
      </c>
      <c r="W353">
        <v>109.2</v>
      </c>
      <c r="X353">
        <v>0</v>
      </c>
      <c r="Y353">
        <v>92.54</v>
      </c>
      <c r="Z353">
        <v>18</v>
      </c>
      <c r="AA353">
        <v>16.66</v>
      </c>
      <c r="AB353">
        <v>109.2</v>
      </c>
      <c r="AC353">
        <v>1</v>
      </c>
      <c r="AE353" t="s">
        <v>239</v>
      </c>
      <c r="AF353" t="s">
        <v>29</v>
      </c>
      <c r="AG353">
        <v>2</v>
      </c>
      <c r="AH353" t="s">
        <v>25</v>
      </c>
      <c r="AI353">
        <v>1106</v>
      </c>
      <c r="AJ353" t="s">
        <v>246</v>
      </c>
      <c r="AK353" t="s">
        <v>1346</v>
      </c>
      <c r="AQ353" t="s">
        <v>459</v>
      </c>
      <c r="AS353" t="str">
        <f t="shared" si="6"/>
        <v>FB011249</v>
      </c>
    </row>
    <row r="354" spans="1:45" ht="15" customHeight="1">
      <c r="A354" t="s">
        <v>221</v>
      </c>
      <c r="B354">
        <v>1248</v>
      </c>
      <c r="C354" t="s">
        <v>27</v>
      </c>
      <c r="D354" s="8">
        <v>45665</v>
      </c>
      <c r="E354" s="22">
        <v>45946</v>
      </c>
      <c r="F354" t="s">
        <v>459</v>
      </c>
      <c r="H354">
        <v>6</v>
      </c>
      <c r="I354">
        <v>20516587874</v>
      </c>
      <c r="J354" t="s">
        <v>1711</v>
      </c>
      <c r="K354" s="8">
        <v>45665</v>
      </c>
      <c r="Q354">
        <v>1</v>
      </c>
      <c r="R354">
        <v>870</v>
      </c>
      <c r="S354" t="s">
        <v>1227</v>
      </c>
      <c r="T354" t="s">
        <v>219</v>
      </c>
      <c r="U354">
        <v>1</v>
      </c>
      <c r="V354">
        <v>54.75</v>
      </c>
      <c r="W354">
        <v>64.599999999999994</v>
      </c>
      <c r="X354">
        <v>0</v>
      </c>
      <c r="Y354">
        <v>54.75</v>
      </c>
      <c r="Z354">
        <v>17.989999999999998</v>
      </c>
      <c r="AA354">
        <v>9.85</v>
      </c>
      <c r="AB354">
        <v>64.599999999999994</v>
      </c>
      <c r="AC354">
        <v>1</v>
      </c>
      <c r="AE354" t="s">
        <v>239</v>
      </c>
      <c r="AF354" t="s">
        <v>29</v>
      </c>
      <c r="AG354">
        <v>2</v>
      </c>
      <c r="AH354" t="s">
        <v>25</v>
      </c>
      <c r="AI354">
        <v>1106</v>
      </c>
      <c r="AJ354" t="s">
        <v>246</v>
      </c>
      <c r="AK354" t="s">
        <v>1346</v>
      </c>
      <c r="AQ354" t="s">
        <v>459</v>
      </c>
      <c r="AS354" t="str">
        <f t="shared" si="6"/>
        <v>FB011248</v>
      </c>
    </row>
    <row r="355" spans="1:45" ht="15" customHeight="1">
      <c r="A355" t="s">
        <v>1349</v>
      </c>
      <c r="B355">
        <v>655</v>
      </c>
      <c r="C355" t="s">
        <v>27</v>
      </c>
      <c r="D355" s="8">
        <v>45665</v>
      </c>
      <c r="E355" s="22">
        <v>45946</v>
      </c>
      <c r="F355" t="s">
        <v>1043</v>
      </c>
      <c r="H355">
        <v>1</v>
      </c>
      <c r="I355">
        <v>43200314</v>
      </c>
      <c r="J355" t="s">
        <v>1712</v>
      </c>
      <c r="K355" s="8">
        <v>45665</v>
      </c>
      <c r="Q355">
        <v>1</v>
      </c>
      <c r="R355">
        <v>874</v>
      </c>
      <c r="S355" t="s">
        <v>1390</v>
      </c>
      <c r="T355" t="s">
        <v>219</v>
      </c>
      <c r="U355">
        <v>1</v>
      </c>
      <c r="V355">
        <v>15</v>
      </c>
      <c r="W355">
        <v>17.7</v>
      </c>
      <c r="X355">
        <v>0</v>
      </c>
      <c r="Y355">
        <v>15</v>
      </c>
      <c r="Z355">
        <v>18</v>
      </c>
      <c r="AA355">
        <v>2.7</v>
      </c>
      <c r="AB355">
        <v>17.7</v>
      </c>
      <c r="AC355">
        <v>1</v>
      </c>
      <c r="AE355" t="s">
        <v>239</v>
      </c>
      <c r="AF355" t="s">
        <v>29</v>
      </c>
      <c r="AG355">
        <v>2</v>
      </c>
      <c r="AH355" t="s">
        <v>25</v>
      </c>
      <c r="AI355">
        <v>1106</v>
      </c>
      <c r="AJ355" t="s">
        <v>246</v>
      </c>
      <c r="AK355" t="s">
        <v>1346</v>
      </c>
      <c r="AQ355" t="s">
        <v>1043</v>
      </c>
      <c r="AS355" t="str">
        <f t="shared" si="6"/>
        <v>BB01655</v>
      </c>
    </row>
    <row r="356" spans="1:45" ht="15" customHeight="1">
      <c r="A356" t="s">
        <v>1349</v>
      </c>
      <c r="B356">
        <v>654</v>
      </c>
      <c r="C356" t="s">
        <v>27</v>
      </c>
      <c r="D356" s="8">
        <v>45665</v>
      </c>
      <c r="E356" s="22">
        <v>45946</v>
      </c>
      <c r="F356" t="s">
        <v>1043</v>
      </c>
      <c r="H356">
        <v>1</v>
      </c>
      <c r="I356">
        <v>43200314</v>
      </c>
      <c r="J356" t="s">
        <v>1713</v>
      </c>
      <c r="K356" s="8">
        <v>45665</v>
      </c>
      <c r="Q356">
        <v>1</v>
      </c>
      <c r="R356">
        <v>877</v>
      </c>
      <c r="S356" t="s">
        <v>197</v>
      </c>
      <c r="T356" t="s">
        <v>219</v>
      </c>
      <c r="U356">
        <v>1</v>
      </c>
      <c r="V356">
        <v>530.16999999999996</v>
      </c>
      <c r="W356">
        <v>625.6</v>
      </c>
      <c r="X356">
        <v>0</v>
      </c>
      <c r="Y356">
        <v>530.16999999999996</v>
      </c>
      <c r="Z356">
        <v>18</v>
      </c>
      <c r="AA356">
        <v>95.43</v>
      </c>
      <c r="AB356">
        <v>625.6</v>
      </c>
      <c r="AC356">
        <v>1</v>
      </c>
      <c r="AE356" t="s">
        <v>239</v>
      </c>
      <c r="AF356" t="s">
        <v>29</v>
      </c>
      <c r="AG356">
        <v>2</v>
      </c>
      <c r="AH356" t="s">
        <v>25</v>
      </c>
      <c r="AI356">
        <v>1106</v>
      </c>
      <c r="AJ356" t="s">
        <v>246</v>
      </c>
      <c r="AK356" t="s">
        <v>1346</v>
      </c>
      <c r="AQ356" t="s">
        <v>1043</v>
      </c>
      <c r="AS356" t="str">
        <f t="shared" si="6"/>
        <v>BB01654</v>
      </c>
    </row>
    <row r="357" spans="1:45" ht="15" customHeight="1">
      <c r="A357" t="s">
        <v>1349</v>
      </c>
      <c r="B357">
        <v>653</v>
      </c>
      <c r="C357" t="s">
        <v>27</v>
      </c>
      <c r="D357" s="8">
        <v>45665</v>
      </c>
      <c r="E357" s="22">
        <v>45946</v>
      </c>
      <c r="F357" t="s">
        <v>1043</v>
      </c>
      <c r="H357">
        <v>1</v>
      </c>
      <c r="I357">
        <v>43200314</v>
      </c>
      <c r="J357" t="s">
        <v>1714</v>
      </c>
      <c r="K357" s="8">
        <v>45665</v>
      </c>
      <c r="Q357">
        <v>1</v>
      </c>
      <c r="R357">
        <v>870</v>
      </c>
      <c r="S357" t="s">
        <v>1227</v>
      </c>
      <c r="T357" t="s">
        <v>219</v>
      </c>
      <c r="U357">
        <v>1</v>
      </c>
      <c r="V357">
        <v>338.9</v>
      </c>
      <c r="W357">
        <v>399.9</v>
      </c>
      <c r="X357">
        <v>0</v>
      </c>
      <c r="Y357">
        <v>338.9</v>
      </c>
      <c r="Z357">
        <v>18</v>
      </c>
      <c r="AA357">
        <v>61</v>
      </c>
      <c r="AB357">
        <v>399.9</v>
      </c>
      <c r="AC357">
        <v>1</v>
      </c>
      <c r="AE357" t="s">
        <v>239</v>
      </c>
      <c r="AF357" t="s">
        <v>29</v>
      </c>
      <c r="AG357">
        <v>2</v>
      </c>
      <c r="AH357" t="s">
        <v>25</v>
      </c>
      <c r="AI357">
        <v>1106</v>
      </c>
      <c r="AJ357" t="s">
        <v>246</v>
      </c>
      <c r="AK357" t="s">
        <v>1346</v>
      </c>
      <c r="AQ357" t="s">
        <v>1043</v>
      </c>
      <c r="AS357" t="str">
        <f t="shared" si="6"/>
        <v>BB01653</v>
      </c>
    </row>
    <row r="358" spans="1:45" ht="15" customHeight="1">
      <c r="A358" t="s">
        <v>1349</v>
      </c>
      <c r="B358">
        <v>652</v>
      </c>
      <c r="C358" t="s">
        <v>27</v>
      </c>
      <c r="D358" s="8">
        <v>45665</v>
      </c>
      <c r="E358" s="22">
        <v>45946</v>
      </c>
      <c r="F358" t="s">
        <v>1050</v>
      </c>
      <c r="H358">
        <v>1</v>
      </c>
      <c r="I358">
        <v>46851196</v>
      </c>
      <c r="J358" t="s">
        <v>1715</v>
      </c>
      <c r="K358" s="8">
        <v>45665</v>
      </c>
      <c r="Q358">
        <v>1</v>
      </c>
      <c r="R358">
        <v>877</v>
      </c>
      <c r="S358" t="s">
        <v>197</v>
      </c>
      <c r="T358" t="s">
        <v>219</v>
      </c>
      <c r="U358">
        <v>1</v>
      </c>
      <c r="V358">
        <v>1.44</v>
      </c>
      <c r="W358">
        <v>1.7</v>
      </c>
      <c r="X358">
        <v>0</v>
      </c>
      <c r="Y358">
        <v>1.44</v>
      </c>
      <c r="Z358">
        <v>18.059999999999999</v>
      </c>
      <c r="AA358">
        <v>0.26</v>
      </c>
      <c r="AB358">
        <v>1.7</v>
      </c>
      <c r="AC358">
        <v>1</v>
      </c>
      <c r="AE358" t="s">
        <v>239</v>
      </c>
      <c r="AF358" t="s">
        <v>29</v>
      </c>
      <c r="AG358">
        <v>2</v>
      </c>
      <c r="AH358" t="s">
        <v>25</v>
      </c>
      <c r="AI358">
        <v>1106</v>
      </c>
      <c r="AJ358" t="s">
        <v>246</v>
      </c>
      <c r="AK358" t="s">
        <v>1346</v>
      </c>
      <c r="AQ358" t="s">
        <v>1050</v>
      </c>
      <c r="AS358" t="str">
        <f t="shared" si="6"/>
        <v>BB01652</v>
      </c>
    </row>
    <row r="359" spans="1:45" ht="15" customHeight="1">
      <c r="A359" t="s">
        <v>1349</v>
      </c>
      <c r="B359">
        <v>651</v>
      </c>
      <c r="C359" t="s">
        <v>27</v>
      </c>
      <c r="D359" s="8">
        <v>45665</v>
      </c>
      <c r="E359" s="22">
        <v>45946</v>
      </c>
      <c r="F359" t="s">
        <v>1050</v>
      </c>
      <c r="H359">
        <v>1</v>
      </c>
      <c r="I359">
        <v>46851196</v>
      </c>
      <c r="J359" t="s">
        <v>1716</v>
      </c>
      <c r="K359" s="8">
        <v>45665</v>
      </c>
      <c r="Q359">
        <v>1</v>
      </c>
      <c r="R359">
        <v>870</v>
      </c>
      <c r="S359" t="s">
        <v>1227</v>
      </c>
      <c r="T359" t="s">
        <v>219</v>
      </c>
      <c r="U359">
        <v>1</v>
      </c>
      <c r="V359">
        <v>1.02</v>
      </c>
      <c r="W359">
        <v>1.2</v>
      </c>
      <c r="X359">
        <v>0</v>
      </c>
      <c r="Y359">
        <v>1.02</v>
      </c>
      <c r="Z359">
        <v>17.649999999999999</v>
      </c>
      <c r="AA359">
        <v>0.18</v>
      </c>
      <c r="AB359">
        <v>1.2</v>
      </c>
      <c r="AC359">
        <v>1</v>
      </c>
      <c r="AE359" t="s">
        <v>239</v>
      </c>
      <c r="AF359" t="s">
        <v>29</v>
      </c>
      <c r="AG359">
        <v>2</v>
      </c>
      <c r="AH359" t="s">
        <v>25</v>
      </c>
      <c r="AI359">
        <v>1106</v>
      </c>
      <c r="AJ359" t="s">
        <v>246</v>
      </c>
      <c r="AK359" t="s">
        <v>1346</v>
      </c>
      <c r="AQ359" t="s">
        <v>1050</v>
      </c>
      <c r="AS359" t="str">
        <f t="shared" si="6"/>
        <v>BB01651</v>
      </c>
    </row>
    <row r="360" spans="1:45" ht="15" customHeight="1">
      <c r="A360" t="s">
        <v>221</v>
      </c>
      <c r="B360">
        <v>1247</v>
      </c>
      <c r="C360" t="s">
        <v>27</v>
      </c>
      <c r="D360" s="8">
        <v>45665</v>
      </c>
      <c r="E360" s="22">
        <v>45946</v>
      </c>
      <c r="F360" t="s">
        <v>431</v>
      </c>
      <c r="G360" t="s">
        <v>158</v>
      </c>
      <c r="H360">
        <v>6</v>
      </c>
      <c r="I360">
        <v>20296011356</v>
      </c>
      <c r="J360" t="s">
        <v>1717</v>
      </c>
      <c r="K360" s="8">
        <v>45665</v>
      </c>
      <c r="Q360">
        <v>1</v>
      </c>
      <c r="R360">
        <v>902</v>
      </c>
      <c r="S360" t="s">
        <v>1718</v>
      </c>
      <c r="T360" t="s">
        <v>219</v>
      </c>
      <c r="U360">
        <v>1</v>
      </c>
      <c r="V360">
        <v>450</v>
      </c>
      <c r="W360">
        <v>531</v>
      </c>
      <c r="X360">
        <v>0</v>
      </c>
      <c r="Y360">
        <v>450</v>
      </c>
      <c r="Z360">
        <v>18</v>
      </c>
      <c r="AA360">
        <v>81</v>
      </c>
      <c r="AB360">
        <v>531</v>
      </c>
      <c r="AC360">
        <v>1</v>
      </c>
      <c r="AE360" t="s">
        <v>239</v>
      </c>
      <c r="AF360" t="s">
        <v>29</v>
      </c>
      <c r="AG360">
        <v>2</v>
      </c>
      <c r="AH360" t="s">
        <v>25</v>
      </c>
      <c r="AI360">
        <v>1106</v>
      </c>
      <c r="AJ360" t="s">
        <v>246</v>
      </c>
      <c r="AK360" t="s">
        <v>1408</v>
      </c>
      <c r="AQ360" t="s">
        <v>431</v>
      </c>
      <c r="AS360" t="str">
        <f t="shared" si="6"/>
        <v>FB011247</v>
      </c>
    </row>
    <row r="361" spans="1:45" ht="15" customHeight="1">
      <c r="A361" t="s">
        <v>221</v>
      </c>
      <c r="B361">
        <v>1246</v>
      </c>
      <c r="C361" t="s">
        <v>27</v>
      </c>
      <c r="D361" s="8">
        <v>45665</v>
      </c>
      <c r="E361" s="22">
        <v>45946</v>
      </c>
      <c r="F361" t="s">
        <v>431</v>
      </c>
      <c r="G361" t="s">
        <v>158</v>
      </c>
      <c r="H361">
        <v>6</v>
      </c>
      <c r="I361">
        <v>20296011356</v>
      </c>
      <c r="J361" t="s">
        <v>1719</v>
      </c>
      <c r="K361" s="8">
        <v>45665</v>
      </c>
      <c r="Q361">
        <v>1</v>
      </c>
      <c r="R361">
        <v>901</v>
      </c>
      <c r="S361" t="s">
        <v>1720</v>
      </c>
      <c r="T361" t="s">
        <v>219</v>
      </c>
      <c r="U361">
        <v>1</v>
      </c>
      <c r="V361">
        <v>920</v>
      </c>
      <c r="W361">
        <v>1085.5999999999999</v>
      </c>
      <c r="X361">
        <v>0</v>
      </c>
      <c r="Y361">
        <v>920</v>
      </c>
      <c r="Z361">
        <v>18</v>
      </c>
      <c r="AA361">
        <v>165.6</v>
      </c>
      <c r="AB361">
        <v>1085.5999999999999</v>
      </c>
      <c r="AC361">
        <v>1</v>
      </c>
      <c r="AE361" t="s">
        <v>239</v>
      </c>
      <c r="AF361" t="s">
        <v>29</v>
      </c>
      <c r="AG361">
        <v>2</v>
      </c>
      <c r="AH361" t="s">
        <v>25</v>
      </c>
      <c r="AI361">
        <v>1106</v>
      </c>
      <c r="AJ361" t="s">
        <v>246</v>
      </c>
      <c r="AK361" t="s">
        <v>1342</v>
      </c>
      <c r="AQ361" t="s">
        <v>431</v>
      </c>
      <c r="AS361" t="str">
        <f t="shared" si="6"/>
        <v>FB011246</v>
      </c>
    </row>
    <row r="362" spans="1:45" ht="15" customHeight="1">
      <c r="A362" t="s">
        <v>221</v>
      </c>
      <c r="B362">
        <v>1245</v>
      </c>
      <c r="C362" t="s">
        <v>27</v>
      </c>
      <c r="D362" s="8">
        <v>45665</v>
      </c>
      <c r="E362" s="22">
        <v>45946</v>
      </c>
      <c r="F362" t="s">
        <v>431</v>
      </c>
      <c r="G362" t="s">
        <v>158</v>
      </c>
      <c r="H362">
        <v>6</v>
      </c>
      <c r="I362">
        <v>20296011356</v>
      </c>
      <c r="J362" t="s">
        <v>1721</v>
      </c>
      <c r="K362" s="8">
        <v>45665</v>
      </c>
      <c r="Q362">
        <v>1</v>
      </c>
      <c r="R362">
        <v>877</v>
      </c>
      <c r="S362" t="s">
        <v>197</v>
      </c>
      <c r="T362" t="s">
        <v>219</v>
      </c>
      <c r="U362">
        <v>1</v>
      </c>
      <c r="V362">
        <v>1200.42</v>
      </c>
      <c r="W362">
        <v>1416.5</v>
      </c>
      <c r="X362">
        <v>0</v>
      </c>
      <c r="Y362">
        <v>1200.42</v>
      </c>
      <c r="Z362">
        <v>18</v>
      </c>
      <c r="AA362">
        <v>216.08</v>
      </c>
      <c r="AB362">
        <v>1416.5</v>
      </c>
      <c r="AC362">
        <v>1</v>
      </c>
      <c r="AE362" t="s">
        <v>239</v>
      </c>
      <c r="AF362" t="s">
        <v>29</v>
      </c>
      <c r="AG362">
        <v>2</v>
      </c>
      <c r="AH362" t="s">
        <v>25</v>
      </c>
      <c r="AI362">
        <v>1106</v>
      </c>
      <c r="AJ362" t="s">
        <v>246</v>
      </c>
      <c r="AK362" t="s">
        <v>1346</v>
      </c>
      <c r="AQ362" t="s">
        <v>431</v>
      </c>
      <c r="AS362" t="str">
        <f t="shared" si="6"/>
        <v>FB011245</v>
      </c>
    </row>
    <row r="363" spans="1:45" ht="15" customHeight="1">
      <c r="A363" t="s">
        <v>221</v>
      </c>
      <c r="B363">
        <v>1244</v>
      </c>
      <c r="C363" t="s">
        <v>27</v>
      </c>
      <c r="D363" s="8">
        <v>45665</v>
      </c>
      <c r="E363" s="22">
        <v>45946</v>
      </c>
      <c r="F363" t="s">
        <v>431</v>
      </c>
      <c r="G363" t="s">
        <v>158</v>
      </c>
      <c r="H363">
        <v>6</v>
      </c>
      <c r="I363">
        <v>20296011356</v>
      </c>
      <c r="J363" t="s">
        <v>1722</v>
      </c>
      <c r="K363" s="8">
        <v>45665</v>
      </c>
      <c r="Q363">
        <v>1</v>
      </c>
      <c r="R363">
        <v>878</v>
      </c>
      <c r="S363" t="s">
        <v>1498</v>
      </c>
      <c r="T363" t="s">
        <v>219</v>
      </c>
      <c r="U363">
        <v>1</v>
      </c>
      <c r="V363">
        <v>586.36</v>
      </c>
      <c r="W363">
        <v>691.9</v>
      </c>
      <c r="X363">
        <v>0</v>
      </c>
      <c r="Y363">
        <v>586.36</v>
      </c>
      <c r="Z363">
        <v>18</v>
      </c>
      <c r="AA363">
        <v>105.54</v>
      </c>
      <c r="AB363">
        <v>691.9</v>
      </c>
      <c r="AC363">
        <v>1</v>
      </c>
      <c r="AE363" t="s">
        <v>239</v>
      </c>
      <c r="AF363" t="s">
        <v>29</v>
      </c>
      <c r="AG363">
        <v>2</v>
      </c>
      <c r="AH363" t="s">
        <v>25</v>
      </c>
      <c r="AI363">
        <v>1106</v>
      </c>
      <c r="AJ363" t="s">
        <v>246</v>
      </c>
      <c r="AK363" t="s">
        <v>1346</v>
      </c>
      <c r="AQ363" t="s">
        <v>431</v>
      </c>
      <c r="AS363" t="str">
        <f t="shared" si="6"/>
        <v>FB011244</v>
      </c>
    </row>
    <row r="364" spans="1:45" ht="15" customHeight="1">
      <c r="A364" t="s">
        <v>221</v>
      </c>
      <c r="B364">
        <v>1243</v>
      </c>
      <c r="C364" t="s">
        <v>27</v>
      </c>
      <c r="D364" s="8">
        <v>45665</v>
      </c>
      <c r="E364" s="22">
        <v>45946</v>
      </c>
      <c r="F364" t="s">
        <v>497</v>
      </c>
      <c r="H364">
        <v>6</v>
      </c>
      <c r="I364">
        <v>20611587741</v>
      </c>
      <c r="J364" t="s">
        <v>1723</v>
      </c>
      <c r="K364" s="8">
        <v>45665</v>
      </c>
      <c r="Q364">
        <v>1</v>
      </c>
      <c r="R364">
        <v>877</v>
      </c>
      <c r="S364" t="s">
        <v>197</v>
      </c>
      <c r="T364" t="s">
        <v>219</v>
      </c>
      <c r="U364">
        <v>1</v>
      </c>
      <c r="V364">
        <v>52.54</v>
      </c>
      <c r="W364">
        <v>62</v>
      </c>
      <c r="X364">
        <v>0</v>
      </c>
      <c r="Y364">
        <v>52.54</v>
      </c>
      <c r="Z364">
        <v>18.010000000000002</v>
      </c>
      <c r="AA364">
        <v>9.4600000000000009</v>
      </c>
      <c r="AB364">
        <v>62</v>
      </c>
      <c r="AC364">
        <v>1</v>
      </c>
      <c r="AE364" t="s">
        <v>239</v>
      </c>
      <c r="AF364" t="s">
        <v>29</v>
      </c>
      <c r="AG364">
        <v>2</v>
      </c>
      <c r="AH364" t="s">
        <v>25</v>
      </c>
      <c r="AI364">
        <v>1106</v>
      </c>
      <c r="AJ364" t="s">
        <v>246</v>
      </c>
      <c r="AK364" t="s">
        <v>1346</v>
      </c>
      <c r="AQ364" t="s">
        <v>497</v>
      </c>
      <c r="AS364" t="str">
        <f t="shared" si="6"/>
        <v>FB011243</v>
      </c>
    </row>
    <row r="365" spans="1:45" ht="15" customHeight="1">
      <c r="A365" t="s">
        <v>221</v>
      </c>
      <c r="B365">
        <v>1242</v>
      </c>
      <c r="C365" t="s">
        <v>27</v>
      </c>
      <c r="D365" s="8">
        <v>45665</v>
      </c>
      <c r="E365" s="22">
        <v>45946</v>
      </c>
      <c r="F365" t="s">
        <v>497</v>
      </c>
      <c r="H365">
        <v>6</v>
      </c>
      <c r="I365">
        <v>20611587741</v>
      </c>
      <c r="J365" t="s">
        <v>1724</v>
      </c>
      <c r="K365" s="8">
        <v>45665</v>
      </c>
      <c r="Q365">
        <v>1</v>
      </c>
      <c r="R365">
        <v>870</v>
      </c>
      <c r="S365" t="s">
        <v>1227</v>
      </c>
      <c r="T365" t="s">
        <v>219</v>
      </c>
      <c r="U365">
        <v>1</v>
      </c>
      <c r="V365">
        <v>36.61</v>
      </c>
      <c r="W365">
        <v>43.2</v>
      </c>
      <c r="X365">
        <v>0</v>
      </c>
      <c r="Y365">
        <v>36.61</v>
      </c>
      <c r="Z365">
        <v>18</v>
      </c>
      <c r="AA365">
        <v>6.59</v>
      </c>
      <c r="AB365">
        <v>43.2</v>
      </c>
      <c r="AC365">
        <v>1</v>
      </c>
      <c r="AE365" t="s">
        <v>239</v>
      </c>
      <c r="AF365" t="s">
        <v>29</v>
      </c>
      <c r="AG365">
        <v>2</v>
      </c>
      <c r="AH365" t="s">
        <v>25</v>
      </c>
      <c r="AI365">
        <v>1106</v>
      </c>
      <c r="AJ365" t="s">
        <v>246</v>
      </c>
      <c r="AK365" t="s">
        <v>1346</v>
      </c>
      <c r="AQ365" t="s">
        <v>497</v>
      </c>
      <c r="AS365" t="str">
        <f t="shared" si="6"/>
        <v>FB011242</v>
      </c>
    </row>
    <row r="366" spans="1:45" ht="15" customHeight="1">
      <c r="A366" t="s">
        <v>221</v>
      </c>
      <c r="B366">
        <v>1241</v>
      </c>
      <c r="C366" t="s">
        <v>27</v>
      </c>
      <c r="D366" s="8">
        <v>45665</v>
      </c>
      <c r="E366" s="22">
        <v>45946</v>
      </c>
      <c r="F366" t="s">
        <v>422</v>
      </c>
      <c r="H366">
        <v>6</v>
      </c>
      <c r="I366">
        <v>20611890746</v>
      </c>
      <c r="J366" t="s">
        <v>1725</v>
      </c>
      <c r="K366" s="8">
        <v>45665</v>
      </c>
      <c r="Q366">
        <v>1</v>
      </c>
      <c r="R366">
        <v>900</v>
      </c>
      <c r="S366" t="s">
        <v>1726</v>
      </c>
      <c r="T366" t="s">
        <v>219</v>
      </c>
      <c r="U366">
        <v>1</v>
      </c>
      <c r="V366">
        <v>100</v>
      </c>
      <c r="W366">
        <v>118</v>
      </c>
      <c r="X366">
        <v>0</v>
      </c>
      <c r="Y366">
        <v>100</v>
      </c>
      <c r="Z366">
        <v>18</v>
      </c>
      <c r="AA366">
        <v>18</v>
      </c>
      <c r="AB366">
        <v>118</v>
      </c>
      <c r="AC366">
        <v>1</v>
      </c>
      <c r="AE366" t="s">
        <v>239</v>
      </c>
      <c r="AF366" t="s">
        <v>29</v>
      </c>
      <c r="AG366">
        <v>2</v>
      </c>
      <c r="AH366" t="s">
        <v>25</v>
      </c>
      <c r="AI366">
        <v>1106</v>
      </c>
      <c r="AJ366" t="s">
        <v>246</v>
      </c>
      <c r="AK366" t="s">
        <v>1477</v>
      </c>
      <c r="AQ366" t="s">
        <v>422</v>
      </c>
      <c r="AS366" t="str">
        <f t="shared" si="6"/>
        <v>FB011241</v>
      </c>
    </row>
    <row r="367" spans="1:45" ht="15" customHeight="1">
      <c r="A367" t="s">
        <v>221</v>
      </c>
      <c r="B367">
        <v>1240</v>
      </c>
      <c r="C367" t="s">
        <v>27</v>
      </c>
      <c r="D367" s="8">
        <v>45665</v>
      </c>
      <c r="E367" s="22">
        <v>45946</v>
      </c>
      <c r="F367" t="s">
        <v>422</v>
      </c>
      <c r="H367">
        <v>6</v>
      </c>
      <c r="I367">
        <v>20611890746</v>
      </c>
      <c r="J367" t="s">
        <v>1727</v>
      </c>
      <c r="K367" s="8">
        <v>45665</v>
      </c>
      <c r="Q367">
        <v>1</v>
      </c>
      <c r="R367">
        <v>899</v>
      </c>
      <c r="S367" s="29" t="s">
        <v>1728</v>
      </c>
      <c r="T367" t="s">
        <v>219</v>
      </c>
      <c r="U367">
        <v>1</v>
      </c>
      <c r="V367">
        <v>1800</v>
      </c>
      <c r="W367">
        <v>2124</v>
      </c>
      <c r="X367">
        <v>0</v>
      </c>
      <c r="Y367">
        <v>1800</v>
      </c>
      <c r="Z367">
        <v>18</v>
      </c>
      <c r="AA367">
        <v>324</v>
      </c>
      <c r="AB367">
        <v>2124</v>
      </c>
      <c r="AC367">
        <v>1</v>
      </c>
      <c r="AE367" t="s">
        <v>239</v>
      </c>
      <c r="AF367" t="s">
        <v>29</v>
      </c>
      <c r="AG367">
        <v>2</v>
      </c>
      <c r="AH367" t="s">
        <v>25</v>
      </c>
      <c r="AI367">
        <v>1106</v>
      </c>
      <c r="AJ367" t="s">
        <v>246</v>
      </c>
      <c r="AK367" t="s">
        <v>1342</v>
      </c>
      <c r="AQ367" t="s">
        <v>422</v>
      </c>
      <c r="AS367" t="str">
        <f t="shared" si="6"/>
        <v>FB011240</v>
      </c>
    </row>
    <row r="368" spans="1:45" ht="15" customHeight="1">
      <c r="A368" t="s">
        <v>221</v>
      </c>
      <c r="B368">
        <v>1239</v>
      </c>
      <c r="C368" t="s">
        <v>27</v>
      </c>
      <c r="D368" s="8">
        <v>45665</v>
      </c>
      <c r="E368" s="22">
        <v>45946</v>
      </c>
      <c r="F368" t="s">
        <v>422</v>
      </c>
      <c r="H368">
        <v>6</v>
      </c>
      <c r="I368">
        <v>20611890746</v>
      </c>
      <c r="J368" t="s">
        <v>1729</v>
      </c>
      <c r="K368" s="8">
        <v>45665</v>
      </c>
      <c r="Q368">
        <v>1</v>
      </c>
      <c r="R368">
        <v>898</v>
      </c>
      <c r="S368" s="29" t="s">
        <v>1730</v>
      </c>
      <c r="T368" t="s">
        <v>219</v>
      </c>
      <c r="U368">
        <v>1</v>
      </c>
      <c r="V368">
        <v>800</v>
      </c>
      <c r="W368">
        <v>944</v>
      </c>
      <c r="X368">
        <v>0</v>
      </c>
      <c r="Y368">
        <v>800</v>
      </c>
      <c r="Z368">
        <v>18</v>
      </c>
      <c r="AA368">
        <v>144</v>
      </c>
      <c r="AB368">
        <v>944</v>
      </c>
      <c r="AC368">
        <v>1</v>
      </c>
      <c r="AE368" t="s">
        <v>239</v>
      </c>
      <c r="AF368" t="s">
        <v>29</v>
      </c>
      <c r="AG368">
        <v>2</v>
      </c>
      <c r="AH368" t="s">
        <v>25</v>
      </c>
      <c r="AI368">
        <v>1106</v>
      </c>
      <c r="AJ368" t="s">
        <v>246</v>
      </c>
      <c r="AK368" t="s">
        <v>1342</v>
      </c>
      <c r="AQ368" t="s">
        <v>422</v>
      </c>
      <c r="AS368" t="str">
        <f t="shared" si="6"/>
        <v>FB011239</v>
      </c>
    </row>
    <row r="369" spans="1:45" ht="15" customHeight="1">
      <c r="A369" t="s">
        <v>221</v>
      </c>
      <c r="B369">
        <v>1238</v>
      </c>
      <c r="C369" t="s">
        <v>27</v>
      </c>
      <c r="D369" s="8">
        <v>45665</v>
      </c>
      <c r="E369" s="22">
        <v>45946</v>
      </c>
      <c r="F369" t="s">
        <v>422</v>
      </c>
      <c r="H369">
        <v>6</v>
      </c>
      <c r="I369">
        <v>20611890746</v>
      </c>
      <c r="J369" t="s">
        <v>1731</v>
      </c>
      <c r="K369" s="8">
        <v>45665</v>
      </c>
      <c r="Q369">
        <v>1</v>
      </c>
      <c r="R369">
        <v>897</v>
      </c>
      <c r="S369" s="29" t="s">
        <v>1732</v>
      </c>
      <c r="T369" t="s">
        <v>219</v>
      </c>
      <c r="U369">
        <v>1</v>
      </c>
      <c r="V369">
        <v>800</v>
      </c>
      <c r="W369">
        <v>944</v>
      </c>
      <c r="X369">
        <v>0</v>
      </c>
      <c r="Y369">
        <v>800</v>
      </c>
      <c r="Z369">
        <v>18</v>
      </c>
      <c r="AA369">
        <v>144</v>
      </c>
      <c r="AB369">
        <v>944</v>
      </c>
      <c r="AC369">
        <v>1</v>
      </c>
      <c r="AE369" t="s">
        <v>239</v>
      </c>
      <c r="AF369" t="s">
        <v>29</v>
      </c>
      <c r="AG369">
        <v>2</v>
      </c>
      <c r="AH369" t="s">
        <v>25</v>
      </c>
      <c r="AI369">
        <v>1106</v>
      </c>
      <c r="AJ369" t="s">
        <v>246</v>
      </c>
      <c r="AK369" t="s">
        <v>1342</v>
      </c>
      <c r="AQ369" t="s">
        <v>422</v>
      </c>
      <c r="AS369" t="str">
        <f t="shared" si="6"/>
        <v>FB011238</v>
      </c>
    </row>
    <row r="370" spans="1:45" ht="15" customHeight="1">
      <c r="A370" t="s">
        <v>221</v>
      </c>
      <c r="B370">
        <v>1237</v>
      </c>
      <c r="C370" t="s">
        <v>27</v>
      </c>
      <c r="D370" s="8">
        <v>45665</v>
      </c>
      <c r="E370" s="22">
        <v>45946</v>
      </c>
      <c r="F370" t="s">
        <v>422</v>
      </c>
      <c r="H370">
        <v>6</v>
      </c>
      <c r="I370">
        <v>20611890746</v>
      </c>
      <c r="J370" t="s">
        <v>1733</v>
      </c>
      <c r="K370" s="8">
        <v>45665</v>
      </c>
      <c r="Q370">
        <v>1</v>
      </c>
      <c r="R370">
        <v>896</v>
      </c>
      <c r="S370" s="29" t="s">
        <v>1734</v>
      </c>
      <c r="T370" t="s">
        <v>219</v>
      </c>
      <c r="U370">
        <v>1</v>
      </c>
      <c r="V370">
        <v>800</v>
      </c>
      <c r="W370">
        <v>944</v>
      </c>
      <c r="X370">
        <v>0</v>
      </c>
      <c r="Y370">
        <v>800</v>
      </c>
      <c r="Z370">
        <v>18</v>
      </c>
      <c r="AA370">
        <v>144</v>
      </c>
      <c r="AB370">
        <v>944</v>
      </c>
      <c r="AC370">
        <v>1</v>
      </c>
      <c r="AE370" t="s">
        <v>239</v>
      </c>
      <c r="AF370" t="s">
        <v>29</v>
      </c>
      <c r="AG370">
        <v>2</v>
      </c>
      <c r="AH370" t="s">
        <v>25</v>
      </c>
      <c r="AI370">
        <v>1106</v>
      </c>
      <c r="AJ370" t="s">
        <v>246</v>
      </c>
      <c r="AK370" t="s">
        <v>1342</v>
      </c>
      <c r="AQ370" t="s">
        <v>422</v>
      </c>
      <c r="AS370" t="str">
        <f t="shared" si="6"/>
        <v>FB011237</v>
      </c>
    </row>
    <row r="371" spans="1:45" ht="15" customHeight="1">
      <c r="A371" t="s">
        <v>221</v>
      </c>
      <c r="B371">
        <v>1236</v>
      </c>
      <c r="C371" t="s">
        <v>27</v>
      </c>
      <c r="D371" s="8">
        <v>45665</v>
      </c>
      <c r="E371" s="22">
        <v>45946</v>
      </c>
      <c r="F371" t="s">
        <v>422</v>
      </c>
      <c r="H371">
        <v>6</v>
      </c>
      <c r="I371">
        <v>20611890746</v>
      </c>
      <c r="J371" t="s">
        <v>1735</v>
      </c>
      <c r="K371" s="8">
        <v>45665</v>
      </c>
      <c r="Q371">
        <v>1</v>
      </c>
      <c r="R371">
        <v>895</v>
      </c>
      <c r="S371" s="29" t="s">
        <v>1736</v>
      </c>
      <c r="T371" t="s">
        <v>219</v>
      </c>
      <c r="U371">
        <v>1</v>
      </c>
      <c r="V371">
        <v>2000</v>
      </c>
      <c r="W371">
        <v>2360</v>
      </c>
      <c r="X371">
        <v>0</v>
      </c>
      <c r="Y371">
        <v>2000</v>
      </c>
      <c r="Z371">
        <v>18</v>
      </c>
      <c r="AA371">
        <v>360</v>
      </c>
      <c r="AB371">
        <v>2360</v>
      </c>
      <c r="AC371">
        <v>1</v>
      </c>
      <c r="AE371" t="s">
        <v>239</v>
      </c>
      <c r="AF371" t="s">
        <v>29</v>
      </c>
      <c r="AG371">
        <v>2</v>
      </c>
      <c r="AH371" t="s">
        <v>25</v>
      </c>
      <c r="AI371">
        <v>1106</v>
      </c>
      <c r="AJ371" t="s">
        <v>246</v>
      </c>
      <c r="AK371" t="s">
        <v>1342</v>
      </c>
      <c r="AQ371" t="s">
        <v>422</v>
      </c>
      <c r="AS371" t="str">
        <f t="shared" si="6"/>
        <v>FB011236</v>
      </c>
    </row>
    <row r="372" spans="1:45" ht="15" customHeight="1">
      <c r="A372" t="s">
        <v>221</v>
      </c>
      <c r="B372">
        <v>1235</v>
      </c>
      <c r="C372" t="s">
        <v>27</v>
      </c>
      <c r="D372" s="8">
        <v>45665</v>
      </c>
      <c r="E372" s="22">
        <v>45946</v>
      </c>
      <c r="F372" t="s">
        <v>422</v>
      </c>
      <c r="H372">
        <v>6</v>
      </c>
      <c r="I372">
        <v>20611890746</v>
      </c>
      <c r="J372" t="s">
        <v>1737</v>
      </c>
      <c r="K372" s="8">
        <v>45665</v>
      </c>
      <c r="Q372">
        <v>1</v>
      </c>
      <c r="R372">
        <v>894</v>
      </c>
      <c r="S372" s="29" t="s">
        <v>1738</v>
      </c>
      <c r="T372" t="s">
        <v>219</v>
      </c>
      <c r="U372">
        <v>1</v>
      </c>
      <c r="V372">
        <v>1200</v>
      </c>
      <c r="W372">
        <v>1416</v>
      </c>
      <c r="X372">
        <v>0</v>
      </c>
      <c r="Y372">
        <v>1200</v>
      </c>
      <c r="Z372">
        <v>18</v>
      </c>
      <c r="AA372">
        <v>216</v>
      </c>
      <c r="AB372">
        <v>1416</v>
      </c>
      <c r="AC372">
        <v>1</v>
      </c>
      <c r="AE372" t="s">
        <v>239</v>
      </c>
      <c r="AF372" t="s">
        <v>29</v>
      </c>
      <c r="AG372">
        <v>2</v>
      </c>
      <c r="AH372" t="s">
        <v>25</v>
      </c>
      <c r="AI372">
        <v>1106</v>
      </c>
      <c r="AJ372" t="s">
        <v>246</v>
      </c>
      <c r="AK372" t="s">
        <v>1342</v>
      </c>
      <c r="AQ372" t="s">
        <v>422</v>
      </c>
      <c r="AS372" t="str">
        <f t="shared" si="6"/>
        <v>FB011235</v>
      </c>
    </row>
    <row r="373" spans="1:45" ht="15" customHeight="1">
      <c r="A373" t="s">
        <v>221</v>
      </c>
      <c r="B373">
        <v>1234</v>
      </c>
      <c r="C373" t="s">
        <v>27</v>
      </c>
      <c r="D373" s="8">
        <v>45665</v>
      </c>
      <c r="E373" s="22">
        <v>45946</v>
      </c>
      <c r="F373" t="s">
        <v>422</v>
      </c>
      <c r="H373">
        <v>6</v>
      </c>
      <c r="I373">
        <v>20611890746</v>
      </c>
      <c r="J373" t="s">
        <v>1739</v>
      </c>
      <c r="K373" s="8">
        <v>45665</v>
      </c>
      <c r="Q373">
        <v>1</v>
      </c>
      <c r="R373">
        <v>893</v>
      </c>
      <c r="S373" t="s">
        <v>1740</v>
      </c>
      <c r="T373" t="s">
        <v>219</v>
      </c>
      <c r="U373">
        <v>1</v>
      </c>
      <c r="V373">
        <v>5200</v>
      </c>
      <c r="W373">
        <v>6136</v>
      </c>
      <c r="X373">
        <v>0</v>
      </c>
      <c r="Y373">
        <v>5200</v>
      </c>
      <c r="Z373">
        <v>18</v>
      </c>
      <c r="AA373">
        <v>936</v>
      </c>
      <c r="AB373">
        <v>6136</v>
      </c>
      <c r="AC373">
        <v>1</v>
      </c>
      <c r="AE373" t="s">
        <v>239</v>
      </c>
      <c r="AF373" t="s">
        <v>29</v>
      </c>
      <c r="AG373">
        <v>2</v>
      </c>
      <c r="AH373" t="s">
        <v>25</v>
      </c>
      <c r="AI373">
        <v>1106</v>
      </c>
      <c r="AJ373" t="s">
        <v>246</v>
      </c>
      <c r="AK373" t="s">
        <v>1342</v>
      </c>
      <c r="AQ373" t="s">
        <v>422</v>
      </c>
      <c r="AS373" t="str">
        <f t="shared" si="6"/>
        <v>FB011234</v>
      </c>
    </row>
    <row r="374" spans="1:45" ht="15" customHeight="1">
      <c r="A374" t="s">
        <v>221</v>
      </c>
      <c r="B374">
        <v>1233</v>
      </c>
      <c r="C374" t="s">
        <v>27</v>
      </c>
      <c r="D374" s="8">
        <v>45665</v>
      </c>
      <c r="E374" s="22">
        <v>45946</v>
      </c>
      <c r="F374" t="s">
        <v>422</v>
      </c>
      <c r="H374">
        <v>6</v>
      </c>
      <c r="I374">
        <v>20611890746</v>
      </c>
      <c r="J374" t="s">
        <v>1741</v>
      </c>
      <c r="K374" s="8">
        <v>45665</v>
      </c>
      <c r="Q374">
        <v>1</v>
      </c>
      <c r="R374">
        <v>877</v>
      </c>
      <c r="S374" t="s">
        <v>197</v>
      </c>
      <c r="T374" t="s">
        <v>219</v>
      </c>
      <c r="U374">
        <v>1</v>
      </c>
      <c r="V374">
        <v>3942.12</v>
      </c>
      <c r="W374">
        <v>4651.7</v>
      </c>
      <c r="X374">
        <v>0</v>
      </c>
      <c r="Y374">
        <v>3942.12</v>
      </c>
      <c r="Z374">
        <v>18</v>
      </c>
      <c r="AA374">
        <v>709.58</v>
      </c>
      <c r="AB374">
        <v>4651.7</v>
      </c>
      <c r="AC374">
        <v>1</v>
      </c>
      <c r="AE374" t="s">
        <v>239</v>
      </c>
      <c r="AF374" t="s">
        <v>29</v>
      </c>
      <c r="AG374">
        <v>2</v>
      </c>
      <c r="AH374" t="s">
        <v>25</v>
      </c>
      <c r="AI374">
        <v>1106</v>
      </c>
      <c r="AJ374" t="s">
        <v>246</v>
      </c>
      <c r="AK374" t="s">
        <v>1346</v>
      </c>
      <c r="AQ374" t="s">
        <v>422</v>
      </c>
      <c r="AS374" t="str">
        <f t="shared" si="6"/>
        <v>FB011233</v>
      </c>
    </row>
    <row r="375" spans="1:45" ht="15" customHeight="1">
      <c r="A375" t="s">
        <v>221</v>
      </c>
      <c r="B375">
        <v>1232</v>
      </c>
      <c r="C375" t="s">
        <v>27</v>
      </c>
      <c r="D375" s="8">
        <v>45665</v>
      </c>
      <c r="E375" s="22">
        <v>45946</v>
      </c>
      <c r="F375" t="s">
        <v>422</v>
      </c>
      <c r="H375">
        <v>6</v>
      </c>
      <c r="I375">
        <v>20611890746</v>
      </c>
      <c r="J375" t="s">
        <v>1742</v>
      </c>
      <c r="K375" s="8">
        <v>45665</v>
      </c>
      <c r="Q375">
        <v>1</v>
      </c>
      <c r="R375">
        <v>870</v>
      </c>
      <c r="S375" t="s">
        <v>1227</v>
      </c>
      <c r="T375" t="s">
        <v>219</v>
      </c>
      <c r="U375">
        <v>1</v>
      </c>
      <c r="V375">
        <v>2244.0700000000002</v>
      </c>
      <c r="W375">
        <v>2648</v>
      </c>
      <c r="X375">
        <v>0</v>
      </c>
      <c r="Y375">
        <v>2244.0700000000002</v>
      </c>
      <c r="Z375">
        <v>18</v>
      </c>
      <c r="AA375">
        <v>403.93</v>
      </c>
      <c r="AB375">
        <v>2648</v>
      </c>
      <c r="AC375">
        <v>1</v>
      </c>
      <c r="AE375" t="s">
        <v>239</v>
      </c>
      <c r="AF375" t="s">
        <v>29</v>
      </c>
      <c r="AG375">
        <v>2</v>
      </c>
      <c r="AH375" t="s">
        <v>25</v>
      </c>
      <c r="AI375">
        <v>1106</v>
      </c>
      <c r="AJ375" t="s">
        <v>246</v>
      </c>
      <c r="AK375" t="s">
        <v>1346</v>
      </c>
      <c r="AQ375" t="s">
        <v>422</v>
      </c>
      <c r="AS375" t="str">
        <f t="shared" si="6"/>
        <v>FB011232</v>
      </c>
    </row>
    <row r="376" spans="1:45" ht="15" customHeight="1">
      <c r="A376" t="s">
        <v>221</v>
      </c>
      <c r="B376">
        <v>1231</v>
      </c>
      <c r="C376" t="s">
        <v>27</v>
      </c>
      <c r="D376" s="8">
        <v>45665</v>
      </c>
      <c r="E376" s="22">
        <v>45946</v>
      </c>
      <c r="F376" t="s">
        <v>1353</v>
      </c>
      <c r="G376" t="s">
        <v>158</v>
      </c>
      <c r="H376">
        <v>6</v>
      </c>
      <c r="I376">
        <v>20602855733</v>
      </c>
      <c r="J376" t="s">
        <v>1743</v>
      </c>
      <c r="K376" s="8">
        <v>45665</v>
      </c>
      <c r="Q376">
        <v>1</v>
      </c>
      <c r="R376">
        <v>874</v>
      </c>
      <c r="S376" t="s">
        <v>1390</v>
      </c>
      <c r="T376" t="s">
        <v>219</v>
      </c>
      <c r="U376">
        <v>1</v>
      </c>
      <c r="V376">
        <v>202.5</v>
      </c>
      <c r="W376">
        <v>238.95</v>
      </c>
      <c r="X376">
        <v>0</v>
      </c>
      <c r="Y376">
        <v>202.5</v>
      </c>
      <c r="Z376">
        <v>18</v>
      </c>
      <c r="AA376">
        <v>36.450000000000003</v>
      </c>
      <c r="AB376">
        <v>238.95</v>
      </c>
      <c r="AC376">
        <v>1</v>
      </c>
      <c r="AE376" t="s">
        <v>239</v>
      </c>
      <c r="AF376" t="s">
        <v>29</v>
      </c>
      <c r="AG376">
        <v>2</v>
      </c>
      <c r="AH376" t="s">
        <v>25</v>
      </c>
      <c r="AI376">
        <v>1106</v>
      </c>
      <c r="AJ376" t="s">
        <v>246</v>
      </c>
      <c r="AK376" t="s">
        <v>1346</v>
      </c>
      <c r="AQ376" t="s">
        <v>1353</v>
      </c>
      <c r="AS376" t="str">
        <f t="shared" si="6"/>
        <v>FB011231</v>
      </c>
    </row>
    <row r="377" spans="1:45" ht="15" customHeight="1">
      <c r="A377" t="s">
        <v>221</v>
      </c>
      <c r="B377">
        <v>1230</v>
      </c>
      <c r="C377" t="s">
        <v>27</v>
      </c>
      <c r="D377" s="8">
        <v>45665</v>
      </c>
      <c r="E377" s="22">
        <v>45946</v>
      </c>
      <c r="F377" t="s">
        <v>1353</v>
      </c>
      <c r="G377" t="s">
        <v>158</v>
      </c>
      <c r="H377">
        <v>6</v>
      </c>
      <c r="I377">
        <v>20602855733</v>
      </c>
      <c r="J377" t="s">
        <v>1744</v>
      </c>
      <c r="K377" s="8">
        <v>45665</v>
      </c>
      <c r="Q377">
        <v>1</v>
      </c>
      <c r="R377">
        <v>892</v>
      </c>
      <c r="S377" t="s">
        <v>1745</v>
      </c>
      <c r="T377" t="s">
        <v>219</v>
      </c>
      <c r="U377">
        <v>1</v>
      </c>
      <c r="V377">
        <v>450</v>
      </c>
      <c r="W377">
        <v>531</v>
      </c>
      <c r="X377">
        <v>0</v>
      </c>
      <c r="Y377">
        <v>450</v>
      </c>
      <c r="Z377">
        <v>18</v>
      </c>
      <c r="AA377">
        <v>81</v>
      </c>
      <c r="AB377">
        <v>531</v>
      </c>
      <c r="AC377">
        <v>1</v>
      </c>
      <c r="AE377" t="s">
        <v>239</v>
      </c>
      <c r="AF377" t="s">
        <v>29</v>
      </c>
      <c r="AG377">
        <v>2</v>
      </c>
      <c r="AH377" t="s">
        <v>25</v>
      </c>
      <c r="AI377">
        <v>1106</v>
      </c>
      <c r="AJ377" t="s">
        <v>246</v>
      </c>
      <c r="AK377" t="s">
        <v>1408</v>
      </c>
      <c r="AQ377" t="s">
        <v>1353</v>
      </c>
      <c r="AS377" t="str">
        <f t="shared" si="6"/>
        <v>FB011230</v>
      </c>
    </row>
    <row r="378" spans="1:45" ht="15" customHeight="1">
      <c r="A378" t="s">
        <v>221</v>
      </c>
      <c r="B378">
        <v>1229</v>
      </c>
      <c r="C378" t="s">
        <v>27</v>
      </c>
      <c r="D378" s="8">
        <v>45665</v>
      </c>
      <c r="E378" s="22">
        <v>45946</v>
      </c>
      <c r="F378" t="s">
        <v>1353</v>
      </c>
      <c r="G378" t="s">
        <v>158</v>
      </c>
      <c r="H378">
        <v>6</v>
      </c>
      <c r="I378">
        <v>20602855733</v>
      </c>
      <c r="J378" t="s">
        <v>1746</v>
      </c>
      <c r="K378" s="8">
        <v>45665</v>
      </c>
      <c r="Q378">
        <v>1</v>
      </c>
      <c r="R378">
        <v>891</v>
      </c>
      <c r="S378" s="29" t="s">
        <v>1747</v>
      </c>
      <c r="T378" t="s">
        <v>219</v>
      </c>
      <c r="U378">
        <v>1</v>
      </c>
      <c r="V378">
        <v>3400</v>
      </c>
      <c r="W378">
        <v>4012</v>
      </c>
      <c r="X378">
        <v>0</v>
      </c>
      <c r="Y378">
        <v>3400</v>
      </c>
      <c r="Z378">
        <v>18</v>
      </c>
      <c r="AA378">
        <v>612</v>
      </c>
      <c r="AB378">
        <v>4012</v>
      </c>
      <c r="AC378">
        <v>1</v>
      </c>
      <c r="AE378" t="s">
        <v>239</v>
      </c>
      <c r="AF378" t="s">
        <v>29</v>
      </c>
      <c r="AG378">
        <v>2</v>
      </c>
      <c r="AH378" t="s">
        <v>25</v>
      </c>
      <c r="AI378">
        <v>1106</v>
      </c>
      <c r="AJ378" t="s">
        <v>246</v>
      </c>
      <c r="AK378" t="s">
        <v>1342</v>
      </c>
      <c r="AQ378" t="s">
        <v>1353</v>
      </c>
      <c r="AS378" t="str">
        <f t="shared" si="6"/>
        <v>FB011229</v>
      </c>
    </row>
    <row r="379" spans="1:45" ht="15" customHeight="1">
      <c r="A379" t="s">
        <v>221</v>
      </c>
      <c r="B379">
        <v>1228</v>
      </c>
      <c r="C379" t="s">
        <v>27</v>
      </c>
      <c r="D379" s="8">
        <v>45665</v>
      </c>
      <c r="E379" s="22">
        <v>45946</v>
      </c>
      <c r="F379" t="s">
        <v>1353</v>
      </c>
      <c r="G379" t="s">
        <v>158</v>
      </c>
      <c r="H379">
        <v>6</v>
      </c>
      <c r="I379">
        <v>20602855733</v>
      </c>
      <c r="J379" t="s">
        <v>1748</v>
      </c>
      <c r="K379" s="8">
        <v>45665</v>
      </c>
      <c r="Q379">
        <v>1</v>
      </c>
      <c r="R379">
        <v>871</v>
      </c>
      <c r="S379" t="s">
        <v>1381</v>
      </c>
      <c r="T379" t="s">
        <v>219</v>
      </c>
      <c r="U379">
        <v>1</v>
      </c>
      <c r="V379">
        <v>2862.29</v>
      </c>
      <c r="W379">
        <v>3377.5</v>
      </c>
      <c r="X379">
        <v>0</v>
      </c>
      <c r="Y379">
        <v>2862.29</v>
      </c>
      <c r="Z379">
        <v>18</v>
      </c>
      <c r="AA379">
        <v>515.21</v>
      </c>
      <c r="AB379">
        <v>3377.5</v>
      </c>
      <c r="AC379">
        <v>1</v>
      </c>
      <c r="AE379" t="s">
        <v>239</v>
      </c>
      <c r="AF379" t="s">
        <v>29</v>
      </c>
      <c r="AG379">
        <v>2</v>
      </c>
      <c r="AH379" t="s">
        <v>25</v>
      </c>
      <c r="AI379">
        <v>1106</v>
      </c>
      <c r="AJ379" t="s">
        <v>246</v>
      </c>
      <c r="AK379" t="s">
        <v>1346</v>
      </c>
      <c r="AQ379" t="s">
        <v>1353</v>
      </c>
      <c r="AS379" t="str">
        <f t="shared" si="6"/>
        <v>FB011228</v>
      </c>
    </row>
    <row r="380" spans="1:45" ht="15" customHeight="1">
      <c r="A380" t="s">
        <v>221</v>
      </c>
      <c r="B380">
        <v>1227</v>
      </c>
      <c r="C380" t="s">
        <v>27</v>
      </c>
      <c r="D380" s="8">
        <v>45665</v>
      </c>
      <c r="E380" s="22">
        <v>45946</v>
      </c>
      <c r="F380" t="s">
        <v>1353</v>
      </c>
      <c r="G380" t="s">
        <v>158</v>
      </c>
      <c r="H380">
        <v>6</v>
      </c>
      <c r="I380">
        <v>20602855733</v>
      </c>
      <c r="J380" t="s">
        <v>1749</v>
      </c>
      <c r="K380" s="8">
        <v>45665</v>
      </c>
      <c r="Q380">
        <v>1</v>
      </c>
      <c r="R380">
        <v>878</v>
      </c>
      <c r="S380" t="s">
        <v>1498</v>
      </c>
      <c r="T380" t="s">
        <v>219</v>
      </c>
      <c r="U380">
        <v>1</v>
      </c>
      <c r="V380">
        <v>4262.2</v>
      </c>
      <c r="W380">
        <v>5029.3999999999996</v>
      </c>
      <c r="X380">
        <v>0</v>
      </c>
      <c r="Y380">
        <v>4262.2</v>
      </c>
      <c r="Z380">
        <v>18</v>
      </c>
      <c r="AA380">
        <v>767.2</v>
      </c>
      <c r="AB380">
        <v>5029.3999999999996</v>
      </c>
      <c r="AC380">
        <v>1</v>
      </c>
      <c r="AE380" t="s">
        <v>239</v>
      </c>
      <c r="AF380" t="s">
        <v>29</v>
      </c>
      <c r="AG380">
        <v>2</v>
      </c>
      <c r="AH380" t="s">
        <v>25</v>
      </c>
      <c r="AI380">
        <v>1106</v>
      </c>
      <c r="AJ380" t="s">
        <v>246</v>
      </c>
      <c r="AK380" t="s">
        <v>1346</v>
      </c>
      <c r="AQ380" t="s">
        <v>1353</v>
      </c>
      <c r="AS380" t="str">
        <f t="shared" si="6"/>
        <v>FB011227</v>
      </c>
    </row>
    <row r="381" spans="1:45" ht="15" customHeight="1">
      <c r="A381" t="s">
        <v>221</v>
      </c>
      <c r="B381">
        <v>1226</v>
      </c>
      <c r="C381" t="s">
        <v>27</v>
      </c>
      <c r="D381" s="8">
        <v>45665</v>
      </c>
      <c r="E381" s="22">
        <v>45946</v>
      </c>
      <c r="F381" t="s">
        <v>1029</v>
      </c>
      <c r="H381">
        <v>6</v>
      </c>
      <c r="I381">
        <v>20611545399</v>
      </c>
      <c r="J381" t="s">
        <v>1750</v>
      </c>
      <c r="K381" s="8">
        <v>45665</v>
      </c>
      <c r="Q381">
        <v>1</v>
      </c>
      <c r="R381">
        <v>877</v>
      </c>
      <c r="S381" t="s">
        <v>197</v>
      </c>
      <c r="T381" t="s">
        <v>219</v>
      </c>
      <c r="U381">
        <v>1</v>
      </c>
      <c r="V381">
        <v>17.100000000000001</v>
      </c>
      <c r="W381">
        <v>20.18</v>
      </c>
      <c r="X381">
        <v>0</v>
      </c>
      <c r="Y381">
        <v>17.100000000000001</v>
      </c>
      <c r="Z381">
        <v>18.010000000000002</v>
      </c>
      <c r="AA381">
        <v>3.08</v>
      </c>
      <c r="AB381">
        <v>20.18</v>
      </c>
      <c r="AC381">
        <v>1</v>
      </c>
      <c r="AE381" t="s">
        <v>239</v>
      </c>
      <c r="AF381" t="s">
        <v>29</v>
      </c>
      <c r="AG381">
        <v>2</v>
      </c>
      <c r="AH381" t="s">
        <v>25</v>
      </c>
      <c r="AI381">
        <v>1106</v>
      </c>
      <c r="AJ381" t="s">
        <v>246</v>
      </c>
      <c r="AK381" t="s">
        <v>1346</v>
      </c>
      <c r="AQ381" t="s">
        <v>1029</v>
      </c>
      <c r="AS381" t="str">
        <f t="shared" si="6"/>
        <v>FB011226</v>
      </c>
    </row>
    <row r="382" spans="1:45" ht="15" customHeight="1">
      <c r="A382" t="s">
        <v>221</v>
      </c>
      <c r="B382">
        <v>1225</v>
      </c>
      <c r="C382" t="s">
        <v>27</v>
      </c>
      <c r="D382" s="8">
        <v>45665</v>
      </c>
      <c r="E382" s="22">
        <v>45946</v>
      </c>
      <c r="F382" t="s">
        <v>1029</v>
      </c>
      <c r="H382">
        <v>6</v>
      </c>
      <c r="I382">
        <v>20611545399</v>
      </c>
      <c r="J382" t="s">
        <v>1751</v>
      </c>
      <c r="K382" s="8">
        <v>45665</v>
      </c>
      <c r="Q382">
        <v>1</v>
      </c>
      <c r="R382">
        <v>890</v>
      </c>
      <c r="S382" t="s">
        <v>1752</v>
      </c>
      <c r="T382" t="s">
        <v>219</v>
      </c>
      <c r="U382">
        <v>1</v>
      </c>
      <c r="V382">
        <v>3400</v>
      </c>
      <c r="W382">
        <v>4012</v>
      </c>
      <c r="X382">
        <v>0</v>
      </c>
      <c r="Y382">
        <v>3400</v>
      </c>
      <c r="Z382">
        <v>18</v>
      </c>
      <c r="AA382">
        <v>612</v>
      </c>
      <c r="AB382">
        <v>4012</v>
      </c>
      <c r="AC382">
        <v>1</v>
      </c>
      <c r="AE382" t="s">
        <v>239</v>
      </c>
      <c r="AF382" t="s">
        <v>29</v>
      </c>
      <c r="AG382">
        <v>2</v>
      </c>
      <c r="AH382" t="s">
        <v>25</v>
      </c>
      <c r="AI382">
        <v>1106</v>
      </c>
      <c r="AJ382" t="s">
        <v>246</v>
      </c>
      <c r="AK382" t="s">
        <v>1342</v>
      </c>
      <c r="AQ382" t="s">
        <v>1029</v>
      </c>
      <c r="AS382" t="str">
        <f t="shared" si="6"/>
        <v>FB011225</v>
      </c>
    </row>
    <row r="383" spans="1:45" ht="15" customHeight="1">
      <c r="A383" t="s">
        <v>221</v>
      </c>
      <c r="B383">
        <v>1224</v>
      </c>
      <c r="C383" t="s">
        <v>27</v>
      </c>
      <c r="D383" s="8">
        <v>45665</v>
      </c>
      <c r="E383" s="22">
        <v>45946</v>
      </c>
      <c r="F383" t="s">
        <v>1029</v>
      </c>
      <c r="H383">
        <v>6</v>
      </c>
      <c r="I383">
        <v>20611545399</v>
      </c>
      <c r="J383" t="s">
        <v>1753</v>
      </c>
      <c r="K383" s="8">
        <v>45665</v>
      </c>
      <c r="Q383">
        <v>1</v>
      </c>
      <c r="R383">
        <v>877</v>
      </c>
      <c r="S383" t="s">
        <v>197</v>
      </c>
      <c r="T383" t="s">
        <v>219</v>
      </c>
      <c r="U383">
        <v>1</v>
      </c>
      <c r="V383">
        <v>9.9</v>
      </c>
      <c r="W383">
        <v>11.68</v>
      </c>
      <c r="X383">
        <v>0</v>
      </c>
      <c r="Y383">
        <v>9.9</v>
      </c>
      <c r="Z383">
        <v>17.98</v>
      </c>
      <c r="AA383">
        <v>1.78</v>
      </c>
      <c r="AB383">
        <v>11.68</v>
      </c>
      <c r="AC383">
        <v>1</v>
      </c>
      <c r="AE383" t="s">
        <v>239</v>
      </c>
      <c r="AF383" t="s">
        <v>29</v>
      </c>
      <c r="AG383">
        <v>2</v>
      </c>
      <c r="AH383" t="s">
        <v>25</v>
      </c>
      <c r="AI383">
        <v>1106</v>
      </c>
      <c r="AJ383" t="s">
        <v>246</v>
      </c>
      <c r="AK383" t="s">
        <v>1346</v>
      </c>
      <c r="AQ383" t="s">
        <v>1029</v>
      </c>
      <c r="AS383" t="str">
        <f t="shared" si="6"/>
        <v>FB011224</v>
      </c>
    </row>
    <row r="384" spans="1:45" ht="15" customHeight="1">
      <c r="A384" t="s">
        <v>221</v>
      </c>
      <c r="B384">
        <v>1223</v>
      </c>
      <c r="C384" t="s">
        <v>27</v>
      </c>
      <c r="D384" s="8">
        <v>45665</v>
      </c>
      <c r="E384" s="22">
        <v>45946</v>
      </c>
      <c r="F384" t="s">
        <v>1029</v>
      </c>
      <c r="H384">
        <v>6</v>
      </c>
      <c r="I384">
        <v>20611545399</v>
      </c>
      <c r="J384" t="s">
        <v>1754</v>
      </c>
      <c r="K384" s="8">
        <v>45665</v>
      </c>
      <c r="Q384">
        <v>1</v>
      </c>
      <c r="R384">
        <v>870</v>
      </c>
      <c r="S384" t="s">
        <v>1227</v>
      </c>
      <c r="T384" t="s">
        <v>219</v>
      </c>
      <c r="U384">
        <v>1</v>
      </c>
      <c r="V384">
        <v>6</v>
      </c>
      <c r="W384">
        <v>7.08</v>
      </c>
      <c r="X384">
        <v>0</v>
      </c>
      <c r="Y384">
        <v>6</v>
      </c>
      <c r="Z384">
        <v>18</v>
      </c>
      <c r="AA384">
        <v>1.08</v>
      </c>
      <c r="AB384">
        <v>7.08</v>
      </c>
      <c r="AC384">
        <v>1</v>
      </c>
      <c r="AE384" t="s">
        <v>239</v>
      </c>
      <c r="AF384" t="s">
        <v>29</v>
      </c>
      <c r="AG384">
        <v>2</v>
      </c>
      <c r="AH384" t="s">
        <v>25</v>
      </c>
      <c r="AI384">
        <v>1106</v>
      </c>
      <c r="AJ384" t="s">
        <v>246</v>
      </c>
      <c r="AK384" t="s">
        <v>1346</v>
      </c>
      <c r="AQ384" t="s">
        <v>1029</v>
      </c>
      <c r="AS384" t="str">
        <f t="shared" si="6"/>
        <v>FB011223</v>
      </c>
    </row>
    <row r="385" spans="1:45" ht="15" customHeight="1">
      <c r="A385" t="s">
        <v>221</v>
      </c>
      <c r="B385">
        <v>1222</v>
      </c>
      <c r="C385" t="s">
        <v>27</v>
      </c>
      <c r="D385" s="8">
        <v>45663</v>
      </c>
      <c r="E385" s="22">
        <v>45946</v>
      </c>
      <c r="F385" t="s">
        <v>1055</v>
      </c>
      <c r="H385">
        <v>6</v>
      </c>
      <c r="I385">
        <v>20541708406</v>
      </c>
      <c r="J385" t="s">
        <v>1755</v>
      </c>
      <c r="K385" s="8">
        <v>45663</v>
      </c>
      <c r="Q385">
        <v>1</v>
      </c>
      <c r="R385">
        <v>889</v>
      </c>
      <c r="S385" t="s">
        <v>1756</v>
      </c>
      <c r="T385" t="s">
        <v>219</v>
      </c>
      <c r="U385">
        <v>1</v>
      </c>
      <c r="V385">
        <v>32.5</v>
      </c>
      <c r="W385">
        <v>38.35</v>
      </c>
      <c r="X385">
        <v>0</v>
      </c>
      <c r="Y385">
        <v>32.5</v>
      </c>
      <c r="Z385">
        <v>18</v>
      </c>
      <c r="AA385">
        <v>5.85</v>
      </c>
      <c r="AB385">
        <v>38.35</v>
      </c>
      <c r="AC385">
        <v>1</v>
      </c>
      <c r="AE385" t="s">
        <v>239</v>
      </c>
      <c r="AF385" t="s">
        <v>29</v>
      </c>
      <c r="AG385">
        <v>2</v>
      </c>
      <c r="AH385" t="s">
        <v>25</v>
      </c>
      <c r="AI385">
        <v>1106</v>
      </c>
      <c r="AJ385" t="s">
        <v>246</v>
      </c>
      <c r="AK385" t="s">
        <v>1477</v>
      </c>
      <c r="AQ385" t="s">
        <v>1055</v>
      </c>
      <c r="AS385" t="str">
        <f t="shared" si="6"/>
        <v>FB011222</v>
      </c>
    </row>
    <row r="386" spans="1:45" ht="15" customHeight="1">
      <c r="A386" t="s">
        <v>221</v>
      </c>
      <c r="B386">
        <v>1219</v>
      </c>
      <c r="C386" t="s">
        <v>27</v>
      </c>
      <c r="D386" s="8">
        <v>45663</v>
      </c>
      <c r="E386" s="22">
        <v>45946</v>
      </c>
      <c r="F386" t="s">
        <v>1055</v>
      </c>
      <c r="H386">
        <v>6</v>
      </c>
      <c r="I386">
        <v>20541708406</v>
      </c>
      <c r="J386" t="s">
        <v>1757</v>
      </c>
      <c r="K386" s="8">
        <v>45663</v>
      </c>
      <c r="Q386">
        <v>1</v>
      </c>
      <c r="R386">
        <v>877</v>
      </c>
      <c r="S386" t="s">
        <v>197</v>
      </c>
      <c r="T386" t="s">
        <v>219</v>
      </c>
      <c r="U386">
        <v>1</v>
      </c>
      <c r="V386">
        <v>1978.14</v>
      </c>
      <c r="W386">
        <v>2334.1999999999998</v>
      </c>
      <c r="X386">
        <v>0</v>
      </c>
      <c r="Y386">
        <v>1978.14</v>
      </c>
      <c r="Z386">
        <v>18</v>
      </c>
      <c r="AA386">
        <v>356.06</v>
      </c>
      <c r="AB386">
        <v>2334.1999999999998</v>
      </c>
      <c r="AC386">
        <v>1</v>
      </c>
      <c r="AE386" t="s">
        <v>239</v>
      </c>
      <c r="AF386" t="s">
        <v>29</v>
      </c>
      <c r="AG386">
        <v>2</v>
      </c>
      <c r="AH386" t="s">
        <v>25</v>
      </c>
      <c r="AI386">
        <v>1106</v>
      </c>
      <c r="AJ386" t="s">
        <v>246</v>
      </c>
      <c r="AK386" t="s">
        <v>1346</v>
      </c>
      <c r="AQ386" t="s">
        <v>1055</v>
      </c>
      <c r="AS386" t="str">
        <f t="shared" si="6"/>
        <v>FB011219</v>
      </c>
    </row>
    <row r="387" spans="1:45" ht="15" customHeight="1">
      <c r="A387" t="s">
        <v>221</v>
      </c>
      <c r="B387">
        <v>1218</v>
      </c>
      <c r="C387" t="s">
        <v>27</v>
      </c>
      <c r="D387" s="8">
        <v>45663</v>
      </c>
      <c r="E387" s="22">
        <v>45946</v>
      </c>
      <c r="F387" t="s">
        <v>1055</v>
      </c>
      <c r="H387">
        <v>6</v>
      </c>
      <c r="I387">
        <v>20541708406</v>
      </c>
      <c r="J387" t="s">
        <v>1758</v>
      </c>
      <c r="K387" s="8">
        <v>45663</v>
      </c>
      <c r="Q387">
        <v>1</v>
      </c>
      <c r="R387">
        <v>878</v>
      </c>
      <c r="S387" t="s">
        <v>1498</v>
      </c>
      <c r="T387" t="s">
        <v>219</v>
      </c>
      <c r="U387">
        <v>1</v>
      </c>
      <c r="V387">
        <v>1085.76</v>
      </c>
      <c r="W387">
        <v>1281.2</v>
      </c>
      <c r="X387">
        <v>0</v>
      </c>
      <c r="Y387">
        <v>1085.76</v>
      </c>
      <c r="Z387">
        <v>18</v>
      </c>
      <c r="AA387">
        <v>195.44</v>
      </c>
      <c r="AB387">
        <v>1281.2</v>
      </c>
      <c r="AC387">
        <v>1</v>
      </c>
      <c r="AE387" t="s">
        <v>239</v>
      </c>
      <c r="AF387" t="s">
        <v>29</v>
      </c>
      <c r="AG387">
        <v>2</v>
      </c>
      <c r="AH387" t="s">
        <v>25</v>
      </c>
      <c r="AI387">
        <v>1106</v>
      </c>
      <c r="AJ387" t="s">
        <v>246</v>
      </c>
      <c r="AK387" t="s">
        <v>1346</v>
      </c>
      <c r="AQ387" t="s">
        <v>1055</v>
      </c>
      <c r="AS387" t="str">
        <f t="shared" si="6"/>
        <v>FB011218</v>
      </c>
    </row>
    <row r="388" spans="1:45" ht="15" customHeight="1">
      <c r="A388" t="s">
        <v>221</v>
      </c>
      <c r="B388">
        <v>1217</v>
      </c>
      <c r="C388" t="s">
        <v>27</v>
      </c>
      <c r="D388" s="8">
        <v>45663</v>
      </c>
      <c r="E388" s="22">
        <v>45946</v>
      </c>
      <c r="F388" t="s">
        <v>366</v>
      </c>
      <c r="H388">
        <v>6</v>
      </c>
      <c r="I388">
        <v>20613294814</v>
      </c>
      <c r="J388" t="s">
        <v>1759</v>
      </c>
      <c r="K388" s="8">
        <v>45663</v>
      </c>
      <c r="Q388">
        <v>1</v>
      </c>
      <c r="R388">
        <v>874</v>
      </c>
      <c r="S388" t="s">
        <v>1390</v>
      </c>
      <c r="T388" t="s">
        <v>219</v>
      </c>
      <c r="U388">
        <v>1</v>
      </c>
      <c r="V388">
        <v>50</v>
      </c>
      <c r="W388">
        <v>59</v>
      </c>
      <c r="X388">
        <v>0</v>
      </c>
      <c r="Y388">
        <v>50</v>
      </c>
      <c r="Z388">
        <v>18</v>
      </c>
      <c r="AA388">
        <v>9</v>
      </c>
      <c r="AB388">
        <v>59</v>
      </c>
      <c r="AC388">
        <v>1</v>
      </c>
      <c r="AE388" t="s">
        <v>239</v>
      </c>
      <c r="AF388" t="s">
        <v>29</v>
      </c>
      <c r="AG388">
        <v>2</v>
      </c>
      <c r="AH388" t="s">
        <v>25</v>
      </c>
      <c r="AI388">
        <v>1106</v>
      </c>
      <c r="AJ388" t="s">
        <v>246</v>
      </c>
      <c r="AK388" t="s">
        <v>1346</v>
      </c>
      <c r="AQ388" t="s">
        <v>366</v>
      </c>
      <c r="AS388" t="str">
        <f t="shared" si="6"/>
        <v>FB011217</v>
      </c>
    </row>
    <row r="389" spans="1:45" ht="15" customHeight="1">
      <c r="A389" t="s">
        <v>221</v>
      </c>
      <c r="B389">
        <v>1216</v>
      </c>
      <c r="C389" t="s">
        <v>27</v>
      </c>
      <c r="D389" s="8">
        <v>45663</v>
      </c>
      <c r="E389" s="22">
        <v>45946</v>
      </c>
      <c r="F389" t="s">
        <v>366</v>
      </c>
      <c r="H389">
        <v>6</v>
      </c>
      <c r="I389">
        <v>20613294814</v>
      </c>
      <c r="J389" t="s">
        <v>1760</v>
      </c>
      <c r="K389" s="8">
        <v>45663</v>
      </c>
      <c r="Q389">
        <v>1</v>
      </c>
      <c r="R389">
        <v>877</v>
      </c>
      <c r="S389" t="s">
        <v>197</v>
      </c>
      <c r="T389" t="s">
        <v>219</v>
      </c>
      <c r="U389">
        <v>1</v>
      </c>
      <c r="V389">
        <v>227.88</v>
      </c>
      <c r="W389">
        <v>268.89999999999998</v>
      </c>
      <c r="X389">
        <v>0</v>
      </c>
      <c r="Y389">
        <v>227.88</v>
      </c>
      <c r="Z389">
        <v>18</v>
      </c>
      <c r="AA389">
        <v>41.02</v>
      </c>
      <c r="AB389">
        <v>268.89999999999998</v>
      </c>
      <c r="AC389">
        <v>1</v>
      </c>
      <c r="AE389" t="s">
        <v>239</v>
      </c>
      <c r="AF389" t="s">
        <v>29</v>
      </c>
      <c r="AG389">
        <v>2</v>
      </c>
      <c r="AH389" t="s">
        <v>25</v>
      </c>
      <c r="AI389">
        <v>1106</v>
      </c>
      <c r="AJ389" t="s">
        <v>246</v>
      </c>
      <c r="AK389" t="s">
        <v>1346</v>
      </c>
      <c r="AQ389" t="s">
        <v>366</v>
      </c>
      <c r="AS389" t="str">
        <f t="shared" si="6"/>
        <v>FB011216</v>
      </c>
    </row>
    <row r="390" spans="1:45" ht="15" customHeight="1">
      <c r="A390" t="s">
        <v>221</v>
      </c>
      <c r="B390">
        <v>1215</v>
      </c>
      <c r="C390" t="s">
        <v>27</v>
      </c>
      <c r="D390" s="8">
        <v>45663</v>
      </c>
      <c r="E390" s="22">
        <v>45946</v>
      </c>
      <c r="F390" t="s">
        <v>366</v>
      </c>
      <c r="H390">
        <v>6</v>
      </c>
      <c r="I390">
        <v>20613294814</v>
      </c>
      <c r="J390" t="s">
        <v>1761</v>
      </c>
      <c r="K390" s="8">
        <v>45663</v>
      </c>
      <c r="Q390">
        <v>1</v>
      </c>
      <c r="R390">
        <v>870</v>
      </c>
      <c r="S390" t="s">
        <v>1227</v>
      </c>
      <c r="T390" t="s">
        <v>219</v>
      </c>
      <c r="U390">
        <v>1</v>
      </c>
      <c r="V390">
        <v>126.36</v>
      </c>
      <c r="W390">
        <v>149.1</v>
      </c>
      <c r="X390">
        <v>0</v>
      </c>
      <c r="Y390">
        <v>126.36</v>
      </c>
      <c r="Z390">
        <v>18</v>
      </c>
      <c r="AA390">
        <v>22.74</v>
      </c>
      <c r="AB390">
        <v>149.1</v>
      </c>
      <c r="AC390">
        <v>1</v>
      </c>
      <c r="AE390" t="s">
        <v>239</v>
      </c>
      <c r="AF390" t="s">
        <v>29</v>
      </c>
      <c r="AG390">
        <v>2</v>
      </c>
      <c r="AH390" t="s">
        <v>25</v>
      </c>
      <c r="AI390">
        <v>1106</v>
      </c>
      <c r="AJ390" t="s">
        <v>246</v>
      </c>
      <c r="AK390" t="s">
        <v>1346</v>
      </c>
      <c r="AQ390" t="s">
        <v>366</v>
      </c>
      <c r="AS390" t="str">
        <f t="shared" si="6"/>
        <v>FB011215</v>
      </c>
    </row>
    <row r="391" spans="1:45" ht="15" customHeight="1">
      <c r="A391" t="s">
        <v>1349</v>
      </c>
      <c r="B391">
        <v>650</v>
      </c>
      <c r="C391" t="s">
        <v>27</v>
      </c>
      <c r="D391" s="8">
        <v>45663</v>
      </c>
      <c r="E391" s="22">
        <v>45946</v>
      </c>
      <c r="F391" t="s">
        <v>1138</v>
      </c>
      <c r="H391">
        <v>1</v>
      </c>
      <c r="I391">
        <v>10690613</v>
      </c>
      <c r="J391" t="s">
        <v>1762</v>
      </c>
      <c r="K391" s="8">
        <v>45663</v>
      </c>
      <c r="Q391">
        <v>1</v>
      </c>
      <c r="R391">
        <v>877</v>
      </c>
      <c r="S391" t="s">
        <v>197</v>
      </c>
      <c r="T391" t="s">
        <v>219</v>
      </c>
      <c r="U391">
        <v>1</v>
      </c>
      <c r="V391">
        <v>113.39</v>
      </c>
      <c r="W391">
        <v>133.80000000000001</v>
      </c>
      <c r="X391">
        <v>0</v>
      </c>
      <c r="Y391">
        <v>113.39</v>
      </c>
      <c r="Z391">
        <v>18</v>
      </c>
      <c r="AA391">
        <v>20.41</v>
      </c>
      <c r="AB391">
        <v>133.80000000000001</v>
      </c>
      <c r="AC391">
        <v>1</v>
      </c>
      <c r="AE391" t="s">
        <v>239</v>
      </c>
      <c r="AF391" t="s">
        <v>29</v>
      </c>
      <c r="AG391">
        <v>2</v>
      </c>
      <c r="AH391" t="s">
        <v>25</v>
      </c>
      <c r="AI391">
        <v>1106</v>
      </c>
      <c r="AJ391" t="s">
        <v>246</v>
      </c>
      <c r="AK391" t="s">
        <v>1346</v>
      </c>
      <c r="AQ391" t="s">
        <v>1138</v>
      </c>
      <c r="AS391" t="str">
        <f t="shared" si="6"/>
        <v>BB01650</v>
      </c>
    </row>
    <row r="392" spans="1:45" ht="15" customHeight="1">
      <c r="A392" t="s">
        <v>1349</v>
      </c>
      <c r="B392">
        <v>649</v>
      </c>
      <c r="C392" t="s">
        <v>27</v>
      </c>
      <c r="D392" s="8">
        <v>45663</v>
      </c>
      <c r="E392" s="22">
        <v>45946</v>
      </c>
      <c r="F392" t="s">
        <v>1138</v>
      </c>
      <c r="H392">
        <v>1</v>
      </c>
      <c r="I392">
        <v>10690613</v>
      </c>
      <c r="J392" t="s">
        <v>1763</v>
      </c>
      <c r="K392" s="8">
        <v>45663</v>
      </c>
      <c r="Q392">
        <v>1</v>
      </c>
      <c r="R392">
        <v>870</v>
      </c>
      <c r="S392" t="s">
        <v>1227</v>
      </c>
      <c r="T392" t="s">
        <v>219</v>
      </c>
      <c r="U392">
        <v>1</v>
      </c>
      <c r="V392">
        <v>59.15</v>
      </c>
      <c r="W392">
        <v>69.8</v>
      </c>
      <c r="X392">
        <v>0</v>
      </c>
      <c r="Y392">
        <v>59.15</v>
      </c>
      <c r="Z392">
        <v>18.010000000000002</v>
      </c>
      <c r="AA392">
        <v>10.65</v>
      </c>
      <c r="AB392">
        <v>69.8</v>
      </c>
      <c r="AC392">
        <v>1</v>
      </c>
      <c r="AE392" t="s">
        <v>239</v>
      </c>
      <c r="AF392" t="s">
        <v>29</v>
      </c>
      <c r="AG392">
        <v>2</v>
      </c>
      <c r="AH392" t="s">
        <v>25</v>
      </c>
      <c r="AI392">
        <v>1106</v>
      </c>
      <c r="AJ392" t="s">
        <v>246</v>
      </c>
      <c r="AK392" t="s">
        <v>1346</v>
      </c>
      <c r="AQ392" t="s">
        <v>1138</v>
      </c>
      <c r="AS392" t="str">
        <f t="shared" si="6"/>
        <v>BB01649</v>
      </c>
    </row>
    <row r="393" spans="1:45" ht="15" customHeight="1">
      <c r="A393" t="s">
        <v>221</v>
      </c>
      <c r="B393">
        <v>1214</v>
      </c>
      <c r="C393" t="s">
        <v>27</v>
      </c>
      <c r="D393" s="8">
        <v>45663</v>
      </c>
      <c r="E393" s="22">
        <v>45946</v>
      </c>
      <c r="F393" t="s">
        <v>928</v>
      </c>
      <c r="H393">
        <v>6</v>
      </c>
      <c r="I393">
        <v>20609670518</v>
      </c>
      <c r="J393" t="s">
        <v>1764</v>
      </c>
      <c r="K393" s="8">
        <v>45663</v>
      </c>
      <c r="Q393">
        <v>1</v>
      </c>
      <c r="R393">
        <v>871</v>
      </c>
      <c r="S393" t="s">
        <v>1381</v>
      </c>
      <c r="T393" t="s">
        <v>219</v>
      </c>
      <c r="U393">
        <v>1</v>
      </c>
      <c r="V393">
        <v>283.79000000000002</v>
      </c>
      <c r="W393">
        <v>334.87</v>
      </c>
      <c r="X393">
        <v>0</v>
      </c>
      <c r="Y393">
        <v>283.79000000000002</v>
      </c>
      <c r="Z393">
        <v>18</v>
      </c>
      <c r="AA393">
        <v>51.08</v>
      </c>
      <c r="AB393">
        <v>334.87</v>
      </c>
      <c r="AC393">
        <v>1</v>
      </c>
      <c r="AE393" t="s">
        <v>239</v>
      </c>
      <c r="AF393" t="s">
        <v>29</v>
      </c>
      <c r="AG393">
        <v>2</v>
      </c>
      <c r="AH393" t="s">
        <v>25</v>
      </c>
      <c r="AI393">
        <v>1106</v>
      </c>
      <c r="AJ393" t="s">
        <v>246</v>
      </c>
      <c r="AK393" t="s">
        <v>1346</v>
      </c>
      <c r="AQ393" t="s">
        <v>928</v>
      </c>
      <c r="AS393" t="str">
        <f t="shared" si="6"/>
        <v>FB011214</v>
      </c>
    </row>
    <row r="394" spans="1:45" ht="15" customHeight="1">
      <c r="A394" t="s">
        <v>221</v>
      </c>
      <c r="B394">
        <v>1213</v>
      </c>
      <c r="C394" t="s">
        <v>27</v>
      </c>
      <c r="D394" s="8">
        <v>45663</v>
      </c>
      <c r="E394" s="22">
        <v>45946</v>
      </c>
      <c r="F394" t="s">
        <v>928</v>
      </c>
      <c r="H394">
        <v>6</v>
      </c>
      <c r="I394">
        <v>20609670518</v>
      </c>
      <c r="J394" t="s">
        <v>1765</v>
      </c>
      <c r="K394" s="8">
        <v>45663</v>
      </c>
      <c r="Q394">
        <v>1</v>
      </c>
      <c r="R394">
        <v>878</v>
      </c>
      <c r="S394" t="s">
        <v>1498</v>
      </c>
      <c r="T394" t="s">
        <v>219</v>
      </c>
      <c r="U394">
        <v>1</v>
      </c>
      <c r="V394">
        <v>208.23</v>
      </c>
      <c r="W394">
        <v>245.71</v>
      </c>
      <c r="X394">
        <v>0</v>
      </c>
      <c r="Y394">
        <v>208.23</v>
      </c>
      <c r="Z394">
        <v>18</v>
      </c>
      <c r="AA394">
        <v>37.479999999999997</v>
      </c>
      <c r="AB394">
        <v>245.71</v>
      </c>
      <c r="AC394">
        <v>1</v>
      </c>
      <c r="AE394" t="s">
        <v>239</v>
      </c>
      <c r="AF394" t="s">
        <v>29</v>
      </c>
      <c r="AG394">
        <v>2</v>
      </c>
      <c r="AH394" t="s">
        <v>25</v>
      </c>
      <c r="AI394">
        <v>1106</v>
      </c>
      <c r="AJ394" t="s">
        <v>246</v>
      </c>
      <c r="AK394" t="s">
        <v>1346</v>
      </c>
      <c r="AQ394" t="s">
        <v>928</v>
      </c>
      <c r="AS394" t="str">
        <f t="shared" si="6"/>
        <v>FB011213</v>
      </c>
    </row>
    <row r="395" spans="1:45" ht="15" customHeight="1">
      <c r="A395" t="s">
        <v>221</v>
      </c>
      <c r="B395">
        <v>1212</v>
      </c>
      <c r="C395" t="s">
        <v>27</v>
      </c>
      <c r="D395" s="8">
        <v>45663</v>
      </c>
      <c r="E395" s="22">
        <v>45946</v>
      </c>
      <c r="F395" t="s">
        <v>1072</v>
      </c>
      <c r="H395">
        <v>6</v>
      </c>
      <c r="I395">
        <v>20601651531</v>
      </c>
      <c r="J395" t="s">
        <v>1766</v>
      </c>
      <c r="K395" s="8">
        <v>45663</v>
      </c>
      <c r="Q395">
        <v>1</v>
      </c>
      <c r="R395">
        <v>874</v>
      </c>
      <c r="S395" t="s">
        <v>1390</v>
      </c>
      <c r="T395" t="s">
        <v>219</v>
      </c>
      <c r="U395">
        <v>1</v>
      </c>
      <c r="V395">
        <v>2</v>
      </c>
      <c r="W395">
        <v>2.36</v>
      </c>
      <c r="X395">
        <v>0</v>
      </c>
      <c r="Y395">
        <v>2</v>
      </c>
      <c r="Z395">
        <v>18</v>
      </c>
      <c r="AA395">
        <v>0.36</v>
      </c>
      <c r="AB395">
        <v>2.36</v>
      </c>
      <c r="AC395">
        <v>1</v>
      </c>
      <c r="AE395" t="s">
        <v>239</v>
      </c>
      <c r="AF395" t="s">
        <v>29</v>
      </c>
      <c r="AG395">
        <v>2</v>
      </c>
      <c r="AH395" t="s">
        <v>25</v>
      </c>
      <c r="AI395">
        <v>1106</v>
      </c>
      <c r="AJ395" t="s">
        <v>246</v>
      </c>
      <c r="AK395" t="s">
        <v>1346</v>
      </c>
      <c r="AQ395" t="s">
        <v>1072</v>
      </c>
      <c r="AS395" t="str">
        <f t="shared" si="6"/>
        <v>FB011212</v>
      </c>
    </row>
    <row r="396" spans="1:45" ht="15" customHeight="1">
      <c r="A396" t="s">
        <v>221</v>
      </c>
      <c r="B396">
        <v>1211</v>
      </c>
      <c r="C396" t="s">
        <v>27</v>
      </c>
      <c r="D396" s="8">
        <v>45663</v>
      </c>
      <c r="E396" s="22">
        <v>45946</v>
      </c>
      <c r="F396" t="s">
        <v>1072</v>
      </c>
      <c r="H396">
        <v>6</v>
      </c>
      <c r="I396">
        <v>20601651531</v>
      </c>
      <c r="J396" t="s">
        <v>1767</v>
      </c>
      <c r="K396" s="8">
        <v>45663</v>
      </c>
      <c r="Q396">
        <v>1</v>
      </c>
      <c r="R396">
        <v>877</v>
      </c>
      <c r="S396" t="s">
        <v>197</v>
      </c>
      <c r="T396" t="s">
        <v>219</v>
      </c>
      <c r="U396">
        <v>1</v>
      </c>
      <c r="V396">
        <v>218.69</v>
      </c>
      <c r="W396">
        <v>258.06</v>
      </c>
      <c r="X396">
        <v>0</v>
      </c>
      <c r="Y396">
        <v>218.69</v>
      </c>
      <c r="Z396">
        <v>18</v>
      </c>
      <c r="AA396">
        <v>39.369999999999997</v>
      </c>
      <c r="AB396">
        <v>258.06</v>
      </c>
      <c r="AC396">
        <v>1</v>
      </c>
      <c r="AE396" t="s">
        <v>239</v>
      </c>
      <c r="AF396" t="s">
        <v>29</v>
      </c>
      <c r="AG396">
        <v>2</v>
      </c>
      <c r="AH396" t="s">
        <v>25</v>
      </c>
      <c r="AI396">
        <v>1106</v>
      </c>
      <c r="AJ396" t="s">
        <v>246</v>
      </c>
      <c r="AK396" t="s">
        <v>1346</v>
      </c>
      <c r="AQ396" t="s">
        <v>1072</v>
      </c>
      <c r="AS396" t="str">
        <f t="shared" si="6"/>
        <v>FB011211</v>
      </c>
    </row>
    <row r="397" spans="1:45" ht="15" customHeight="1">
      <c r="A397" t="s">
        <v>221</v>
      </c>
      <c r="B397">
        <v>1210</v>
      </c>
      <c r="C397" t="s">
        <v>27</v>
      </c>
      <c r="D397" s="8">
        <v>45663</v>
      </c>
      <c r="E397" s="22">
        <v>45946</v>
      </c>
      <c r="F397" t="s">
        <v>1768</v>
      </c>
      <c r="H397">
        <v>6</v>
      </c>
      <c r="I397">
        <v>20603064578</v>
      </c>
      <c r="J397" t="s">
        <v>1769</v>
      </c>
      <c r="K397" s="8">
        <v>45663</v>
      </c>
      <c r="Q397">
        <v>1</v>
      </c>
      <c r="R397">
        <v>874</v>
      </c>
      <c r="S397" t="s">
        <v>1390</v>
      </c>
      <c r="T397" t="s">
        <v>219</v>
      </c>
      <c r="U397">
        <v>1</v>
      </c>
      <c r="V397">
        <v>2</v>
      </c>
      <c r="W397">
        <v>2.36</v>
      </c>
      <c r="X397">
        <v>0</v>
      </c>
      <c r="Y397">
        <v>2</v>
      </c>
      <c r="Z397">
        <v>18</v>
      </c>
      <c r="AA397">
        <v>0.36</v>
      </c>
      <c r="AB397">
        <v>2.36</v>
      </c>
      <c r="AC397">
        <v>1</v>
      </c>
      <c r="AE397" t="s">
        <v>239</v>
      </c>
      <c r="AF397" t="s">
        <v>29</v>
      </c>
      <c r="AG397">
        <v>2</v>
      </c>
      <c r="AH397" t="s">
        <v>25</v>
      </c>
      <c r="AI397">
        <v>1106</v>
      </c>
      <c r="AJ397" t="s">
        <v>246</v>
      </c>
      <c r="AK397" t="s">
        <v>1346</v>
      </c>
      <c r="AQ397" t="s">
        <v>1768</v>
      </c>
      <c r="AS397" t="str">
        <f t="shared" si="6"/>
        <v>FB011210</v>
      </c>
    </row>
    <row r="398" spans="1:45" ht="15" customHeight="1">
      <c r="A398" t="s">
        <v>221</v>
      </c>
      <c r="B398">
        <v>1209</v>
      </c>
      <c r="C398" t="s">
        <v>27</v>
      </c>
      <c r="D398" s="8">
        <v>45663</v>
      </c>
      <c r="E398" s="22">
        <v>45946</v>
      </c>
      <c r="F398" t="s">
        <v>1768</v>
      </c>
      <c r="H398">
        <v>6</v>
      </c>
      <c r="I398">
        <v>20603064578</v>
      </c>
      <c r="J398" t="s">
        <v>1770</v>
      </c>
      <c r="K398" s="8">
        <v>45663</v>
      </c>
      <c r="Q398">
        <v>1</v>
      </c>
      <c r="R398">
        <v>877</v>
      </c>
      <c r="S398" t="s">
        <v>197</v>
      </c>
      <c r="T398" t="s">
        <v>219</v>
      </c>
      <c r="U398">
        <v>1</v>
      </c>
      <c r="V398">
        <v>311.91000000000003</v>
      </c>
      <c r="W398">
        <v>368.05</v>
      </c>
      <c r="X398">
        <v>0</v>
      </c>
      <c r="Y398">
        <v>311.91000000000003</v>
      </c>
      <c r="Z398">
        <v>18</v>
      </c>
      <c r="AA398">
        <v>56.14</v>
      </c>
      <c r="AB398">
        <v>368.05</v>
      </c>
      <c r="AC398">
        <v>1</v>
      </c>
      <c r="AE398" t="s">
        <v>239</v>
      </c>
      <c r="AF398" t="s">
        <v>29</v>
      </c>
      <c r="AG398">
        <v>2</v>
      </c>
      <c r="AH398" t="s">
        <v>25</v>
      </c>
      <c r="AI398">
        <v>1106</v>
      </c>
      <c r="AJ398" t="s">
        <v>246</v>
      </c>
      <c r="AK398" t="s">
        <v>1346</v>
      </c>
      <c r="AQ398" t="s">
        <v>1768</v>
      </c>
      <c r="AS398" t="str">
        <f t="shared" si="6"/>
        <v>FB011209</v>
      </c>
    </row>
    <row r="399" spans="1:45" ht="15" customHeight="1">
      <c r="A399" t="s">
        <v>221</v>
      </c>
      <c r="B399">
        <v>1208</v>
      </c>
      <c r="C399" t="s">
        <v>27</v>
      </c>
      <c r="D399" s="8">
        <v>45663</v>
      </c>
      <c r="E399" s="22">
        <v>45946</v>
      </c>
      <c r="F399" t="s">
        <v>1082</v>
      </c>
      <c r="H399">
        <v>6</v>
      </c>
      <c r="I399">
        <v>20601149371</v>
      </c>
      <c r="J399" t="s">
        <v>1771</v>
      </c>
      <c r="K399" s="8">
        <v>45663</v>
      </c>
      <c r="Q399">
        <v>1</v>
      </c>
      <c r="R399">
        <v>874</v>
      </c>
      <c r="S399" t="s">
        <v>1390</v>
      </c>
      <c r="T399" t="s">
        <v>219</v>
      </c>
      <c r="U399">
        <v>1</v>
      </c>
      <c r="V399">
        <v>2</v>
      </c>
      <c r="W399">
        <v>2.36</v>
      </c>
      <c r="X399">
        <v>0</v>
      </c>
      <c r="Y399">
        <v>2</v>
      </c>
      <c r="Z399">
        <v>18</v>
      </c>
      <c r="AA399">
        <v>0.36</v>
      </c>
      <c r="AB399">
        <v>2.36</v>
      </c>
      <c r="AC399">
        <v>1</v>
      </c>
      <c r="AE399" t="s">
        <v>239</v>
      </c>
      <c r="AF399" t="s">
        <v>29</v>
      </c>
      <c r="AG399">
        <v>2</v>
      </c>
      <c r="AH399" t="s">
        <v>25</v>
      </c>
      <c r="AI399">
        <v>1106</v>
      </c>
      <c r="AJ399" t="s">
        <v>246</v>
      </c>
      <c r="AK399" t="s">
        <v>1346</v>
      </c>
      <c r="AQ399" t="s">
        <v>1082</v>
      </c>
      <c r="AS399" t="str">
        <f t="shared" si="6"/>
        <v>FB011208</v>
      </c>
    </row>
    <row r="400" spans="1:45" ht="15" customHeight="1">
      <c r="A400" t="s">
        <v>221</v>
      </c>
      <c r="B400">
        <v>1207</v>
      </c>
      <c r="C400" t="s">
        <v>27</v>
      </c>
      <c r="D400" s="8">
        <v>45663</v>
      </c>
      <c r="E400" s="22">
        <v>45946</v>
      </c>
      <c r="F400" t="s">
        <v>1082</v>
      </c>
      <c r="H400">
        <v>6</v>
      </c>
      <c r="I400">
        <v>20601149371</v>
      </c>
      <c r="J400" t="s">
        <v>1772</v>
      </c>
      <c r="K400" s="8">
        <v>45663</v>
      </c>
      <c r="Q400">
        <v>1</v>
      </c>
      <c r="R400">
        <v>871</v>
      </c>
      <c r="S400" t="s">
        <v>1381</v>
      </c>
      <c r="T400" t="s">
        <v>219</v>
      </c>
      <c r="U400">
        <v>1</v>
      </c>
      <c r="V400">
        <v>678.25</v>
      </c>
      <c r="W400">
        <v>800.33</v>
      </c>
      <c r="X400">
        <v>0</v>
      </c>
      <c r="Y400">
        <v>678.25</v>
      </c>
      <c r="Z400">
        <v>18</v>
      </c>
      <c r="AA400">
        <v>122.08</v>
      </c>
      <c r="AB400">
        <v>800.33</v>
      </c>
      <c r="AC400">
        <v>1</v>
      </c>
      <c r="AE400" t="s">
        <v>239</v>
      </c>
      <c r="AF400" t="s">
        <v>29</v>
      </c>
      <c r="AG400">
        <v>2</v>
      </c>
      <c r="AH400" t="s">
        <v>25</v>
      </c>
      <c r="AI400">
        <v>1106</v>
      </c>
      <c r="AJ400" t="s">
        <v>246</v>
      </c>
      <c r="AK400" t="s">
        <v>1346</v>
      </c>
      <c r="AQ400" t="s">
        <v>1082</v>
      </c>
      <c r="AS400" t="str">
        <f t="shared" si="6"/>
        <v>FB011207</v>
      </c>
    </row>
    <row r="401" spans="1:45" ht="15" customHeight="1">
      <c r="A401" t="s">
        <v>221</v>
      </c>
      <c r="B401">
        <v>1206</v>
      </c>
      <c r="C401" t="s">
        <v>27</v>
      </c>
      <c r="D401" s="8">
        <v>45663</v>
      </c>
      <c r="E401" s="22">
        <v>45946</v>
      </c>
      <c r="F401" t="s">
        <v>1087</v>
      </c>
      <c r="H401">
        <v>6</v>
      </c>
      <c r="I401">
        <v>20611454300</v>
      </c>
      <c r="J401" t="s">
        <v>1773</v>
      </c>
      <c r="K401" s="8">
        <v>45663</v>
      </c>
      <c r="Q401">
        <v>1</v>
      </c>
      <c r="R401">
        <v>888</v>
      </c>
      <c r="S401" t="s">
        <v>1774</v>
      </c>
      <c r="T401" t="s">
        <v>219</v>
      </c>
      <c r="U401">
        <v>1</v>
      </c>
      <c r="V401">
        <v>100</v>
      </c>
      <c r="W401">
        <v>118</v>
      </c>
      <c r="X401">
        <v>0</v>
      </c>
      <c r="Y401">
        <v>100</v>
      </c>
      <c r="Z401">
        <v>18</v>
      </c>
      <c r="AA401">
        <v>18</v>
      </c>
      <c r="AB401">
        <v>118</v>
      </c>
      <c r="AC401">
        <v>1</v>
      </c>
      <c r="AE401" t="s">
        <v>239</v>
      </c>
      <c r="AF401" t="s">
        <v>29</v>
      </c>
      <c r="AG401">
        <v>2</v>
      </c>
      <c r="AH401" t="s">
        <v>25</v>
      </c>
      <c r="AI401">
        <v>1106</v>
      </c>
      <c r="AJ401" t="s">
        <v>246</v>
      </c>
      <c r="AK401" t="s">
        <v>1396</v>
      </c>
      <c r="AQ401" t="s">
        <v>1087</v>
      </c>
      <c r="AS401" t="str">
        <f t="shared" si="6"/>
        <v>FB011206</v>
      </c>
    </row>
    <row r="402" spans="1:45" ht="15" customHeight="1">
      <c r="A402" t="s">
        <v>221</v>
      </c>
      <c r="B402">
        <v>1205</v>
      </c>
      <c r="C402" t="s">
        <v>27</v>
      </c>
      <c r="D402" s="8">
        <v>45663</v>
      </c>
      <c r="E402" s="22">
        <v>45946</v>
      </c>
      <c r="F402" t="s">
        <v>1087</v>
      </c>
      <c r="H402">
        <v>6</v>
      </c>
      <c r="I402">
        <v>20611454300</v>
      </c>
      <c r="J402" t="s">
        <v>1775</v>
      </c>
      <c r="K402" s="8">
        <v>45663</v>
      </c>
      <c r="Q402">
        <v>1</v>
      </c>
      <c r="R402">
        <v>877</v>
      </c>
      <c r="S402" t="s">
        <v>197</v>
      </c>
      <c r="T402" t="s">
        <v>219</v>
      </c>
      <c r="U402">
        <v>1</v>
      </c>
      <c r="V402">
        <v>2836.25</v>
      </c>
      <c r="W402">
        <v>3346.77</v>
      </c>
      <c r="X402">
        <v>0</v>
      </c>
      <c r="Y402">
        <v>2836.25</v>
      </c>
      <c r="Z402">
        <v>18</v>
      </c>
      <c r="AA402">
        <v>510.52</v>
      </c>
      <c r="AB402">
        <v>3346.77</v>
      </c>
      <c r="AC402">
        <v>1</v>
      </c>
      <c r="AE402" t="s">
        <v>239</v>
      </c>
      <c r="AF402" t="s">
        <v>29</v>
      </c>
      <c r="AG402">
        <v>2</v>
      </c>
      <c r="AH402" t="s">
        <v>25</v>
      </c>
      <c r="AI402">
        <v>1106</v>
      </c>
      <c r="AJ402" t="s">
        <v>246</v>
      </c>
      <c r="AK402" t="s">
        <v>1346</v>
      </c>
      <c r="AQ402" t="s">
        <v>1087</v>
      </c>
      <c r="AS402" t="str">
        <f t="shared" si="6"/>
        <v>FB011205</v>
      </c>
    </row>
    <row r="403" spans="1:45" ht="15" customHeight="1">
      <c r="A403" t="s">
        <v>221</v>
      </c>
      <c r="B403">
        <v>1204</v>
      </c>
      <c r="C403" t="s">
        <v>27</v>
      </c>
      <c r="D403" s="8">
        <v>45663</v>
      </c>
      <c r="E403" s="22">
        <v>45946</v>
      </c>
      <c r="F403" t="s">
        <v>1087</v>
      </c>
      <c r="H403">
        <v>6</v>
      </c>
      <c r="I403">
        <v>20611454300</v>
      </c>
      <c r="J403" t="s">
        <v>1776</v>
      </c>
      <c r="K403" s="8">
        <v>45663</v>
      </c>
      <c r="Q403">
        <v>1</v>
      </c>
      <c r="R403">
        <v>870</v>
      </c>
      <c r="S403" t="s">
        <v>1227</v>
      </c>
      <c r="T403" t="s">
        <v>219</v>
      </c>
      <c r="U403">
        <v>1</v>
      </c>
      <c r="V403">
        <v>2033.08</v>
      </c>
      <c r="W403">
        <v>2399.04</v>
      </c>
      <c r="X403">
        <v>0</v>
      </c>
      <c r="Y403">
        <v>2033.08</v>
      </c>
      <c r="Z403">
        <v>18</v>
      </c>
      <c r="AA403">
        <v>365.96</v>
      </c>
      <c r="AB403">
        <v>2399.04</v>
      </c>
      <c r="AC403">
        <v>1</v>
      </c>
      <c r="AE403" t="s">
        <v>239</v>
      </c>
      <c r="AF403" t="s">
        <v>29</v>
      </c>
      <c r="AG403">
        <v>2</v>
      </c>
      <c r="AH403" t="s">
        <v>25</v>
      </c>
      <c r="AI403">
        <v>1106</v>
      </c>
      <c r="AJ403" t="s">
        <v>246</v>
      </c>
      <c r="AK403" t="s">
        <v>1346</v>
      </c>
      <c r="AQ403" t="s">
        <v>1087</v>
      </c>
      <c r="AS403" t="str">
        <f t="shared" si="6"/>
        <v>FB011204</v>
      </c>
    </row>
    <row r="404" spans="1:45" ht="15" customHeight="1">
      <c r="A404" t="s">
        <v>1349</v>
      </c>
      <c r="B404">
        <v>648</v>
      </c>
      <c r="C404" t="s">
        <v>27</v>
      </c>
      <c r="D404" s="8">
        <v>45663</v>
      </c>
      <c r="E404" s="22">
        <v>45946</v>
      </c>
      <c r="F404" t="s">
        <v>1143</v>
      </c>
      <c r="H404">
        <v>1</v>
      </c>
      <c r="I404">
        <v>44835970</v>
      </c>
      <c r="J404" t="s">
        <v>1777</v>
      </c>
      <c r="K404" s="8">
        <v>45663</v>
      </c>
      <c r="Q404">
        <v>1</v>
      </c>
      <c r="R404">
        <v>877</v>
      </c>
      <c r="S404" t="s">
        <v>197</v>
      </c>
      <c r="T404" t="s">
        <v>219</v>
      </c>
      <c r="U404">
        <v>1</v>
      </c>
      <c r="V404">
        <v>59.66</v>
      </c>
      <c r="W404">
        <v>70.400000000000006</v>
      </c>
      <c r="X404">
        <v>0</v>
      </c>
      <c r="Y404">
        <v>59.66</v>
      </c>
      <c r="Z404">
        <v>18</v>
      </c>
      <c r="AA404">
        <v>10.74</v>
      </c>
      <c r="AB404">
        <v>70.400000000000006</v>
      </c>
      <c r="AC404">
        <v>1</v>
      </c>
      <c r="AE404" t="s">
        <v>239</v>
      </c>
      <c r="AF404" t="s">
        <v>29</v>
      </c>
      <c r="AG404">
        <v>2</v>
      </c>
      <c r="AH404" t="s">
        <v>25</v>
      </c>
      <c r="AI404">
        <v>1106</v>
      </c>
      <c r="AJ404" t="s">
        <v>246</v>
      </c>
      <c r="AK404" t="s">
        <v>1346</v>
      </c>
      <c r="AQ404" t="s">
        <v>1143</v>
      </c>
      <c r="AS404" t="str">
        <f t="shared" si="6"/>
        <v>BB01648</v>
      </c>
    </row>
    <row r="405" spans="1:45" ht="15" customHeight="1">
      <c r="A405" t="s">
        <v>1349</v>
      </c>
      <c r="B405">
        <v>647</v>
      </c>
      <c r="C405" t="s">
        <v>27</v>
      </c>
      <c r="D405" s="8">
        <v>45663</v>
      </c>
      <c r="E405" s="22">
        <v>45946</v>
      </c>
      <c r="F405" t="s">
        <v>1143</v>
      </c>
      <c r="H405">
        <v>1</v>
      </c>
      <c r="I405">
        <v>44835970</v>
      </c>
      <c r="J405" t="s">
        <v>1778</v>
      </c>
      <c r="K405" s="8">
        <v>45663</v>
      </c>
      <c r="Q405">
        <v>1</v>
      </c>
      <c r="R405">
        <v>878</v>
      </c>
      <c r="S405" t="s">
        <v>1498</v>
      </c>
      <c r="T405" t="s">
        <v>219</v>
      </c>
      <c r="U405">
        <v>1</v>
      </c>
      <c r="V405">
        <v>43</v>
      </c>
      <c r="W405">
        <v>50.74</v>
      </c>
      <c r="X405">
        <v>0</v>
      </c>
      <c r="Y405">
        <v>43</v>
      </c>
      <c r="Z405">
        <v>18</v>
      </c>
      <c r="AA405">
        <v>7.74</v>
      </c>
      <c r="AB405">
        <v>50.74</v>
      </c>
      <c r="AC405">
        <v>1</v>
      </c>
      <c r="AE405" t="s">
        <v>239</v>
      </c>
      <c r="AF405" t="s">
        <v>29</v>
      </c>
      <c r="AG405">
        <v>2</v>
      </c>
      <c r="AH405" t="s">
        <v>25</v>
      </c>
      <c r="AI405">
        <v>1106</v>
      </c>
      <c r="AJ405" t="s">
        <v>246</v>
      </c>
      <c r="AK405" t="s">
        <v>1346</v>
      </c>
      <c r="AQ405" t="s">
        <v>1143</v>
      </c>
      <c r="AS405" t="str">
        <f t="shared" ref="AS405:AS458" si="7">+CONCATENATE(A405,B405)</f>
        <v>BB01647</v>
      </c>
    </row>
    <row r="406" spans="1:45" ht="15" customHeight="1">
      <c r="A406" t="s">
        <v>1349</v>
      </c>
      <c r="B406">
        <v>646</v>
      </c>
      <c r="C406" t="s">
        <v>27</v>
      </c>
      <c r="D406" s="8">
        <v>45663</v>
      </c>
      <c r="E406" s="22">
        <v>45946</v>
      </c>
      <c r="F406" t="s">
        <v>1148</v>
      </c>
      <c r="G406" t="s">
        <v>158</v>
      </c>
      <c r="H406">
        <v>1</v>
      </c>
      <c r="I406">
        <v>10482943</v>
      </c>
      <c r="J406" t="s">
        <v>1779</v>
      </c>
      <c r="K406" s="8">
        <v>45663</v>
      </c>
      <c r="Q406">
        <v>1</v>
      </c>
      <c r="R406">
        <v>877</v>
      </c>
      <c r="S406" t="s">
        <v>197</v>
      </c>
      <c r="T406" t="s">
        <v>219</v>
      </c>
      <c r="U406">
        <v>1</v>
      </c>
      <c r="V406">
        <v>66.45</v>
      </c>
      <c r="W406">
        <v>78.41</v>
      </c>
      <c r="X406">
        <v>0</v>
      </c>
      <c r="Y406">
        <v>66.45</v>
      </c>
      <c r="Z406">
        <v>18</v>
      </c>
      <c r="AA406">
        <v>11.96</v>
      </c>
      <c r="AB406">
        <v>78.41</v>
      </c>
      <c r="AC406">
        <v>1</v>
      </c>
      <c r="AE406" t="s">
        <v>239</v>
      </c>
      <c r="AF406" t="s">
        <v>29</v>
      </c>
      <c r="AG406">
        <v>2</v>
      </c>
      <c r="AH406" t="s">
        <v>25</v>
      </c>
      <c r="AI406">
        <v>1106</v>
      </c>
      <c r="AJ406" t="s">
        <v>246</v>
      </c>
      <c r="AK406" t="s">
        <v>1346</v>
      </c>
      <c r="AQ406" t="s">
        <v>1148</v>
      </c>
      <c r="AS406" t="str">
        <f t="shared" si="7"/>
        <v>BB01646</v>
      </c>
    </row>
    <row r="407" spans="1:45" ht="15" customHeight="1">
      <c r="A407" t="s">
        <v>1349</v>
      </c>
      <c r="B407">
        <v>645</v>
      </c>
      <c r="C407" t="s">
        <v>27</v>
      </c>
      <c r="D407" s="8">
        <v>45663</v>
      </c>
      <c r="E407" s="22">
        <v>45946</v>
      </c>
      <c r="F407" t="s">
        <v>1148</v>
      </c>
      <c r="G407" t="s">
        <v>158</v>
      </c>
      <c r="H407">
        <v>1</v>
      </c>
      <c r="I407">
        <v>10482943</v>
      </c>
      <c r="J407" t="s">
        <v>1780</v>
      </c>
      <c r="K407" s="8">
        <v>45663</v>
      </c>
      <c r="Q407">
        <v>1</v>
      </c>
      <c r="R407">
        <v>878</v>
      </c>
      <c r="S407" t="s">
        <v>1498</v>
      </c>
      <c r="T407" t="s">
        <v>219</v>
      </c>
      <c r="U407">
        <v>1</v>
      </c>
      <c r="V407">
        <v>41.47</v>
      </c>
      <c r="W407">
        <v>48.94</v>
      </c>
      <c r="X407">
        <v>0</v>
      </c>
      <c r="Y407">
        <v>41.47</v>
      </c>
      <c r="Z407">
        <v>18.010000000000002</v>
      </c>
      <c r="AA407">
        <v>7.47</v>
      </c>
      <c r="AB407">
        <v>48.94</v>
      </c>
      <c r="AC407">
        <v>1</v>
      </c>
      <c r="AE407" t="s">
        <v>239</v>
      </c>
      <c r="AF407" t="s">
        <v>29</v>
      </c>
      <c r="AG407">
        <v>2</v>
      </c>
      <c r="AH407" t="s">
        <v>25</v>
      </c>
      <c r="AI407">
        <v>1106</v>
      </c>
      <c r="AJ407" t="s">
        <v>246</v>
      </c>
      <c r="AK407" t="s">
        <v>1346</v>
      </c>
      <c r="AQ407" t="s">
        <v>1148</v>
      </c>
      <c r="AS407" t="str">
        <f t="shared" si="7"/>
        <v>BB01645</v>
      </c>
    </row>
    <row r="408" spans="1:45" ht="15" customHeight="1">
      <c r="A408" t="s">
        <v>221</v>
      </c>
      <c r="B408">
        <v>1203</v>
      </c>
      <c r="C408" t="s">
        <v>27</v>
      </c>
      <c r="D408" s="8">
        <v>45663</v>
      </c>
      <c r="E408" s="22">
        <v>45946</v>
      </c>
      <c r="F408" t="s">
        <v>521</v>
      </c>
      <c r="H408">
        <v>6</v>
      </c>
      <c r="I408">
        <v>10473186603</v>
      </c>
      <c r="J408" t="s">
        <v>1781</v>
      </c>
      <c r="K408" s="8">
        <v>45663</v>
      </c>
      <c r="Q408">
        <v>1</v>
      </c>
      <c r="R408">
        <v>877</v>
      </c>
      <c r="S408" t="s">
        <v>197</v>
      </c>
      <c r="T408" t="s">
        <v>219</v>
      </c>
      <c r="U408">
        <v>1</v>
      </c>
      <c r="V408">
        <v>222.31</v>
      </c>
      <c r="W408">
        <v>262.32</v>
      </c>
      <c r="X408">
        <v>0</v>
      </c>
      <c r="Y408">
        <v>222.31</v>
      </c>
      <c r="Z408">
        <v>18</v>
      </c>
      <c r="AA408">
        <v>40.01</v>
      </c>
      <c r="AB408">
        <v>262.32</v>
      </c>
      <c r="AC408">
        <v>1</v>
      </c>
      <c r="AE408" t="s">
        <v>239</v>
      </c>
      <c r="AF408" t="s">
        <v>29</v>
      </c>
      <c r="AG408">
        <v>2</v>
      </c>
      <c r="AH408" t="s">
        <v>25</v>
      </c>
      <c r="AI408">
        <v>1106</v>
      </c>
      <c r="AJ408" t="s">
        <v>246</v>
      </c>
      <c r="AK408" t="s">
        <v>1346</v>
      </c>
      <c r="AQ408" t="s">
        <v>521</v>
      </c>
      <c r="AS408" t="str">
        <f t="shared" si="7"/>
        <v>FB011203</v>
      </c>
    </row>
    <row r="409" spans="1:45" ht="15" customHeight="1">
      <c r="A409" t="s">
        <v>221</v>
      </c>
      <c r="B409">
        <v>1202</v>
      </c>
      <c r="C409" t="s">
        <v>27</v>
      </c>
      <c r="D409" s="8">
        <v>45663</v>
      </c>
      <c r="E409" s="22">
        <v>45946</v>
      </c>
      <c r="F409" t="s">
        <v>521</v>
      </c>
      <c r="H409">
        <v>6</v>
      </c>
      <c r="I409">
        <v>10473186603</v>
      </c>
      <c r="J409" t="s">
        <v>1782</v>
      </c>
      <c r="K409" s="8">
        <v>45663</v>
      </c>
      <c r="Q409">
        <v>1</v>
      </c>
      <c r="R409">
        <v>870</v>
      </c>
      <c r="S409" t="s">
        <v>1227</v>
      </c>
      <c r="T409" t="s">
        <v>219</v>
      </c>
      <c r="U409">
        <v>1</v>
      </c>
      <c r="V409">
        <v>133.41999999999999</v>
      </c>
      <c r="W409">
        <v>157.44</v>
      </c>
      <c r="X409">
        <v>0</v>
      </c>
      <c r="Y409">
        <v>133.41999999999999</v>
      </c>
      <c r="Z409">
        <v>18</v>
      </c>
      <c r="AA409">
        <v>24.02</v>
      </c>
      <c r="AB409">
        <v>157.44</v>
      </c>
      <c r="AC409">
        <v>1</v>
      </c>
      <c r="AE409" t="s">
        <v>239</v>
      </c>
      <c r="AF409" t="s">
        <v>29</v>
      </c>
      <c r="AG409">
        <v>2</v>
      </c>
      <c r="AH409" t="s">
        <v>25</v>
      </c>
      <c r="AI409">
        <v>1106</v>
      </c>
      <c r="AJ409" t="s">
        <v>246</v>
      </c>
      <c r="AK409" t="s">
        <v>1346</v>
      </c>
      <c r="AQ409" t="s">
        <v>521</v>
      </c>
      <c r="AS409" t="str">
        <f t="shared" si="7"/>
        <v>FB011202</v>
      </c>
    </row>
    <row r="410" spans="1:45" ht="15" customHeight="1">
      <c r="A410" t="s">
        <v>221</v>
      </c>
      <c r="B410">
        <v>1201</v>
      </c>
      <c r="C410" t="s">
        <v>27</v>
      </c>
      <c r="D410" s="8">
        <v>45663</v>
      </c>
      <c r="E410" s="22">
        <v>45946</v>
      </c>
      <c r="F410" t="s">
        <v>1098</v>
      </c>
      <c r="H410">
        <v>6</v>
      </c>
      <c r="I410">
        <v>20609225107</v>
      </c>
      <c r="J410" t="s">
        <v>1783</v>
      </c>
      <c r="K410" s="8">
        <v>45663</v>
      </c>
      <c r="Q410">
        <v>1</v>
      </c>
      <c r="R410">
        <v>877</v>
      </c>
      <c r="S410" t="s">
        <v>197</v>
      </c>
      <c r="T410" t="s">
        <v>219</v>
      </c>
      <c r="U410">
        <v>1</v>
      </c>
      <c r="V410">
        <v>21.61</v>
      </c>
      <c r="W410">
        <v>25.5</v>
      </c>
      <c r="X410">
        <v>0</v>
      </c>
      <c r="Y410">
        <v>21.61</v>
      </c>
      <c r="Z410">
        <v>18</v>
      </c>
      <c r="AA410">
        <v>3.89</v>
      </c>
      <c r="AB410">
        <v>25.5</v>
      </c>
      <c r="AC410">
        <v>1</v>
      </c>
      <c r="AE410" t="s">
        <v>239</v>
      </c>
      <c r="AF410" t="s">
        <v>29</v>
      </c>
      <c r="AG410">
        <v>2</v>
      </c>
      <c r="AH410" t="s">
        <v>25</v>
      </c>
      <c r="AI410">
        <v>1106</v>
      </c>
      <c r="AJ410" t="s">
        <v>246</v>
      </c>
      <c r="AK410" t="s">
        <v>1346</v>
      </c>
      <c r="AQ410" t="s">
        <v>1098</v>
      </c>
      <c r="AS410" t="str">
        <f t="shared" si="7"/>
        <v>FB011201</v>
      </c>
    </row>
    <row r="411" spans="1:45" ht="15" customHeight="1">
      <c r="A411" t="s">
        <v>221</v>
      </c>
      <c r="B411">
        <v>1200</v>
      </c>
      <c r="C411" t="s">
        <v>27</v>
      </c>
      <c r="D411" s="8">
        <v>45663</v>
      </c>
      <c r="E411" s="22">
        <v>45946</v>
      </c>
      <c r="F411" t="s">
        <v>1098</v>
      </c>
      <c r="H411">
        <v>6</v>
      </c>
      <c r="I411">
        <v>20609225107</v>
      </c>
      <c r="J411" t="s">
        <v>1784</v>
      </c>
      <c r="K411" s="8">
        <v>45663</v>
      </c>
      <c r="Q411">
        <v>1</v>
      </c>
      <c r="R411">
        <v>870</v>
      </c>
      <c r="S411" t="s">
        <v>1227</v>
      </c>
      <c r="T411" t="s">
        <v>219</v>
      </c>
      <c r="U411">
        <v>1</v>
      </c>
      <c r="V411">
        <v>15.25</v>
      </c>
      <c r="W411">
        <v>18</v>
      </c>
      <c r="X411">
        <v>0</v>
      </c>
      <c r="Y411">
        <v>15.25</v>
      </c>
      <c r="Z411">
        <v>18.03</v>
      </c>
      <c r="AA411">
        <v>2.75</v>
      </c>
      <c r="AB411">
        <v>18</v>
      </c>
      <c r="AC411">
        <v>1</v>
      </c>
      <c r="AE411" t="s">
        <v>239</v>
      </c>
      <c r="AF411" t="s">
        <v>29</v>
      </c>
      <c r="AG411">
        <v>2</v>
      </c>
      <c r="AH411" t="s">
        <v>25</v>
      </c>
      <c r="AI411">
        <v>1106</v>
      </c>
      <c r="AJ411" t="s">
        <v>246</v>
      </c>
      <c r="AK411" t="s">
        <v>1346</v>
      </c>
      <c r="AQ411" t="s">
        <v>1098</v>
      </c>
      <c r="AS411" t="str">
        <f t="shared" si="7"/>
        <v>FB011200</v>
      </c>
    </row>
    <row r="412" spans="1:45" ht="15" customHeight="1">
      <c r="A412" t="s">
        <v>1349</v>
      </c>
      <c r="B412">
        <v>644</v>
      </c>
      <c r="C412" t="s">
        <v>27</v>
      </c>
      <c r="D412" s="8">
        <v>45663</v>
      </c>
      <c r="E412" s="22">
        <v>45946</v>
      </c>
      <c r="F412" t="s">
        <v>1153</v>
      </c>
      <c r="H412">
        <v>1</v>
      </c>
      <c r="I412" s="21" t="s">
        <v>1785</v>
      </c>
      <c r="J412" t="s">
        <v>1786</v>
      </c>
      <c r="K412" s="8">
        <v>45663</v>
      </c>
      <c r="Q412">
        <v>1</v>
      </c>
      <c r="R412">
        <v>887</v>
      </c>
      <c r="S412" t="s">
        <v>1787</v>
      </c>
      <c r="T412" t="s">
        <v>219</v>
      </c>
      <c r="U412">
        <v>1</v>
      </c>
      <c r="V412">
        <v>109.06</v>
      </c>
      <c r="W412">
        <v>128.69</v>
      </c>
      <c r="X412">
        <v>0</v>
      </c>
      <c r="Y412">
        <v>109.06</v>
      </c>
      <c r="Z412">
        <v>18</v>
      </c>
      <c r="AA412">
        <v>19.63</v>
      </c>
      <c r="AB412">
        <v>128.69</v>
      </c>
      <c r="AC412">
        <v>1</v>
      </c>
      <c r="AE412" t="s">
        <v>239</v>
      </c>
      <c r="AF412" t="s">
        <v>29</v>
      </c>
      <c r="AG412">
        <v>2</v>
      </c>
      <c r="AH412" t="s">
        <v>25</v>
      </c>
      <c r="AI412">
        <v>1106</v>
      </c>
      <c r="AJ412" t="s">
        <v>246</v>
      </c>
      <c r="AK412" t="s">
        <v>1346</v>
      </c>
      <c r="AQ412" s="29" t="s">
        <v>1788</v>
      </c>
      <c r="AS412" t="str">
        <f t="shared" si="7"/>
        <v>BB01644</v>
      </c>
    </row>
    <row r="413" spans="1:45" ht="15" customHeight="1">
      <c r="A413" t="s">
        <v>1349</v>
      </c>
      <c r="B413">
        <v>643</v>
      </c>
      <c r="C413" t="s">
        <v>27</v>
      </c>
      <c r="D413" s="8">
        <v>45663</v>
      </c>
      <c r="E413" s="22">
        <v>45946</v>
      </c>
      <c r="F413" t="s">
        <v>1153</v>
      </c>
      <c r="H413">
        <v>1</v>
      </c>
      <c r="I413" s="21" t="s">
        <v>1785</v>
      </c>
      <c r="J413" t="s">
        <v>1789</v>
      </c>
      <c r="K413" s="8">
        <v>45663</v>
      </c>
      <c r="Q413">
        <v>1</v>
      </c>
      <c r="R413">
        <v>886</v>
      </c>
      <c r="S413" t="s">
        <v>1790</v>
      </c>
      <c r="T413" t="s">
        <v>219</v>
      </c>
      <c r="U413">
        <v>1</v>
      </c>
      <c r="V413">
        <v>182.75</v>
      </c>
      <c r="W413">
        <v>215.64</v>
      </c>
      <c r="X413">
        <v>0</v>
      </c>
      <c r="Y413">
        <v>182.75</v>
      </c>
      <c r="Z413">
        <v>18</v>
      </c>
      <c r="AA413">
        <v>32.89</v>
      </c>
      <c r="AB413">
        <v>215.64</v>
      </c>
      <c r="AC413">
        <v>1</v>
      </c>
      <c r="AE413" t="s">
        <v>239</v>
      </c>
      <c r="AF413" t="s">
        <v>29</v>
      </c>
      <c r="AG413">
        <v>2</v>
      </c>
      <c r="AH413" t="s">
        <v>25</v>
      </c>
      <c r="AI413">
        <v>1106</v>
      </c>
      <c r="AJ413" t="s">
        <v>246</v>
      </c>
      <c r="AK413" t="s">
        <v>1346</v>
      </c>
      <c r="AQ413" s="29" t="s">
        <v>1788</v>
      </c>
      <c r="AS413" t="str">
        <f t="shared" si="7"/>
        <v>BB01643</v>
      </c>
    </row>
    <row r="414" spans="1:45" ht="15" customHeight="1">
      <c r="A414" t="s">
        <v>221</v>
      </c>
      <c r="B414">
        <v>1199</v>
      </c>
      <c r="C414" t="s">
        <v>27</v>
      </c>
      <c r="D414" s="8">
        <v>45663</v>
      </c>
      <c r="E414" s="22">
        <v>45946</v>
      </c>
      <c r="F414" t="s">
        <v>1103</v>
      </c>
      <c r="H414">
        <v>6</v>
      </c>
      <c r="I414">
        <v>10082794838</v>
      </c>
      <c r="J414" t="s">
        <v>1791</v>
      </c>
      <c r="K414" s="8">
        <v>45663</v>
      </c>
      <c r="Q414">
        <v>1</v>
      </c>
      <c r="R414">
        <v>885</v>
      </c>
      <c r="S414" t="s">
        <v>1449</v>
      </c>
      <c r="T414" t="s">
        <v>219</v>
      </c>
      <c r="U414">
        <v>1</v>
      </c>
      <c r="V414">
        <v>109.06</v>
      </c>
      <c r="W414">
        <v>128.69</v>
      </c>
      <c r="X414">
        <v>0</v>
      </c>
      <c r="Y414">
        <v>109.06</v>
      </c>
      <c r="Z414">
        <v>18</v>
      </c>
      <c r="AA414">
        <v>19.63</v>
      </c>
      <c r="AB414">
        <v>128.69</v>
      </c>
      <c r="AC414">
        <v>1</v>
      </c>
      <c r="AE414" t="s">
        <v>239</v>
      </c>
      <c r="AF414" t="s">
        <v>29</v>
      </c>
      <c r="AG414">
        <v>2</v>
      </c>
      <c r="AH414" t="s">
        <v>25</v>
      </c>
      <c r="AI414">
        <v>1106</v>
      </c>
      <c r="AJ414" t="s">
        <v>246</v>
      </c>
      <c r="AK414" t="s">
        <v>1346</v>
      </c>
      <c r="AQ414" t="s">
        <v>1103</v>
      </c>
      <c r="AS414" t="str">
        <f t="shared" si="7"/>
        <v>FB011199</v>
      </c>
    </row>
    <row r="415" spans="1:45" ht="15" customHeight="1">
      <c r="A415" t="s">
        <v>221</v>
      </c>
      <c r="B415">
        <v>1198</v>
      </c>
      <c r="C415" t="s">
        <v>27</v>
      </c>
      <c r="D415" s="8">
        <v>45663</v>
      </c>
      <c r="E415" s="22">
        <v>45946</v>
      </c>
      <c r="F415" t="s">
        <v>1103</v>
      </c>
      <c r="H415">
        <v>6</v>
      </c>
      <c r="I415">
        <v>10082794838</v>
      </c>
      <c r="J415" t="s">
        <v>1792</v>
      </c>
      <c r="K415" s="8">
        <v>45663</v>
      </c>
      <c r="Q415">
        <v>1</v>
      </c>
      <c r="R415" s="21" t="s">
        <v>1226</v>
      </c>
      <c r="S415" t="s">
        <v>182</v>
      </c>
      <c r="T415" t="s">
        <v>163</v>
      </c>
      <c r="U415">
        <v>1</v>
      </c>
      <c r="V415">
        <v>182.75</v>
      </c>
      <c r="W415">
        <v>215.64</v>
      </c>
      <c r="X415">
        <v>0</v>
      </c>
      <c r="Y415">
        <v>182.75</v>
      </c>
      <c r="Z415">
        <v>18</v>
      </c>
      <c r="AA415">
        <v>32.89</v>
      </c>
      <c r="AB415">
        <v>215.64</v>
      </c>
      <c r="AC415">
        <v>1</v>
      </c>
      <c r="AE415" t="s">
        <v>239</v>
      </c>
      <c r="AF415" t="s">
        <v>29</v>
      </c>
      <c r="AG415">
        <v>2</v>
      </c>
      <c r="AH415" t="s">
        <v>25</v>
      </c>
      <c r="AI415">
        <v>1106</v>
      </c>
      <c r="AJ415" t="s">
        <v>246</v>
      </c>
      <c r="AK415" t="s">
        <v>1346</v>
      </c>
      <c r="AQ415" t="s">
        <v>1103</v>
      </c>
      <c r="AS415" t="str">
        <f t="shared" si="7"/>
        <v>FB011198</v>
      </c>
    </row>
    <row r="416" spans="1:45" ht="15" customHeight="1">
      <c r="A416" t="s">
        <v>1349</v>
      </c>
      <c r="B416">
        <v>642</v>
      </c>
      <c r="C416" t="s">
        <v>27</v>
      </c>
      <c r="D416" s="8">
        <v>45663</v>
      </c>
      <c r="E416" s="22">
        <v>45946</v>
      </c>
      <c r="F416" t="s">
        <v>1158</v>
      </c>
      <c r="G416" t="s">
        <v>158</v>
      </c>
      <c r="H416">
        <v>1</v>
      </c>
      <c r="I416">
        <v>44413438</v>
      </c>
      <c r="J416" t="s">
        <v>1793</v>
      </c>
      <c r="K416" s="8">
        <v>45663</v>
      </c>
      <c r="Q416">
        <v>1</v>
      </c>
      <c r="R416" s="21" t="s">
        <v>1226</v>
      </c>
      <c r="S416" t="s">
        <v>182</v>
      </c>
      <c r="T416" t="s">
        <v>163</v>
      </c>
      <c r="U416">
        <v>1</v>
      </c>
      <c r="V416">
        <v>757.54</v>
      </c>
      <c r="W416">
        <v>893.9</v>
      </c>
      <c r="X416">
        <v>0</v>
      </c>
      <c r="Y416">
        <v>757.54</v>
      </c>
      <c r="Z416">
        <v>18</v>
      </c>
      <c r="AA416">
        <v>136.36000000000001</v>
      </c>
      <c r="AB416">
        <v>893.9</v>
      </c>
      <c r="AC416">
        <v>1</v>
      </c>
      <c r="AE416" t="s">
        <v>239</v>
      </c>
      <c r="AF416" t="s">
        <v>29</v>
      </c>
      <c r="AG416">
        <v>2</v>
      </c>
      <c r="AH416" t="s">
        <v>25</v>
      </c>
      <c r="AI416">
        <v>1106</v>
      </c>
      <c r="AJ416" t="s">
        <v>246</v>
      </c>
      <c r="AK416" t="s">
        <v>1346</v>
      </c>
      <c r="AQ416" t="s">
        <v>1158</v>
      </c>
      <c r="AS416" t="str">
        <f t="shared" si="7"/>
        <v>BB01642</v>
      </c>
    </row>
    <row r="417" spans="1:45" ht="15" customHeight="1">
      <c r="A417" t="s">
        <v>1349</v>
      </c>
      <c r="B417">
        <v>641</v>
      </c>
      <c r="C417" t="s">
        <v>27</v>
      </c>
      <c r="D417" s="8">
        <v>45663</v>
      </c>
      <c r="E417" s="22">
        <v>45946</v>
      </c>
      <c r="F417" t="s">
        <v>1158</v>
      </c>
      <c r="G417" t="s">
        <v>158</v>
      </c>
      <c r="H417">
        <v>1</v>
      </c>
      <c r="I417">
        <v>44413438</v>
      </c>
      <c r="J417" t="s">
        <v>1794</v>
      </c>
      <c r="K417" s="8">
        <v>45663</v>
      </c>
      <c r="Q417">
        <v>1</v>
      </c>
      <c r="R417">
        <v>878</v>
      </c>
      <c r="S417" t="s">
        <v>1498</v>
      </c>
      <c r="T417" t="s">
        <v>219</v>
      </c>
      <c r="U417">
        <v>1</v>
      </c>
      <c r="V417">
        <v>460.17</v>
      </c>
      <c r="W417">
        <v>543</v>
      </c>
      <c r="X417">
        <v>0</v>
      </c>
      <c r="Y417">
        <v>460.17</v>
      </c>
      <c r="Z417">
        <v>18</v>
      </c>
      <c r="AA417">
        <v>82.83</v>
      </c>
      <c r="AB417">
        <v>543</v>
      </c>
      <c r="AC417">
        <v>1</v>
      </c>
      <c r="AE417" t="s">
        <v>239</v>
      </c>
      <c r="AF417" t="s">
        <v>29</v>
      </c>
      <c r="AG417">
        <v>2</v>
      </c>
      <c r="AH417" t="s">
        <v>25</v>
      </c>
      <c r="AI417">
        <v>1106</v>
      </c>
      <c r="AJ417" t="s">
        <v>246</v>
      </c>
      <c r="AK417" t="s">
        <v>1346</v>
      </c>
      <c r="AQ417" t="s">
        <v>1158</v>
      </c>
      <c r="AS417" t="str">
        <f t="shared" si="7"/>
        <v>BB01641</v>
      </c>
    </row>
    <row r="418" spans="1:45" ht="15" customHeight="1">
      <c r="A418" t="s">
        <v>221</v>
      </c>
      <c r="B418">
        <v>1197</v>
      </c>
      <c r="C418" t="s">
        <v>27</v>
      </c>
      <c r="D418" s="8">
        <v>45663</v>
      </c>
      <c r="E418" s="22">
        <v>45946</v>
      </c>
      <c r="F418" t="s">
        <v>431</v>
      </c>
      <c r="G418" t="s">
        <v>158</v>
      </c>
      <c r="H418">
        <v>6</v>
      </c>
      <c r="I418">
        <v>20296011356</v>
      </c>
      <c r="J418" t="s">
        <v>1795</v>
      </c>
      <c r="K418" s="8">
        <v>45663</v>
      </c>
      <c r="Q418">
        <v>1</v>
      </c>
      <c r="R418">
        <v>874</v>
      </c>
      <c r="S418" t="s">
        <v>1390</v>
      </c>
      <c r="T418" t="s">
        <v>219</v>
      </c>
      <c r="U418">
        <v>1</v>
      </c>
      <c r="V418">
        <v>8.5</v>
      </c>
      <c r="W418">
        <v>10.029999999999999</v>
      </c>
      <c r="X418">
        <v>0</v>
      </c>
      <c r="Y418">
        <v>8.5</v>
      </c>
      <c r="Z418">
        <v>18</v>
      </c>
      <c r="AA418">
        <v>1.53</v>
      </c>
      <c r="AB418">
        <v>10.029999999999999</v>
      </c>
      <c r="AC418">
        <v>1</v>
      </c>
      <c r="AE418" t="s">
        <v>239</v>
      </c>
      <c r="AF418" t="s">
        <v>29</v>
      </c>
      <c r="AG418">
        <v>2</v>
      </c>
      <c r="AH418" t="s">
        <v>25</v>
      </c>
      <c r="AI418">
        <v>1106</v>
      </c>
      <c r="AJ418" t="s">
        <v>246</v>
      </c>
      <c r="AK418" t="s">
        <v>1346</v>
      </c>
      <c r="AQ418" t="s">
        <v>431</v>
      </c>
      <c r="AS418" t="str">
        <f t="shared" si="7"/>
        <v>FB011197</v>
      </c>
    </row>
    <row r="419" spans="1:45" ht="15" customHeight="1">
      <c r="A419" t="s">
        <v>221</v>
      </c>
      <c r="B419">
        <v>1196</v>
      </c>
      <c r="C419" t="s">
        <v>27</v>
      </c>
      <c r="D419" s="8">
        <v>45663</v>
      </c>
      <c r="E419" s="22">
        <v>45946</v>
      </c>
      <c r="F419" t="s">
        <v>431</v>
      </c>
      <c r="G419" t="s">
        <v>158</v>
      </c>
      <c r="H419">
        <v>6</v>
      </c>
      <c r="I419">
        <v>20296011356</v>
      </c>
      <c r="J419" t="s">
        <v>1796</v>
      </c>
      <c r="K419" s="8">
        <v>45663</v>
      </c>
      <c r="Q419">
        <v>1</v>
      </c>
      <c r="R419">
        <v>883</v>
      </c>
      <c r="S419" t="s">
        <v>1797</v>
      </c>
      <c r="T419" t="s">
        <v>219</v>
      </c>
      <c r="U419">
        <v>1</v>
      </c>
      <c r="V419">
        <v>1000</v>
      </c>
      <c r="W419">
        <v>1180</v>
      </c>
      <c r="X419">
        <v>0</v>
      </c>
      <c r="Y419">
        <v>1000</v>
      </c>
      <c r="Z419">
        <v>18</v>
      </c>
      <c r="AA419">
        <v>180</v>
      </c>
      <c r="AB419">
        <v>1180</v>
      </c>
      <c r="AC419">
        <v>1</v>
      </c>
      <c r="AE419" t="s">
        <v>239</v>
      </c>
      <c r="AF419" t="s">
        <v>29</v>
      </c>
      <c r="AG419">
        <v>2</v>
      </c>
      <c r="AH419" t="s">
        <v>25</v>
      </c>
      <c r="AI419">
        <v>1106</v>
      </c>
      <c r="AJ419" t="s">
        <v>246</v>
      </c>
      <c r="AK419" t="s">
        <v>1798</v>
      </c>
      <c r="AQ419" t="s">
        <v>431</v>
      </c>
      <c r="AS419" t="str">
        <f t="shared" si="7"/>
        <v>FB011196</v>
      </c>
    </row>
    <row r="420" spans="1:45" ht="15" customHeight="1">
      <c r="A420" t="s">
        <v>221</v>
      </c>
      <c r="B420">
        <v>1195</v>
      </c>
      <c r="C420" t="s">
        <v>27</v>
      </c>
      <c r="D420" s="8">
        <v>45663</v>
      </c>
      <c r="E420" s="22">
        <v>45946</v>
      </c>
      <c r="F420" t="s">
        <v>431</v>
      </c>
      <c r="G420" t="s">
        <v>158</v>
      </c>
      <c r="H420">
        <v>6</v>
      </c>
      <c r="I420">
        <v>20296011356</v>
      </c>
      <c r="J420" t="s">
        <v>1542</v>
      </c>
      <c r="K420" s="8">
        <v>45663</v>
      </c>
      <c r="Q420">
        <v>1</v>
      </c>
      <c r="R420">
        <v>882</v>
      </c>
      <c r="S420" t="s">
        <v>1543</v>
      </c>
      <c r="T420" t="s">
        <v>219</v>
      </c>
      <c r="U420">
        <v>1</v>
      </c>
      <c r="V420">
        <v>750</v>
      </c>
      <c r="W420">
        <v>885</v>
      </c>
      <c r="X420">
        <v>0</v>
      </c>
      <c r="Y420">
        <v>750</v>
      </c>
      <c r="Z420">
        <v>18</v>
      </c>
      <c r="AA420">
        <v>135</v>
      </c>
      <c r="AB420">
        <v>885</v>
      </c>
      <c r="AC420">
        <v>1</v>
      </c>
      <c r="AE420" t="s">
        <v>239</v>
      </c>
      <c r="AF420" t="s">
        <v>29</v>
      </c>
      <c r="AG420">
        <v>2</v>
      </c>
      <c r="AH420" t="s">
        <v>25</v>
      </c>
      <c r="AI420">
        <v>1106</v>
      </c>
      <c r="AJ420" t="s">
        <v>246</v>
      </c>
      <c r="AK420" t="s">
        <v>1408</v>
      </c>
      <c r="AQ420" t="s">
        <v>431</v>
      </c>
      <c r="AS420" t="str">
        <f t="shared" si="7"/>
        <v>FB011195</v>
      </c>
    </row>
    <row r="421" spans="1:45" ht="15" customHeight="1">
      <c r="A421" t="s">
        <v>221</v>
      </c>
      <c r="B421">
        <v>1194</v>
      </c>
      <c r="C421" t="s">
        <v>27</v>
      </c>
      <c r="D421" s="8">
        <v>45663</v>
      </c>
      <c r="E421" s="22">
        <v>45946</v>
      </c>
      <c r="F421" t="s">
        <v>431</v>
      </c>
      <c r="G421" t="s">
        <v>158</v>
      </c>
      <c r="H421">
        <v>6</v>
      </c>
      <c r="I421">
        <v>20296011356</v>
      </c>
      <c r="J421" t="s">
        <v>1799</v>
      </c>
      <c r="K421" s="8">
        <v>45663</v>
      </c>
      <c r="Q421">
        <v>1</v>
      </c>
      <c r="R421">
        <v>881</v>
      </c>
      <c r="S421" s="29" t="s">
        <v>1800</v>
      </c>
      <c r="T421" t="s">
        <v>219</v>
      </c>
      <c r="U421">
        <v>1</v>
      </c>
      <c r="V421">
        <v>1500</v>
      </c>
      <c r="W421">
        <v>1770</v>
      </c>
      <c r="X421">
        <v>0</v>
      </c>
      <c r="Y421">
        <v>1500</v>
      </c>
      <c r="Z421">
        <v>18</v>
      </c>
      <c r="AA421">
        <v>270</v>
      </c>
      <c r="AB421">
        <v>1770</v>
      </c>
      <c r="AC421">
        <v>1</v>
      </c>
      <c r="AE421" t="s">
        <v>239</v>
      </c>
      <c r="AF421" t="s">
        <v>29</v>
      </c>
      <c r="AG421">
        <v>2</v>
      </c>
      <c r="AH421" t="s">
        <v>25</v>
      </c>
      <c r="AI421">
        <v>1106</v>
      </c>
      <c r="AJ421" t="s">
        <v>246</v>
      </c>
      <c r="AK421" t="s">
        <v>1342</v>
      </c>
      <c r="AQ421" t="s">
        <v>431</v>
      </c>
      <c r="AS421" t="str">
        <f t="shared" si="7"/>
        <v>FB011194</v>
      </c>
    </row>
    <row r="422" spans="1:45" ht="15" customHeight="1">
      <c r="A422" t="s">
        <v>221</v>
      </c>
      <c r="B422">
        <v>1193</v>
      </c>
      <c r="C422" t="s">
        <v>27</v>
      </c>
      <c r="D422" s="8">
        <v>45663</v>
      </c>
      <c r="E422" s="22">
        <v>45946</v>
      </c>
      <c r="F422" t="s">
        <v>431</v>
      </c>
      <c r="G422" t="s">
        <v>158</v>
      </c>
      <c r="H422">
        <v>6</v>
      </c>
      <c r="I422">
        <v>20296011356</v>
      </c>
      <c r="J422" t="s">
        <v>1801</v>
      </c>
      <c r="K422" s="8">
        <v>45663</v>
      </c>
      <c r="Q422">
        <v>1</v>
      </c>
      <c r="R422">
        <v>877</v>
      </c>
      <c r="S422" t="s">
        <v>197</v>
      </c>
      <c r="T422" t="s">
        <v>219</v>
      </c>
      <c r="U422">
        <v>1</v>
      </c>
      <c r="V422">
        <v>2915</v>
      </c>
      <c r="W422">
        <v>3439.7</v>
      </c>
      <c r="X422">
        <v>0</v>
      </c>
      <c r="Y422">
        <v>2915</v>
      </c>
      <c r="Z422">
        <v>18</v>
      </c>
      <c r="AA422">
        <v>524.70000000000005</v>
      </c>
      <c r="AB422">
        <v>3439.7</v>
      </c>
      <c r="AC422">
        <v>1</v>
      </c>
      <c r="AE422" t="s">
        <v>239</v>
      </c>
      <c r="AF422" t="s">
        <v>29</v>
      </c>
      <c r="AG422">
        <v>2</v>
      </c>
      <c r="AH422" t="s">
        <v>25</v>
      </c>
      <c r="AI422">
        <v>1106</v>
      </c>
      <c r="AJ422" t="s">
        <v>246</v>
      </c>
      <c r="AK422" t="s">
        <v>1346</v>
      </c>
      <c r="AQ422" t="s">
        <v>431</v>
      </c>
      <c r="AS422" t="str">
        <f t="shared" si="7"/>
        <v>FB011193</v>
      </c>
    </row>
    <row r="423" spans="1:45" ht="15" customHeight="1">
      <c r="A423" t="s">
        <v>221</v>
      </c>
      <c r="B423">
        <v>1192</v>
      </c>
      <c r="C423" t="s">
        <v>27</v>
      </c>
      <c r="D423" s="8">
        <v>45663</v>
      </c>
      <c r="E423" s="22">
        <v>45946</v>
      </c>
      <c r="F423" t="s">
        <v>431</v>
      </c>
      <c r="G423" t="s">
        <v>158</v>
      </c>
      <c r="H423">
        <v>6</v>
      </c>
      <c r="I423">
        <v>20296011356</v>
      </c>
      <c r="J423" t="s">
        <v>1802</v>
      </c>
      <c r="K423" s="8">
        <v>45663</v>
      </c>
      <c r="Q423">
        <v>1</v>
      </c>
      <c r="R423">
        <v>870</v>
      </c>
      <c r="S423" t="s">
        <v>1227</v>
      </c>
      <c r="T423" t="s">
        <v>219</v>
      </c>
      <c r="U423">
        <v>1</v>
      </c>
      <c r="V423">
        <v>1759.92</v>
      </c>
      <c r="W423">
        <v>2076.6999999999998</v>
      </c>
      <c r="X423">
        <v>0</v>
      </c>
      <c r="Y423">
        <v>1759.92</v>
      </c>
      <c r="Z423">
        <v>18</v>
      </c>
      <c r="AA423">
        <v>316.77999999999997</v>
      </c>
      <c r="AB423">
        <v>2076.6999999999998</v>
      </c>
      <c r="AC423">
        <v>1</v>
      </c>
      <c r="AE423" t="s">
        <v>239</v>
      </c>
      <c r="AF423" t="s">
        <v>29</v>
      </c>
      <c r="AG423">
        <v>2</v>
      </c>
      <c r="AH423" t="s">
        <v>25</v>
      </c>
      <c r="AI423">
        <v>1106</v>
      </c>
      <c r="AJ423" t="s">
        <v>246</v>
      </c>
      <c r="AK423" t="s">
        <v>1346</v>
      </c>
      <c r="AQ423" t="s">
        <v>431</v>
      </c>
      <c r="AS423" t="str">
        <f t="shared" si="7"/>
        <v>FB011192</v>
      </c>
    </row>
    <row r="424" spans="1:45" ht="15" customHeight="1">
      <c r="A424" t="s">
        <v>221</v>
      </c>
      <c r="B424">
        <v>1191</v>
      </c>
      <c r="C424" t="s">
        <v>27</v>
      </c>
      <c r="D424" s="8">
        <v>45663</v>
      </c>
      <c r="E424" s="22">
        <v>45946</v>
      </c>
      <c r="F424" t="s">
        <v>459</v>
      </c>
      <c r="H424">
        <v>6</v>
      </c>
      <c r="I424">
        <v>20516587874</v>
      </c>
      <c r="J424" t="s">
        <v>1803</v>
      </c>
      <c r="K424" s="8">
        <v>45663</v>
      </c>
      <c r="Q424">
        <v>1</v>
      </c>
      <c r="R424">
        <v>877</v>
      </c>
      <c r="S424" t="s">
        <v>197</v>
      </c>
      <c r="T424" t="s">
        <v>219</v>
      </c>
      <c r="U424">
        <v>1</v>
      </c>
      <c r="V424">
        <v>170.76</v>
      </c>
      <c r="W424">
        <v>201.5</v>
      </c>
      <c r="X424">
        <v>0</v>
      </c>
      <c r="Y424">
        <v>170.76</v>
      </c>
      <c r="Z424">
        <v>18</v>
      </c>
      <c r="AA424">
        <v>30.74</v>
      </c>
      <c r="AB424">
        <v>201.5</v>
      </c>
      <c r="AC424">
        <v>1</v>
      </c>
      <c r="AE424" t="s">
        <v>239</v>
      </c>
      <c r="AF424" t="s">
        <v>29</v>
      </c>
      <c r="AG424">
        <v>2</v>
      </c>
      <c r="AH424" t="s">
        <v>25</v>
      </c>
      <c r="AI424">
        <v>1106</v>
      </c>
      <c r="AJ424" t="s">
        <v>246</v>
      </c>
      <c r="AK424" t="s">
        <v>1346</v>
      </c>
      <c r="AQ424" t="s">
        <v>459</v>
      </c>
      <c r="AS424" t="str">
        <f t="shared" si="7"/>
        <v>FB011191</v>
      </c>
    </row>
    <row r="425" spans="1:45" ht="15" customHeight="1">
      <c r="A425" t="s">
        <v>221</v>
      </c>
      <c r="B425">
        <v>1190</v>
      </c>
      <c r="C425" t="s">
        <v>27</v>
      </c>
      <c r="D425" s="8">
        <v>45663</v>
      </c>
      <c r="E425" s="22">
        <v>45946</v>
      </c>
      <c r="F425" t="s">
        <v>459</v>
      </c>
      <c r="H425">
        <v>6</v>
      </c>
      <c r="I425">
        <v>20516587874</v>
      </c>
      <c r="J425" t="s">
        <v>1804</v>
      </c>
      <c r="K425" s="8">
        <v>45663</v>
      </c>
      <c r="Q425">
        <v>1</v>
      </c>
      <c r="R425">
        <v>870</v>
      </c>
      <c r="S425" t="s">
        <v>1227</v>
      </c>
      <c r="T425" t="s">
        <v>219</v>
      </c>
      <c r="U425">
        <v>1</v>
      </c>
      <c r="V425">
        <v>102.29</v>
      </c>
      <c r="W425">
        <v>120.7</v>
      </c>
      <c r="X425">
        <v>0</v>
      </c>
      <c r="Y425">
        <v>102.29</v>
      </c>
      <c r="Z425">
        <v>18</v>
      </c>
      <c r="AA425">
        <v>18.41</v>
      </c>
      <c r="AB425">
        <v>120.7</v>
      </c>
      <c r="AC425">
        <v>1</v>
      </c>
      <c r="AE425" t="s">
        <v>239</v>
      </c>
      <c r="AF425" t="s">
        <v>29</v>
      </c>
      <c r="AG425">
        <v>2</v>
      </c>
      <c r="AH425" t="s">
        <v>25</v>
      </c>
      <c r="AI425">
        <v>1106</v>
      </c>
      <c r="AJ425" t="s">
        <v>246</v>
      </c>
      <c r="AK425" t="s">
        <v>1346</v>
      </c>
      <c r="AQ425" t="s">
        <v>459</v>
      </c>
      <c r="AS425" t="str">
        <f t="shared" si="7"/>
        <v>FB011190</v>
      </c>
    </row>
    <row r="426" spans="1:45" ht="15" customHeight="1">
      <c r="A426" t="s">
        <v>221</v>
      </c>
      <c r="B426">
        <v>1189</v>
      </c>
      <c r="C426" t="s">
        <v>27</v>
      </c>
      <c r="D426" s="8">
        <v>45663</v>
      </c>
      <c r="E426" s="22">
        <v>45946</v>
      </c>
      <c r="F426" t="s">
        <v>1124</v>
      </c>
      <c r="H426">
        <v>6</v>
      </c>
      <c r="I426">
        <v>20555933020</v>
      </c>
      <c r="J426" t="s">
        <v>1805</v>
      </c>
      <c r="K426" s="8">
        <v>45663</v>
      </c>
      <c r="Q426">
        <v>1</v>
      </c>
      <c r="R426">
        <v>877</v>
      </c>
      <c r="S426" t="s">
        <v>197</v>
      </c>
      <c r="T426" t="s">
        <v>219</v>
      </c>
      <c r="U426">
        <v>1</v>
      </c>
      <c r="V426">
        <v>75.680000000000007</v>
      </c>
      <c r="W426">
        <v>89.3</v>
      </c>
      <c r="X426">
        <v>0</v>
      </c>
      <c r="Y426">
        <v>75.680000000000007</v>
      </c>
      <c r="Z426">
        <v>18</v>
      </c>
      <c r="AA426">
        <v>13.62</v>
      </c>
      <c r="AB426">
        <v>89.3</v>
      </c>
      <c r="AC426">
        <v>1</v>
      </c>
      <c r="AE426" t="s">
        <v>239</v>
      </c>
      <c r="AF426" t="s">
        <v>29</v>
      </c>
      <c r="AG426">
        <v>2</v>
      </c>
      <c r="AH426" t="s">
        <v>25</v>
      </c>
      <c r="AI426">
        <v>1106</v>
      </c>
      <c r="AJ426" t="s">
        <v>246</v>
      </c>
      <c r="AK426" t="s">
        <v>1346</v>
      </c>
      <c r="AQ426" t="s">
        <v>1124</v>
      </c>
      <c r="AS426" t="str">
        <f t="shared" si="7"/>
        <v>FB011189</v>
      </c>
    </row>
    <row r="427" spans="1:45" ht="15" customHeight="1">
      <c r="A427" t="s">
        <v>221</v>
      </c>
      <c r="B427">
        <v>1188</v>
      </c>
      <c r="C427" t="s">
        <v>27</v>
      </c>
      <c r="D427" s="8">
        <v>45663</v>
      </c>
      <c r="E427" s="22">
        <v>45946</v>
      </c>
      <c r="F427" t="s">
        <v>1124</v>
      </c>
      <c r="H427">
        <v>6</v>
      </c>
      <c r="I427">
        <v>20555933020</v>
      </c>
      <c r="J427" t="s">
        <v>1806</v>
      </c>
      <c r="K427" s="8">
        <v>45663</v>
      </c>
      <c r="Q427">
        <v>1</v>
      </c>
      <c r="R427">
        <v>870</v>
      </c>
      <c r="S427" t="s">
        <v>1227</v>
      </c>
      <c r="T427" t="s">
        <v>219</v>
      </c>
      <c r="U427">
        <v>1</v>
      </c>
      <c r="V427">
        <v>43.22</v>
      </c>
      <c r="W427">
        <v>51</v>
      </c>
      <c r="X427">
        <v>0</v>
      </c>
      <c r="Y427">
        <v>43.22</v>
      </c>
      <c r="Z427">
        <v>18</v>
      </c>
      <c r="AA427">
        <v>7.78</v>
      </c>
      <c r="AB427">
        <v>51</v>
      </c>
      <c r="AC427">
        <v>1</v>
      </c>
      <c r="AE427" t="s">
        <v>239</v>
      </c>
      <c r="AF427" t="s">
        <v>29</v>
      </c>
      <c r="AG427">
        <v>2</v>
      </c>
      <c r="AH427" t="s">
        <v>25</v>
      </c>
      <c r="AI427">
        <v>1106</v>
      </c>
      <c r="AJ427" t="s">
        <v>246</v>
      </c>
      <c r="AK427" t="s">
        <v>1346</v>
      </c>
      <c r="AQ427" t="s">
        <v>1124</v>
      </c>
      <c r="AS427" t="str">
        <f t="shared" si="7"/>
        <v>FB011188</v>
      </c>
    </row>
    <row r="428" spans="1:45" ht="15" customHeight="1">
      <c r="A428" t="s">
        <v>1349</v>
      </c>
      <c r="B428">
        <v>640</v>
      </c>
      <c r="C428" t="s">
        <v>27</v>
      </c>
      <c r="D428" s="8">
        <v>45663</v>
      </c>
      <c r="E428" s="22">
        <v>45946</v>
      </c>
      <c r="F428" t="s">
        <v>608</v>
      </c>
      <c r="G428" t="s">
        <v>158</v>
      </c>
      <c r="H428">
        <v>1</v>
      </c>
      <c r="I428">
        <v>47633477</v>
      </c>
      <c r="J428" t="s">
        <v>1807</v>
      </c>
      <c r="K428" s="8">
        <v>45663</v>
      </c>
      <c r="Q428">
        <v>1</v>
      </c>
      <c r="R428">
        <v>877</v>
      </c>
      <c r="S428" t="s">
        <v>197</v>
      </c>
      <c r="T428" t="s">
        <v>219</v>
      </c>
      <c r="U428">
        <v>1</v>
      </c>
      <c r="V428">
        <v>889.65</v>
      </c>
      <c r="W428">
        <v>1049.79</v>
      </c>
      <c r="X428">
        <v>0</v>
      </c>
      <c r="Y428">
        <v>889.65</v>
      </c>
      <c r="Z428">
        <v>18</v>
      </c>
      <c r="AA428">
        <v>160.13999999999999</v>
      </c>
      <c r="AB428">
        <v>1049.79</v>
      </c>
      <c r="AC428">
        <v>1</v>
      </c>
      <c r="AE428" t="s">
        <v>239</v>
      </c>
      <c r="AF428" t="s">
        <v>29</v>
      </c>
      <c r="AG428">
        <v>2</v>
      </c>
      <c r="AH428" t="s">
        <v>25</v>
      </c>
      <c r="AI428">
        <v>1106</v>
      </c>
      <c r="AJ428" t="s">
        <v>246</v>
      </c>
      <c r="AK428" t="s">
        <v>1346</v>
      </c>
      <c r="AQ428" t="s">
        <v>608</v>
      </c>
      <c r="AS428" t="str">
        <f t="shared" si="7"/>
        <v>BB01640</v>
      </c>
    </row>
    <row r="429" spans="1:45" ht="15" customHeight="1">
      <c r="A429" t="s">
        <v>1349</v>
      </c>
      <c r="B429">
        <v>639</v>
      </c>
      <c r="C429" t="s">
        <v>27</v>
      </c>
      <c r="D429" s="8">
        <v>45663</v>
      </c>
      <c r="E429" s="22">
        <v>45946</v>
      </c>
      <c r="F429" t="s">
        <v>608</v>
      </c>
      <c r="G429" t="s">
        <v>158</v>
      </c>
      <c r="H429">
        <v>1</v>
      </c>
      <c r="I429">
        <v>47633477</v>
      </c>
      <c r="J429" t="s">
        <v>1808</v>
      </c>
      <c r="K429" s="8">
        <v>45663</v>
      </c>
      <c r="Q429">
        <v>1</v>
      </c>
      <c r="R429">
        <v>870</v>
      </c>
      <c r="S429" t="s">
        <v>1227</v>
      </c>
      <c r="T429" t="s">
        <v>219</v>
      </c>
      <c r="U429">
        <v>1</v>
      </c>
      <c r="V429">
        <v>545.08000000000004</v>
      </c>
      <c r="W429">
        <v>643.20000000000005</v>
      </c>
      <c r="X429">
        <v>0</v>
      </c>
      <c r="Y429">
        <v>545.08000000000004</v>
      </c>
      <c r="Z429">
        <v>18</v>
      </c>
      <c r="AA429">
        <v>98.12</v>
      </c>
      <c r="AB429">
        <v>643.20000000000005</v>
      </c>
      <c r="AC429">
        <v>1</v>
      </c>
      <c r="AE429" t="s">
        <v>239</v>
      </c>
      <c r="AF429" t="s">
        <v>29</v>
      </c>
      <c r="AG429">
        <v>2</v>
      </c>
      <c r="AH429" t="s">
        <v>25</v>
      </c>
      <c r="AI429">
        <v>1106</v>
      </c>
      <c r="AJ429" t="s">
        <v>246</v>
      </c>
      <c r="AK429" t="s">
        <v>1346</v>
      </c>
      <c r="AQ429" t="s">
        <v>608</v>
      </c>
      <c r="AS429" t="str">
        <f t="shared" si="7"/>
        <v>BB01639</v>
      </c>
    </row>
    <row r="430" spans="1:45" ht="15" customHeight="1">
      <c r="A430" t="s">
        <v>1349</v>
      </c>
      <c r="B430">
        <v>638</v>
      </c>
      <c r="C430" t="s">
        <v>27</v>
      </c>
      <c r="D430" s="8">
        <v>45663</v>
      </c>
      <c r="E430" s="22">
        <v>45946</v>
      </c>
      <c r="F430" t="s">
        <v>1167</v>
      </c>
      <c r="H430">
        <v>1</v>
      </c>
      <c r="I430">
        <v>40384386</v>
      </c>
      <c r="J430" t="s">
        <v>1809</v>
      </c>
      <c r="K430" s="8">
        <v>45663</v>
      </c>
      <c r="Q430">
        <v>1</v>
      </c>
      <c r="R430">
        <v>871</v>
      </c>
      <c r="S430" t="s">
        <v>1381</v>
      </c>
      <c r="T430" t="s">
        <v>219</v>
      </c>
      <c r="U430">
        <v>1</v>
      </c>
      <c r="V430">
        <v>39.729999999999997</v>
      </c>
      <c r="W430">
        <v>46.88</v>
      </c>
      <c r="X430">
        <v>0</v>
      </c>
      <c r="Y430">
        <v>39.729999999999997</v>
      </c>
      <c r="Z430">
        <v>18</v>
      </c>
      <c r="AA430">
        <v>7.15</v>
      </c>
      <c r="AB430">
        <v>46.88</v>
      </c>
      <c r="AC430">
        <v>1</v>
      </c>
      <c r="AE430" t="s">
        <v>239</v>
      </c>
      <c r="AF430" t="s">
        <v>29</v>
      </c>
      <c r="AG430">
        <v>2</v>
      </c>
      <c r="AH430" t="s">
        <v>25</v>
      </c>
      <c r="AI430">
        <v>1106</v>
      </c>
      <c r="AJ430" t="s">
        <v>246</v>
      </c>
      <c r="AK430" t="s">
        <v>1346</v>
      </c>
      <c r="AQ430" t="s">
        <v>1167</v>
      </c>
      <c r="AS430" t="str">
        <f t="shared" si="7"/>
        <v>BB01638</v>
      </c>
    </row>
    <row r="431" spans="1:45" ht="15" customHeight="1">
      <c r="A431" t="s">
        <v>1349</v>
      </c>
      <c r="B431">
        <v>637</v>
      </c>
      <c r="C431" t="s">
        <v>27</v>
      </c>
      <c r="D431" s="8">
        <v>45663</v>
      </c>
      <c r="E431" s="22">
        <v>45946</v>
      </c>
      <c r="F431" t="s">
        <v>1167</v>
      </c>
      <c r="H431">
        <v>1</v>
      </c>
      <c r="I431">
        <v>40384386</v>
      </c>
      <c r="J431" t="s">
        <v>1810</v>
      </c>
      <c r="K431" s="8">
        <v>45663</v>
      </c>
      <c r="Q431">
        <v>1</v>
      </c>
      <c r="R431">
        <v>878</v>
      </c>
      <c r="S431" t="s">
        <v>1498</v>
      </c>
      <c r="T431" t="s">
        <v>219</v>
      </c>
      <c r="U431">
        <v>1</v>
      </c>
      <c r="V431">
        <v>24.58</v>
      </c>
      <c r="W431">
        <v>29</v>
      </c>
      <c r="X431">
        <v>0</v>
      </c>
      <c r="Y431">
        <v>24.58</v>
      </c>
      <c r="Z431">
        <v>17.98</v>
      </c>
      <c r="AA431">
        <v>4.42</v>
      </c>
      <c r="AB431">
        <v>29</v>
      </c>
      <c r="AC431">
        <v>1</v>
      </c>
      <c r="AE431" t="s">
        <v>239</v>
      </c>
      <c r="AF431" t="s">
        <v>29</v>
      </c>
      <c r="AG431">
        <v>2</v>
      </c>
      <c r="AH431" t="s">
        <v>25</v>
      </c>
      <c r="AI431">
        <v>1106</v>
      </c>
      <c r="AJ431" t="s">
        <v>246</v>
      </c>
      <c r="AK431" t="s">
        <v>1346</v>
      </c>
      <c r="AQ431" t="s">
        <v>1167</v>
      </c>
      <c r="AS431" t="str">
        <f t="shared" si="7"/>
        <v>BB01637</v>
      </c>
    </row>
    <row r="432" spans="1:45" ht="15" customHeight="1">
      <c r="A432" t="s">
        <v>221</v>
      </c>
      <c r="B432">
        <v>1187</v>
      </c>
      <c r="C432" t="s">
        <v>27</v>
      </c>
      <c r="D432" s="8">
        <v>45663</v>
      </c>
      <c r="E432" s="22">
        <v>45946</v>
      </c>
      <c r="F432" t="s">
        <v>497</v>
      </c>
      <c r="H432">
        <v>6</v>
      </c>
      <c r="I432">
        <v>20611587741</v>
      </c>
      <c r="J432" t="s">
        <v>1811</v>
      </c>
      <c r="K432" s="8">
        <v>45663</v>
      </c>
      <c r="Q432">
        <v>1</v>
      </c>
      <c r="R432">
        <v>870</v>
      </c>
      <c r="S432" t="s">
        <v>1227</v>
      </c>
      <c r="T432" t="s">
        <v>219</v>
      </c>
      <c r="U432">
        <v>1</v>
      </c>
      <c r="V432">
        <v>58.39</v>
      </c>
      <c r="W432">
        <v>68.900000000000006</v>
      </c>
      <c r="X432">
        <v>0</v>
      </c>
      <c r="Y432">
        <v>58.39</v>
      </c>
      <c r="Z432">
        <v>18</v>
      </c>
      <c r="AA432">
        <v>10.51</v>
      </c>
      <c r="AB432">
        <v>68.900000000000006</v>
      </c>
      <c r="AC432">
        <v>1</v>
      </c>
      <c r="AE432" t="s">
        <v>239</v>
      </c>
      <c r="AF432" t="s">
        <v>29</v>
      </c>
      <c r="AG432">
        <v>2</v>
      </c>
      <c r="AH432" t="s">
        <v>25</v>
      </c>
      <c r="AI432">
        <v>1106</v>
      </c>
      <c r="AJ432" t="s">
        <v>246</v>
      </c>
      <c r="AK432" t="s">
        <v>1346</v>
      </c>
      <c r="AQ432" t="s">
        <v>497</v>
      </c>
      <c r="AS432" t="str">
        <f t="shared" si="7"/>
        <v>FB011187</v>
      </c>
    </row>
    <row r="433" spans="1:45" ht="15" customHeight="1">
      <c r="A433" t="s">
        <v>221</v>
      </c>
      <c r="B433">
        <v>1186</v>
      </c>
      <c r="C433" t="s">
        <v>27</v>
      </c>
      <c r="D433" s="8">
        <v>45663</v>
      </c>
      <c r="E433" s="22">
        <v>45946</v>
      </c>
      <c r="F433" t="s">
        <v>497</v>
      </c>
      <c r="H433">
        <v>6</v>
      </c>
      <c r="I433">
        <v>20611587741</v>
      </c>
      <c r="J433" t="s">
        <v>1812</v>
      </c>
      <c r="K433" s="8">
        <v>45663</v>
      </c>
      <c r="Q433">
        <v>1</v>
      </c>
      <c r="R433">
        <v>870</v>
      </c>
      <c r="S433" t="s">
        <v>1227</v>
      </c>
      <c r="T433" t="s">
        <v>219</v>
      </c>
      <c r="U433">
        <v>1</v>
      </c>
      <c r="V433">
        <v>38.81</v>
      </c>
      <c r="W433">
        <v>45.8</v>
      </c>
      <c r="X433">
        <v>0</v>
      </c>
      <c r="Y433">
        <v>38.81</v>
      </c>
      <c r="Z433">
        <v>18.010000000000002</v>
      </c>
      <c r="AA433">
        <v>6.99</v>
      </c>
      <c r="AB433">
        <v>45.8</v>
      </c>
      <c r="AC433">
        <v>1</v>
      </c>
      <c r="AE433" t="s">
        <v>239</v>
      </c>
      <c r="AF433" t="s">
        <v>29</v>
      </c>
      <c r="AG433">
        <v>2</v>
      </c>
      <c r="AH433" t="s">
        <v>25</v>
      </c>
      <c r="AI433">
        <v>1106</v>
      </c>
      <c r="AJ433" t="s">
        <v>246</v>
      </c>
      <c r="AK433" t="s">
        <v>1346</v>
      </c>
      <c r="AQ433" t="s">
        <v>497</v>
      </c>
      <c r="AS433" t="str">
        <f t="shared" si="7"/>
        <v>FB011186</v>
      </c>
    </row>
    <row r="434" spans="1:45" ht="15" customHeight="1">
      <c r="A434" t="s">
        <v>221</v>
      </c>
      <c r="B434">
        <v>1185</v>
      </c>
      <c r="C434" t="s">
        <v>27</v>
      </c>
      <c r="D434" s="8">
        <v>45663</v>
      </c>
      <c r="E434" s="22">
        <v>45946</v>
      </c>
      <c r="F434" t="s">
        <v>1133</v>
      </c>
      <c r="H434">
        <v>6</v>
      </c>
      <c r="I434">
        <v>20611183110</v>
      </c>
      <c r="J434" t="s">
        <v>1813</v>
      </c>
      <c r="K434" s="8">
        <v>45663</v>
      </c>
      <c r="Q434">
        <v>1</v>
      </c>
      <c r="R434">
        <v>871</v>
      </c>
      <c r="S434" t="s">
        <v>1381</v>
      </c>
      <c r="T434" t="s">
        <v>219</v>
      </c>
      <c r="U434">
        <v>1</v>
      </c>
      <c r="V434">
        <v>11.53</v>
      </c>
      <c r="W434">
        <v>13.6</v>
      </c>
      <c r="X434">
        <v>0</v>
      </c>
      <c r="Y434">
        <v>11.53</v>
      </c>
      <c r="Z434">
        <v>17.95</v>
      </c>
      <c r="AA434">
        <v>2.0699999999999998</v>
      </c>
      <c r="AB434">
        <v>13.6</v>
      </c>
      <c r="AC434">
        <v>1</v>
      </c>
      <c r="AE434" t="s">
        <v>239</v>
      </c>
      <c r="AF434" t="s">
        <v>29</v>
      </c>
      <c r="AG434">
        <v>2</v>
      </c>
      <c r="AH434" t="s">
        <v>25</v>
      </c>
      <c r="AI434">
        <v>1106</v>
      </c>
      <c r="AJ434" t="s">
        <v>246</v>
      </c>
      <c r="AK434" t="s">
        <v>1346</v>
      </c>
      <c r="AQ434" t="s">
        <v>1133</v>
      </c>
      <c r="AS434" t="str">
        <f t="shared" si="7"/>
        <v>FB011185</v>
      </c>
    </row>
    <row r="435" spans="1:45" ht="15" customHeight="1">
      <c r="A435" t="s">
        <v>221</v>
      </c>
      <c r="B435">
        <v>1184</v>
      </c>
      <c r="C435" t="s">
        <v>27</v>
      </c>
      <c r="D435" s="8">
        <v>45663</v>
      </c>
      <c r="E435" s="22">
        <v>45946</v>
      </c>
      <c r="F435" t="s">
        <v>1133</v>
      </c>
      <c r="H435">
        <v>6</v>
      </c>
      <c r="I435">
        <v>20611183110</v>
      </c>
      <c r="J435" t="s">
        <v>1814</v>
      </c>
      <c r="K435" s="8">
        <v>45663</v>
      </c>
      <c r="Q435">
        <v>1</v>
      </c>
      <c r="R435">
        <v>878</v>
      </c>
      <c r="S435" t="s">
        <v>1498</v>
      </c>
      <c r="T435" t="s">
        <v>219</v>
      </c>
      <c r="U435">
        <v>1</v>
      </c>
      <c r="V435">
        <v>8.14</v>
      </c>
      <c r="W435">
        <v>9.6</v>
      </c>
      <c r="X435">
        <v>0</v>
      </c>
      <c r="Y435">
        <v>8.14</v>
      </c>
      <c r="Z435">
        <v>17.940000000000001</v>
      </c>
      <c r="AA435">
        <v>1.46</v>
      </c>
      <c r="AB435">
        <v>9.6</v>
      </c>
      <c r="AC435">
        <v>1</v>
      </c>
      <c r="AE435" t="s">
        <v>239</v>
      </c>
      <c r="AF435" t="s">
        <v>29</v>
      </c>
      <c r="AG435">
        <v>2</v>
      </c>
      <c r="AH435" t="s">
        <v>25</v>
      </c>
      <c r="AI435">
        <v>1106</v>
      </c>
      <c r="AJ435" t="s">
        <v>246</v>
      </c>
      <c r="AK435" t="s">
        <v>1346</v>
      </c>
      <c r="AQ435" t="s">
        <v>1133</v>
      </c>
      <c r="AS435" t="str">
        <f t="shared" si="7"/>
        <v>FB011184</v>
      </c>
    </row>
    <row r="436" spans="1:45" ht="15" customHeight="1">
      <c r="A436" t="s">
        <v>1349</v>
      </c>
      <c r="B436">
        <v>636</v>
      </c>
      <c r="C436" t="s">
        <v>27</v>
      </c>
      <c r="D436" s="8">
        <v>45660</v>
      </c>
      <c r="E436" s="22">
        <v>45946</v>
      </c>
      <c r="F436" t="s">
        <v>1198</v>
      </c>
      <c r="G436" t="s">
        <v>158</v>
      </c>
      <c r="H436">
        <v>1</v>
      </c>
      <c r="I436">
        <v>43852005</v>
      </c>
      <c r="J436" t="s">
        <v>1815</v>
      </c>
      <c r="K436" s="8">
        <v>45660</v>
      </c>
      <c r="Q436">
        <v>1</v>
      </c>
      <c r="R436">
        <v>874</v>
      </c>
      <c r="S436" t="s">
        <v>1390</v>
      </c>
      <c r="T436" t="s">
        <v>219</v>
      </c>
      <c r="U436">
        <v>1</v>
      </c>
      <c r="V436">
        <v>10</v>
      </c>
      <c r="W436">
        <v>11.8</v>
      </c>
      <c r="X436">
        <v>0</v>
      </c>
      <c r="Y436">
        <v>10</v>
      </c>
      <c r="Z436">
        <v>18</v>
      </c>
      <c r="AA436">
        <v>1.8</v>
      </c>
      <c r="AB436">
        <v>11.8</v>
      </c>
      <c r="AC436">
        <v>1</v>
      </c>
      <c r="AE436" t="s">
        <v>239</v>
      </c>
      <c r="AF436" t="s">
        <v>29</v>
      </c>
      <c r="AG436">
        <v>2</v>
      </c>
      <c r="AH436" t="s">
        <v>25</v>
      </c>
      <c r="AI436">
        <v>1106</v>
      </c>
      <c r="AJ436" t="s">
        <v>246</v>
      </c>
      <c r="AK436" t="s">
        <v>1346</v>
      </c>
      <c r="AQ436" t="s">
        <v>1198</v>
      </c>
      <c r="AS436" t="str">
        <f t="shared" si="7"/>
        <v>BB01636</v>
      </c>
    </row>
    <row r="437" spans="1:45" ht="15" customHeight="1">
      <c r="A437" t="s">
        <v>1349</v>
      </c>
      <c r="B437">
        <v>635</v>
      </c>
      <c r="C437" t="s">
        <v>27</v>
      </c>
      <c r="D437" s="8">
        <v>45660</v>
      </c>
      <c r="E437" s="22">
        <v>45946</v>
      </c>
      <c r="F437" t="s">
        <v>1198</v>
      </c>
      <c r="G437" t="s">
        <v>158</v>
      </c>
      <c r="H437">
        <v>1</v>
      </c>
      <c r="I437">
        <v>43852005</v>
      </c>
      <c r="J437" t="s">
        <v>1816</v>
      </c>
      <c r="K437" s="8">
        <v>45660</v>
      </c>
      <c r="Q437">
        <v>1</v>
      </c>
      <c r="R437">
        <v>877</v>
      </c>
      <c r="S437" t="s">
        <v>197</v>
      </c>
      <c r="T437" t="s">
        <v>219</v>
      </c>
      <c r="U437">
        <v>1</v>
      </c>
      <c r="V437">
        <v>598.73</v>
      </c>
      <c r="W437">
        <v>706.5</v>
      </c>
      <c r="X437">
        <v>0</v>
      </c>
      <c r="Y437">
        <v>598.73</v>
      </c>
      <c r="Z437">
        <v>18</v>
      </c>
      <c r="AA437">
        <v>107.77</v>
      </c>
      <c r="AB437">
        <v>706.5</v>
      </c>
      <c r="AC437">
        <v>1</v>
      </c>
      <c r="AE437" t="s">
        <v>239</v>
      </c>
      <c r="AF437" t="s">
        <v>29</v>
      </c>
      <c r="AG437">
        <v>2</v>
      </c>
      <c r="AH437" t="s">
        <v>25</v>
      </c>
      <c r="AI437">
        <v>1106</v>
      </c>
      <c r="AJ437" t="s">
        <v>246</v>
      </c>
      <c r="AK437" t="s">
        <v>1346</v>
      </c>
      <c r="AQ437" t="s">
        <v>1198</v>
      </c>
      <c r="AS437" t="str">
        <f t="shared" si="7"/>
        <v>BB01635</v>
      </c>
    </row>
    <row r="438" spans="1:45" ht="15" customHeight="1">
      <c r="A438" t="s">
        <v>1349</v>
      </c>
      <c r="B438">
        <v>634</v>
      </c>
      <c r="C438" t="s">
        <v>27</v>
      </c>
      <c r="D438" s="8">
        <v>45660</v>
      </c>
      <c r="E438" s="22">
        <v>45946</v>
      </c>
      <c r="F438" t="s">
        <v>1198</v>
      </c>
      <c r="G438" t="s">
        <v>158</v>
      </c>
      <c r="H438">
        <v>1</v>
      </c>
      <c r="I438">
        <v>43852005</v>
      </c>
      <c r="J438" t="s">
        <v>1817</v>
      </c>
      <c r="K438" s="8">
        <v>45660</v>
      </c>
      <c r="Q438">
        <v>1</v>
      </c>
      <c r="R438">
        <v>878</v>
      </c>
      <c r="S438" t="s">
        <v>1498</v>
      </c>
      <c r="T438" t="s">
        <v>219</v>
      </c>
      <c r="U438">
        <v>1</v>
      </c>
      <c r="V438">
        <v>343.47</v>
      </c>
      <c r="W438">
        <v>405.3</v>
      </c>
      <c r="X438">
        <v>0</v>
      </c>
      <c r="Y438">
        <v>343.47</v>
      </c>
      <c r="Z438">
        <v>18</v>
      </c>
      <c r="AA438">
        <v>61.83</v>
      </c>
      <c r="AB438">
        <v>405.3</v>
      </c>
      <c r="AC438">
        <v>1</v>
      </c>
      <c r="AE438" t="s">
        <v>239</v>
      </c>
      <c r="AF438" t="s">
        <v>29</v>
      </c>
      <c r="AG438">
        <v>2</v>
      </c>
      <c r="AH438" t="s">
        <v>25</v>
      </c>
      <c r="AI438">
        <v>1106</v>
      </c>
      <c r="AJ438" t="s">
        <v>246</v>
      </c>
      <c r="AK438" t="s">
        <v>1346</v>
      </c>
      <c r="AQ438" t="s">
        <v>1198</v>
      </c>
      <c r="AS438" t="str">
        <f t="shared" si="7"/>
        <v>BB01634</v>
      </c>
    </row>
    <row r="439" spans="1:45" ht="15" customHeight="1">
      <c r="A439" t="s">
        <v>1349</v>
      </c>
      <c r="B439">
        <v>633</v>
      </c>
      <c r="C439" t="s">
        <v>27</v>
      </c>
      <c r="D439" s="8">
        <v>45660</v>
      </c>
      <c r="E439" s="22">
        <v>45946</v>
      </c>
      <c r="F439" t="s">
        <v>1205</v>
      </c>
      <c r="H439">
        <v>1</v>
      </c>
      <c r="I439">
        <v>70040189</v>
      </c>
      <c r="J439" t="s">
        <v>1818</v>
      </c>
      <c r="K439" s="8">
        <v>45660</v>
      </c>
      <c r="Q439">
        <v>1</v>
      </c>
      <c r="R439">
        <v>871</v>
      </c>
      <c r="S439" t="s">
        <v>1381</v>
      </c>
      <c r="T439" t="s">
        <v>219</v>
      </c>
      <c r="U439">
        <v>1</v>
      </c>
      <c r="V439">
        <v>323.68</v>
      </c>
      <c r="W439">
        <v>381.94</v>
      </c>
      <c r="X439">
        <v>0</v>
      </c>
      <c r="Y439">
        <v>323.68</v>
      </c>
      <c r="Z439">
        <v>18</v>
      </c>
      <c r="AA439">
        <v>58.26</v>
      </c>
      <c r="AB439">
        <v>381.94</v>
      </c>
      <c r="AC439">
        <v>1</v>
      </c>
      <c r="AE439" t="s">
        <v>239</v>
      </c>
      <c r="AF439" t="s">
        <v>29</v>
      </c>
      <c r="AG439">
        <v>2</v>
      </c>
      <c r="AH439" t="s">
        <v>25</v>
      </c>
      <c r="AI439">
        <v>1106</v>
      </c>
      <c r="AJ439" t="s">
        <v>246</v>
      </c>
      <c r="AK439" t="s">
        <v>1346</v>
      </c>
      <c r="AQ439" t="s">
        <v>1205</v>
      </c>
      <c r="AS439" t="str">
        <f t="shared" si="7"/>
        <v>BB01633</v>
      </c>
    </row>
    <row r="440" spans="1:45" ht="15" customHeight="1">
      <c r="A440" t="s">
        <v>1349</v>
      </c>
      <c r="B440">
        <v>632</v>
      </c>
      <c r="C440" t="s">
        <v>27</v>
      </c>
      <c r="D440" s="8">
        <v>45660</v>
      </c>
      <c r="E440" s="22">
        <v>45946</v>
      </c>
      <c r="F440" t="s">
        <v>1205</v>
      </c>
      <c r="H440">
        <v>1</v>
      </c>
      <c r="I440">
        <v>70040189</v>
      </c>
      <c r="J440" t="s">
        <v>1819</v>
      </c>
      <c r="K440" s="8">
        <v>45660</v>
      </c>
      <c r="Q440">
        <v>1</v>
      </c>
      <c r="R440">
        <v>870</v>
      </c>
      <c r="S440" t="s">
        <v>1227</v>
      </c>
      <c r="T440" t="s">
        <v>219</v>
      </c>
      <c r="U440">
        <v>1</v>
      </c>
      <c r="V440">
        <v>177.59</v>
      </c>
      <c r="W440">
        <v>209.56</v>
      </c>
      <c r="X440">
        <v>0</v>
      </c>
      <c r="Y440">
        <v>177.59</v>
      </c>
      <c r="Z440">
        <v>18</v>
      </c>
      <c r="AA440">
        <v>31.97</v>
      </c>
      <c r="AB440">
        <v>209.56</v>
      </c>
      <c r="AC440">
        <v>1</v>
      </c>
      <c r="AE440" t="s">
        <v>239</v>
      </c>
      <c r="AF440" t="s">
        <v>29</v>
      </c>
      <c r="AG440">
        <v>2</v>
      </c>
      <c r="AH440" t="s">
        <v>25</v>
      </c>
      <c r="AI440">
        <v>1106</v>
      </c>
      <c r="AJ440" t="s">
        <v>246</v>
      </c>
      <c r="AK440" t="s">
        <v>1346</v>
      </c>
      <c r="AQ440" t="s">
        <v>1205</v>
      </c>
      <c r="AS440" t="str">
        <f t="shared" si="7"/>
        <v>BB01632</v>
      </c>
    </row>
    <row r="441" spans="1:45" ht="15" customHeight="1">
      <c r="A441" t="s">
        <v>221</v>
      </c>
      <c r="B441">
        <v>1183</v>
      </c>
      <c r="C441" t="s">
        <v>27</v>
      </c>
      <c r="D441" s="8">
        <v>45660</v>
      </c>
      <c r="E441" s="22">
        <v>45946</v>
      </c>
      <c r="F441" t="s">
        <v>33</v>
      </c>
      <c r="H441">
        <v>6</v>
      </c>
      <c r="I441">
        <v>20609168961</v>
      </c>
      <c r="J441" t="s">
        <v>1820</v>
      </c>
      <c r="K441" s="8">
        <v>45660</v>
      </c>
      <c r="Q441">
        <v>1</v>
      </c>
      <c r="R441">
        <v>874</v>
      </c>
      <c r="S441" t="s">
        <v>1390</v>
      </c>
      <c r="T441" t="s">
        <v>219</v>
      </c>
      <c r="U441">
        <v>1</v>
      </c>
      <c r="V441">
        <v>10</v>
      </c>
      <c r="W441">
        <v>11.8</v>
      </c>
      <c r="X441">
        <v>0</v>
      </c>
      <c r="Y441">
        <v>10</v>
      </c>
      <c r="Z441">
        <v>18</v>
      </c>
      <c r="AA441">
        <v>1.8</v>
      </c>
      <c r="AB441">
        <v>11.8</v>
      </c>
      <c r="AC441">
        <v>1</v>
      </c>
      <c r="AE441" t="s">
        <v>239</v>
      </c>
      <c r="AF441" t="s">
        <v>29</v>
      </c>
      <c r="AG441">
        <v>2</v>
      </c>
      <c r="AH441" t="s">
        <v>25</v>
      </c>
      <c r="AI441">
        <v>1106</v>
      </c>
      <c r="AJ441" t="s">
        <v>246</v>
      </c>
      <c r="AK441" t="s">
        <v>1346</v>
      </c>
      <c r="AQ441" t="s">
        <v>33</v>
      </c>
      <c r="AS441" t="str">
        <f t="shared" si="7"/>
        <v>FB011183</v>
      </c>
    </row>
    <row r="442" spans="1:45" ht="15" customHeight="1">
      <c r="A442" t="s">
        <v>221</v>
      </c>
      <c r="B442">
        <v>1182</v>
      </c>
      <c r="C442" t="s">
        <v>27</v>
      </c>
      <c r="D442" s="8">
        <v>45660</v>
      </c>
      <c r="E442" s="22">
        <v>45946</v>
      </c>
      <c r="F442" t="s">
        <v>33</v>
      </c>
      <c r="H442">
        <v>6</v>
      </c>
      <c r="I442">
        <v>20609168961</v>
      </c>
      <c r="J442" t="s">
        <v>1821</v>
      </c>
      <c r="K442" s="8">
        <v>45660</v>
      </c>
      <c r="Q442">
        <v>1</v>
      </c>
      <c r="R442">
        <v>993</v>
      </c>
      <c r="S442" t="s">
        <v>1454</v>
      </c>
      <c r="T442" t="s">
        <v>219</v>
      </c>
      <c r="U442">
        <v>1</v>
      </c>
      <c r="V442">
        <v>100</v>
      </c>
      <c r="W442">
        <v>118</v>
      </c>
      <c r="X442">
        <v>0</v>
      </c>
      <c r="Y442">
        <v>100</v>
      </c>
      <c r="Z442">
        <v>18</v>
      </c>
      <c r="AA442">
        <v>18</v>
      </c>
      <c r="AB442">
        <v>118</v>
      </c>
      <c r="AC442">
        <v>1</v>
      </c>
      <c r="AE442" t="s">
        <v>239</v>
      </c>
      <c r="AF442" t="s">
        <v>29</v>
      </c>
      <c r="AG442">
        <v>2</v>
      </c>
      <c r="AH442" t="s">
        <v>25</v>
      </c>
      <c r="AI442">
        <v>1106</v>
      </c>
      <c r="AJ442" t="s">
        <v>246</v>
      </c>
      <c r="AK442" t="s">
        <v>1396</v>
      </c>
      <c r="AQ442" t="s">
        <v>33</v>
      </c>
      <c r="AS442" t="str">
        <f t="shared" si="7"/>
        <v>FB011182</v>
      </c>
    </row>
    <row r="443" spans="1:45" ht="15" customHeight="1">
      <c r="A443" t="s">
        <v>221</v>
      </c>
      <c r="B443">
        <v>1181</v>
      </c>
      <c r="C443" t="s">
        <v>27</v>
      </c>
      <c r="D443" s="8">
        <v>45660</v>
      </c>
      <c r="E443" s="22">
        <v>45946</v>
      </c>
      <c r="F443" t="s">
        <v>33</v>
      </c>
      <c r="H443">
        <v>6</v>
      </c>
      <c r="I443">
        <v>20609168961</v>
      </c>
      <c r="J443" t="s">
        <v>1822</v>
      </c>
      <c r="K443" s="8">
        <v>45660</v>
      </c>
      <c r="Q443">
        <v>1</v>
      </c>
      <c r="R443">
        <v>877</v>
      </c>
      <c r="S443" t="s">
        <v>197</v>
      </c>
      <c r="T443" t="s">
        <v>219</v>
      </c>
      <c r="U443">
        <v>1</v>
      </c>
      <c r="V443">
        <v>2919.83</v>
      </c>
      <c r="W443">
        <v>3445.4</v>
      </c>
      <c r="X443">
        <v>0</v>
      </c>
      <c r="Y443">
        <v>2919.83</v>
      </c>
      <c r="Z443">
        <v>18</v>
      </c>
      <c r="AA443">
        <v>525.57000000000005</v>
      </c>
      <c r="AB443">
        <v>3445.4</v>
      </c>
      <c r="AC443">
        <v>1</v>
      </c>
      <c r="AE443" t="s">
        <v>239</v>
      </c>
      <c r="AF443" t="s">
        <v>29</v>
      </c>
      <c r="AG443">
        <v>2</v>
      </c>
      <c r="AH443" t="s">
        <v>25</v>
      </c>
      <c r="AI443">
        <v>1106</v>
      </c>
      <c r="AJ443" t="s">
        <v>246</v>
      </c>
      <c r="AK443" t="s">
        <v>1346</v>
      </c>
      <c r="AQ443" t="s">
        <v>33</v>
      </c>
      <c r="AS443" t="str">
        <f t="shared" si="7"/>
        <v>FB011181</v>
      </c>
    </row>
    <row r="444" spans="1:45" ht="15" customHeight="1">
      <c r="A444" t="s">
        <v>221</v>
      </c>
      <c r="B444">
        <v>1180</v>
      </c>
      <c r="C444" t="s">
        <v>27</v>
      </c>
      <c r="D444" s="8">
        <v>45660</v>
      </c>
      <c r="E444" s="22">
        <v>45946</v>
      </c>
      <c r="F444" t="s">
        <v>33</v>
      </c>
      <c r="H444">
        <v>6</v>
      </c>
      <c r="I444">
        <v>20609168961</v>
      </c>
      <c r="J444" t="s">
        <v>1823</v>
      </c>
      <c r="K444" s="8">
        <v>45660</v>
      </c>
      <c r="Q444">
        <v>1</v>
      </c>
      <c r="R444">
        <v>870</v>
      </c>
      <c r="S444" t="s">
        <v>1227</v>
      </c>
      <c r="T444" t="s">
        <v>219</v>
      </c>
      <c r="U444">
        <v>1</v>
      </c>
      <c r="V444">
        <v>1439.87</v>
      </c>
      <c r="W444">
        <v>1699.05</v>
      </c>
      <c r="X444">
        <v>0</v>
      </c>
      <c r="Y444">
        <v>1439.87</v>
      </c>
      <c r="Z444">
        <v>18</v>
      </c>
      <c r="AA444">
        <v>259.18</v>
      </c>
      <c r="AB444">
        <v>1699.05</v>
      </c>
      <c r="AC444">
        <v>1</v>
      </c>
      <c r="AE444" t="s">
        <v>239</v>
      </c>
      <c r="AF444" t="s">
        <v>29</v>
      </c>
      <c r="AG444">
        <v>2</v>
      </c>
      <c r="AH444" t="s">
        <v>25</v>
      </c>
      <c r="AI444">
        <v>1106</v>
      </c>
      <c r="AJ444" t="s">
        <v>246</v>
      </c>
      <c r="AK444" t="s">
        <v>1346</v>
      </c>
      <c r="AQ444" t="s">
        <v>33</v>
      </c>
      <c r="AS444" t="str">
        <f t="shared" si="7"/>
        <v>FB011180</v>
      </c>
    </row>
    <row r="445" spans="1:45" ht="15" customHeight="1">
      <c r="A445" t="s">
        <v>1349</v>
      </c>
      <c r="B445">
        <v>631</v>
      </c>
      <c r="C445" t="s">
        <v>27</v>
      </c>
      <c r="D445" s="8">
        <v>45660</v>
      </c>
      <c r="E445" s="22">
        <v>45946</v>
      </c>
      <c r="F445" t="s">
        <v>1158</v>
      </c>
      <c r="G445" t="s">
        <v>158</v>
      </c>
      <c r="H445">
        <v>1</v>
      </c>
      <c r="I445">
        <v>44413438</v>
      </c>
      <c r="J445" t="s">
        <v>1824</v>
      </c>
      <c r="K445" s="8">
        <v>45660</v>
      </c>
      <c r="Q445">
        <v>1</v>
      </c>
      <c r="R445">
        <v>993</v>
      </c>
      <c r="S445" t="s">
        <v>1454</v>
      </c>
      <c r="T445" t="s">
        <v>219</v>
      </c>
      <c r="U445">
        <v>1</v>
      </c>
      <c r="V445">
        <v>100</v>
      </c>
      <c r="W445">
        <v>118</v>
      </c>
      <c r="X445">
        <v>0</v>
      </c>
      <c r="Y445">
        <v>100</v>
      </c>
      <c r="Z445">
        <v>18</v>
      </c>
      <c r="AA445">
        <v>18</v>
      </c>
      <c r="AB445">
        <v>118</v>
      </c>
      <c r="AC445">
        <v>1</v>
      </c>
      <c r="AE445" t="s">
        <v>239</v>
      </c>
      <c r="AF445" t="s">
        <v>29</v>
      </c>
      <c r="AG445">
        <v>2</v>
      </c>
      <c r="AH445" t="s">
        <v>25</v>
      </c>
      <c r="AI445">
        <v>1106</v>
      </c>
      <c r="AJ445" t="s">
        <v>246</v>
      </c>
      <c r="AK445" t="s">
        <v>1396</v>
      </c>
      <c r="AQ445" t="s">
        <v>1158</v>
      </c>
      <c r="AS445" t="str">
        <f t="shared" si="7"/>
        <v>BB01631</v>
      </c>
    </row>
    <row r="446" spans="1:45" ht="15" customHeight="1">
      <c r="A446" t="s">
        <v>1349</v>
      </c>
      <c r="B446">
        <v>630</v>
      </c>
      <c r="C446" t="s">
        <v>27</v>
      </c>
      <c r="D446" s="8">
        <v>45660</v>
      </c>
      <c r="E446" s="22">
        <v>45946</v>
      </c>
      <c r="F446" t="s">
        <v>1158</v>
      </c>
      <c r="G446" t="s">
        <v>158</v>
      </c>
      <c r="H446">
        <v>1</v>
      </c>
      <c r="I446">
        <v>44413438</v>
      </c>
      <c r="J446" t="s">
        <v>1825</v>
      </c>
      <c r="K446" s="8">
        <v>45660</v>
      </c>
      <c r="Q446">
        <v>1</v>
      </c>
      <c r="R446">
        <v>877</v>
      </c>
      <c r="S446" t="s">
        <v>197</v>
      </c>
      <c r="T446" t="s">
        <v>219</v>
      </c>
      <c r="U446">
        <v>1</v>
      </c>
      <c r="V446">
        <v>3774.66</v>
      </c>
      <c r="W446">
        <v>4454.1000000000004</v>
      </c>
      <c r="X446">
        <v>0</v>
      </c>
      <c r="Y446">
        <v>3774.66</v>
      </c>
      <c r="Z446">
        <v>18</v>
      </c>
      <c r="AA446">
        <v>679.44</v>
      </c>
      <c r="AB446">
        <v>4454.1000000000004</v>
      </c>
      <c r="AC446">
        <v>1</v>
      </c>
      <c r="AE446" t="s">
        <v>239</v>
      </c>
      <c r="AF446" t="s">
        <v>29</v>
      </c>
      <c r="AG446">
        <v>2</v>
      </c>
      <c r="AH446" t="s">
        <v>25</v>
      </c>
      <c r="AI446">
        <v>1106</v>
      </c>
      <c r="AJ446" t="s">
        <v>246</v>
      </c>
      <c r="AK446" t="s">
        <v>1346</v>
      </c>
      <c r="AQ446" t="s">
        <v>1158</v>
      </c>
      <c r="AS446" t="str">
        <f t="shared" si="7"/>
        <v>BB01630</v>
      </c>
    </row>
    <row r="447" spans="1:45" ht="15" customHeight="1">
      <c r="A447" t="s">
        <v>1349</v>
      </c>
      <c r="B447">
        <v>629</v>
      </c>
      <c r="C447" t="s">
        <v>27</v>
      </c>
      <c r="D447" s="8">
        <v>45660</v>
      </c>
      <c r="E447" s="22">
        <v>45946</v>
      </c>
      <c r="F447" t="s">
        <v>1158</v>
      </c>
      <c r="G447" t="s">
        <v>158</v>
      </c>
      <c r="H447">
        <v>1</v>
      </c>
      <c r="I447">
        <v>44413438</v>
      </c>
      <c r="J447" t="s">
        <v>1826</v>
      </c>
      <c r="K447" s="8">
        <v>45660</v>
      </c>
      <c r="Q447">
        <v>1</v>
      </c>
      <c r="R447">
        <v>878</v>
      </c>
      <c r="S447" t="s">
        <v>1498</v>
      </c>
      <c r="T447" t="s">
        <v>219</v>
      </c>
      <c r="U447">
        <v>1</v>
      </c>
      <c r="V447">
        <v>3056.78</v>
      </c>
      <c r="W447">
        <v>3607</v>
      </c>
      <c r="X447">
        <v>0</v>
      </c>
      <c r="Y447">
        <v>3056.78</v>
      </c>
      <c r="Z447">
        <v>18</v>
      </c>
      <c r="AA447">
        <v>550.22</v>
      </c>
      <c r="AB447">
        <v>3607</v>
      </c>
      <c r="AC447">
        <v>1</v>
      </c>
      <c r="AE447" t="s">
        <v>239</v>
      </c>
      <c r="AF447" t="s">
        <v>29</v>
      </c>
      <c r="AG447">
        <v>2</v>
      </c>
      <c r="AH447" t="s">
        <v>25</v>
      </c>
      <c r="AI447">
        <v>1106</v>
      </c>
      <c r="AJ447" t="s">
        <v>246</v>
      </c>
      <c r="AK447" t="s">
        <v>1346</v>
      </c>
      <c r="AQ447" t="s">
        <v>1158</v>
      </c>
      <c r="AS447" t="str">
        <f t="shared" si="7"/>
        <v>BB01629</v>
      </c>
    </row>
    <row r="448" spans="1:45" ht="15" customHeight="1">
      <c r="A448" t="s">
        <v>1349</v>
      </c>
      <c r="B448">
        <v>628</v>
      </c>
      <c r="C448" t="s">
        <v>27</v>
      </c>
      <c r="D448" s="8">
        <v>45660</v>
      </c>
      <c r="E448" s="22">
        <v>45946</v>
      </c>
      <c r="F448" t="s">
        <v>1216</v>
      </c>
      <c r="H448">
        <v>1</v>
      </c>
      <c r="I448" s="21" t="s">
        <v>1827</v>
      </c>
      <c r="J448" t="s">
        <v>1828</v>
      </c>
      <c r="K448" s="8">
        <v>45660</v>
      </c>
      <c r="Q448">
        <v>1</v>
      </c>
      <c r="R448">
        <v>877</v>
      </c>
      <c r="S448" t="s">
        <v>197</v>
      </c>
      <c r="T448" t="s">
        <v>219</v>
      </c>
      <c r="U448">
        <v>1</v>
      </c>
      <c r="V448">
        <v>129.15</v>
      </c>
      <c r="W448">
        <v>152.4</v>
      </c>
      <c r="X448">
        <v>0</v>
      </c>
      <c r="Y448">
        <v>129.15</v>
      </c>
      <c r="Z448">
        <v>18</v>
      </c>
      <c r="AA448">
        <v>23.25</v>
      </c>
      <c r="AB448">
        <v>152.4</v>
      </c>
      <c r="AC448">
        <v>1</v>
      </c>
      <c r="AE448" t="s">
        <v>239</v>
      </c>
      <c r="AF448" t="s">
        <v>29</v>
      </c>
      <c r="AG448">
        <v>2</v>
      </c>
      <c r="AH448" t="s">
        <v>25</v>
      </c>
      <c r="AI448">
        <v>1106</v>
      </c>
      <c r="AJ448" t="s">
        <v>246</v>
      </c>
      <c r="AK448" t="s">
        <v>1346</v>
      </c>
      <c r="AQ448" t="s">
        <v>1216</v>
      </c>
      <c r="AS448" t="str">
        <f t="shared" si="7"/>
        <v>BB01628</v>
      </c>
    </row>
    <row r="449" spans="1:45" ht="15" customHeight="1">
      <c r="A449" t="s">
        <v>1349</v>
      </c>
      <c r="B449">
        <v>627</v>
      </c>
      <c r="C449" t="s">
        <v>27</v>
      </c>
      <c r="D449" s="8">
        <v>45660</v>
      </c>
      <c r="E449" s="22">
        <v>45946</v>
      </c>
      <c r="F449" t="s">
        <v>1216</v>
      </c>
      <c r="H449">
        <v>1</v>
      </c>
      <c r="I449" s="21" t="s">
        <v>1827</v>
      </c>
      <c r="J449" t="s">
        <v>1829</v>
      </c>
      <c r="K449" s="8">
        <v>45660</v>
      </c>
      <c r="Q449">
        <v>1</v>
      </c>
      <c r="R449">
        <v>870</v>
      </c>
      <c r="S449" t="s">
        <v>1227</v>
      </c>
      <c r="T449" t="s">
        <v>219</v>
      </c>
      <c r="U449">
        <v>1</v>
      </c>
      <c r="V449">
        <v>84.07</v>
      </c>
      <c r="W449">
        <v>99.2</v>
      </c>
      <c r="X449">
        <v>0</v>
      </c>
      <c r="Y449">
        <v>84.07</v>
      </c>
      <c r="Z449">
        <v>18</v>
      </c>
      <c r="AA449">
        <v>15.13</v>
      </c>
      <c r="AB449">
        <v>99.2</v>
      </c>
      <c r="AC449">
        <v>1</v>
      </c>
      <c r="AE449" t="s">
        <v>239</v>
      </c>
      <c r="AF449" t="s">
        <v>29</v>
      </c>
      <c r="AG449">
        <v>2</v>
      </c>
      <c r="AH449" t="s">
        <v>25</v>
      </c>
      <c r="AI449">
        <v>1106</v>
      </c>
      <c r="AJ449" t="s">
        <v>246</v>
      </c>
      <c r="AK449" t="s">
        <v>1346</v>
      </c>
      <c r="AQ449" t="s">
        <v>1216</v>
      </c>
      <c r="AS449" t="str">
        <f t="shared" si="7"/>
        <v>BB01627</v>
      </c>
    </row>
    <row r="450" spans="1:45" ht="15" customHeight="1">
      <c r="A450" t="s">
        <v>221</v>
      </c>
      <c r="B450">
        <v>1179</v>
      </c>
      <c r="C450" t="s">
        <v>27</v>
      </c>
      <c r="D450" s="8">
        <v>45660</v>
      </c>
      <c r="E450" s="22">
        <v>45946</v>
      </c>
      <c r="F450" t="s">
        <v>1353</v>
      </c>
      <c r="G450" t="s">
        <v>158</v>
      </c>
      <c r="H450">
        <v>6</v>
      </c>
      <c r="I450">
        <v>20602855733</v>
      </c>
      <c r="J450" t="s">
        <v>1830</v>
      </c>
      <c r="K450" s="8">
        <v>45660</v>
      </c>
      <c r="Q450">
        <v>1</v>
      </c>
      <c r="R450">
        <v>990</v>
      </c>
      <c r="S450" t="s">
        <v>1831</v>
      </c>
      <c r="T450" t="s">
        <v>219</v>
      </c>
      <c r="U450">
        <v>1</v>
      </c>
      <c r="V450">
        <v>171</v>
      </c>
      <c r="W450">
        <v>201.78</v>
      </c>
      <c r="X450">
        <v>0</v>
      </c>
      <c r="Y450">
        <v>171</v>
      </c>
      <c r="Z450">
        <v>18</v>
      </c>
      <c r="AA450">
        <v>30.78</v>
      </c>
      <c r="AB450">
        <v>201.78</v>
      </c>
      <c r="AC450">
        <v>1</v>
      </c>
      <c r="AE450" t="s">
        <v>239</v>
      </c>
      <c r="AF450" t="s">
        <v>29</v>
      </c>
      <c r="AG450">
        <v>2</v>
      </c>
      <c r="AH450" t="s">
        <v>25</v>
      </c>
      <c r="AI450">
        <v>1106</v>
      </c>
      <c r="AJ450" t="s">
        <v>246</v>
      </c>
      <c r="AK450" t="s">
        <v>1346</v>
      </c>
      <c r="AQ450" t="s">
        <v>1353</v>
      </c>
      <c r="AS450" t="str">
        <f t="shared" si="7"/>
        <v>FB011179</v>
      </c>
    </row>
    <row r="451" spans="1:45" ht="15" customHeight="1">
      <c r="A451" t="s">
        <v>221</v>
      </c>
      <c r="B451">
        <v>1178</v>
      </c>
      <c r="C451" t="s">
        <v>27</v>
      </c>
      <c r="D451" s="8">
        <v>45660</v>
      </c>
      <c r="E451" s="22">
        <v>45946</v>
      </c>
      <c r="F451" t="s">
        <v>1353</v>
      </c>
      <c r="G451" t="s">
        <v>158</v>
      </c>
      <c r="H451">
        <v>6</v>
      </c>
      <c r="I451">
        <v>20602855733</v>
      </c>
      <c r="J451" t="s">
        <v>1832</v>
      </c>
      <c r="K451" s="8">
        <v>45660</v>
      </c>
      <c r="Q451">
        <v>1</v>
      </c>
      <c r="R451">
        <v>875</v>
      </c>
      <c r="S451" t="s">
        <v>1833</v>
      </c>
      <c r="T451" t="s">
        <v>219</v>
      </c>
      <c r="U451">
        <v>1</v>
      </c>
      <c r="V451">
        <v>3400</v>
      </c>
      <c r="W451">
        <v>4012</v>
      </c>
      <c r="X451">
        <v>0</v>
      </c>
      <c r="Y451">
        <v>3400</v>
      </c>
      <c r="Z451">
        <v>18</v>
      </c>
      <c r="AA451">
        <v>612</v>
      </c>
      <c r="AB451">
        <v>4012</v>
      </c>
      <c r="AC451">
        <v>1</v>
      </c>
      <c r="AE451" t="s">
        <v>239</v>
      </c>
      <c r="AF451" t="s">
        <v>29</v>
      </c>
      <c r="AG451">
        <v>2</v>
      </c>
      <c r="AH451" t="s">
        <v>25</v>
      </c>
      <c r="AI451">
        <v>1106</v>
      </c>
      <c r="AJ451" t="s">
        <v>246</v>
      </c>
      <c r="AK451" t="s">
        <v>1342</v>
      </c>
      <c r="AQ451" t="s">
        <v>1353</v>
      </c>
      <c r="AS451" t="str">
        <f t="shared" si="7"/>
        <v>FB011178</v>
      </c>
    </row>
    <row r="452" spans="1:45" ht="15" customHeight="1">
      <c r="A452" t="s">
        <v>221</v>
      </c>
      <c r="B452">
        <v>1177</v>
      </c>
      <c r="C452" t="s">
        <v>27</v>
      </c>
      <c r="D452" s="8">
        <v>45660</v>
      </c>
      <c r="E452" s="22">
        <v>45946</v>
      </c>
      <c r="F452" t="s">
        <v>1353</v>
      </c>
      <c r="G452" t="s">
        <v>158</v>
      </c>
      <c r="H452">
        <v>6</v>
      </c>
      <c r="I452">
        <v>20602855733</v>
      </c>
      <c r="J452" t="s">
        <v>1834</v>
      </c>
      <c r="K452" s="8">
        <v>45660</v>
      </c>
      <c r="Q452">
        <v>1</v>
      </c>
      <c r="R452">
        <v>871</v>
      </c>
      <c r="S452" t="s">
        <v>1381</v>
      </c>
      <c r="T452" t="s">
        <v>219</v>
      </c>
      <c r="U452">
        <v>1</v>
      </c>
      <c r="V452">
        <v>1590.93</v>
      </c>
      <c r="W452">
        <v>1877.3</v>
      </c>
      <c r="X452">
        <v>0</v>
      </c>
      <c r="Y452">
        <v>1590.93</v>
      </c>
      <c r="Z452">
        <v>18</v>
      </c>
      <c r="AA452">
        <v>286.37</v>
      </c>
      <c r="AB452">
        <v>1877.3</v>
      </c>
      <c r="AC452">
        <v>1</v>
      </c>
      <c r="AE452" t="s">
        <v>239</v>
      </c>
      <c r="AF452" t="s">
        <v>29</v>
      </c>
      <c r="AG452">
        <v>2</v>
      </c>
      <c r="AH452" t="s">
        <v>25</v>
      </c>
      <c r="AI452">
        <v>1106</v>
      </c>
      <c r="AJ452" t="s">
        <v>246</v>
      </c>
      <c r="AK452" t="s">
        <v>1346</v>
      </c>
      <c r="AQ452" t="s">
        <v>1353</v>
      </c>
      <c r="AS452" t="str">
        <f t="shared" si="7"/>
        <v>FB011177</v>
      </c>
    </row>
    <row r="453" spans="1:45" ht="15" customHeight="1">
      <c r="A453" t="s">
        <v>221</v>
      </c>
      <c r="B453">
        <v>1176</v>
      </c>
      <c r="C453" t="s">
        <v>27</v>
      </c>
      <c r="D453" s="8">
        <v>45660</v>
      </c>
      <c r="E453" s="22">
        <v>45946</v>
      </c>
      <c r="F453" t="s">
        <v>1353</v>
      </c>
      <c r="G453" t="s">
        <v>158</v>
      </c>
      <c r="H453">
        <v>6</v>
      </c>
      <c r="I453">
        <v>20602855733</v>
      </c>
      <c r="J453" t="s">
        <v>1835</v>
      </c>
      <c r="K453" s="8">
        <v>45660</v>
      </c>
      <c r="Q453">
        <v>1</v>
      </c>
      <c r="R453">
        <v>870</v>
      </c>
      <c r="S453" t="s">
        <v>1227</v>
      </c>
      <c r="T453" t="s">
        <v>219</v>
      </c>
      <c r="U453">
        <v>1</v>
      </c>
      <c r="V453">
        <v>2158.64</v>
      </c>
      <c r="W453">
        <v>2547.1999999999998</v>
      </c>
      <c r="X453">
        <v>0</v>
      </c>
      <c r="Y453">
        <v>2158.64</v>
      </c>
      <c r="Z453">
        <v>18</v>
      </c>
      <c r="AA453">
        <v>388.56</v>
      </c>
      <c r="AB453">
        <v>2547.1999999999998</v>
      </c>
      <c r="AC453">
        <v>1</v>
      </c>
      <c r="AE453" t="s">
        <v>239</v>
      </c>
      <c r="AF453" t="s">
        <v>29</v>
      </c>
      <c r="AG453">
        <v>2</v>
      </c>
      <c r="AH453" t="s">
        <v>25</v>
      </c>
      <c r="AI453">
        <v>1106</v>
      </c>
      <c r="AJ453" t="s">
        <v>246</v>
      </c>
      <c r="AK453" t="s">
        <v>1346</v>
      </c>
      <c r="AQ453" t="s">
        <v>1353</v>
      </c>
      <c r="AS453" t="str">
        <f t="shared" si="7"/>
        <v>FB011176</v>
      </c>
    </row>
    <row r="454" spans="1:45" ht="15" customHeight="1">
      <c r="A454" t="s">
        <v>221</v>
      </c>
      <c r="B454">
        <v>1175</v>
      </c>
      <c r="C454" t="s">
        <v>27</v>
      </c>
      <c r="D454" s="8">
        <v>45660</v>
      </c>
      <c r="E454" s="22">
        <v>45946</v>
      </c>
      <c r="F454" t="s">
        <v>1353</v>
      </c>
      <c r="G454" t="s">
        <v>158</v>
      </c>
      <c r="H454">
        <v>6</v>
      </c>
      <c r="I454">
        <v>20602855733</v>
      </c>
      <c r="J454" t="s">
        <v>1836</v>
      </c>
      <c r="K454" s="8">
        <v>45660</v>
      </c>
      <c r="Q454">
        <v>1</v>
      </c>
      <c r="R454">
        <v>874</v>
      </c>
      <c r="S454" t="s">
        <v>1390</v>
      </c>
      <c r="T454" t="s">
        <v>219</v>
      </c>
      <c r="U454">
        <v>1</v>
      </c>
      <c r="V454">
        <v>171</v>
      </c>
      <c r="W454">
        <v>201.78</v>
      </c>
      <c r="X454">
        <v>0</v>
      </c>
      <c r="Y454">
        <v>171</v>
      </c>
      <c r="Z454">
        <v>18</v>
      </c>
      <c r="AA454">
        <v>30.78</v>
      </c>
      <c r="AB454">
        <v>201.78</v>
      </c>
      <c r="AC454">
        <v>1</v>
      </c>
      <c r="AE454" t="s">
        <v>239</v>
      </c>
      <c r="AF454" t="s">
        <v>29</v>
      </c>
      <c r="AG454">
        <v>2</v>
      </c>
      <c r="AH454" t="s">
        <v>25</v>
      </c>
      <c r="AI454">
        <v>1106</v>
      </c>
      <c r="AJ454" t="s">
        <v>246</v>
      </c>
      <c r="AK454" t="s">
        <v>1346</v>
      </c>
      <c r="AQ454" t="s">
        <v>1353</v>
      </c>
      <c r="AS454" t="str">
        <f t="shared" si="7"/>
        <v>FB011175</v>
      </c>
    </row>
    <row r="455" spans="1:45" ht="15" customHeight="1">
      <c r="A455" t="s">
        <v>221</v>
      </c>
      <c r="B455">
        <v>1174</v>
      </c>
      <c r="C455" t="s">
        <v>27</v>
      </c>
      <c r="D455" s="8">
        <v>45660</v>
      </c>
      <c r="E455" s="22">
        <v>45946</v>
      </c>
      <c r="F455" t="s">
        <v>1353</v>
      </c>
      <c r="G455" t="s">
        <v>158</v>
      </c>
      <c r="H455">
        <v>6</v>
      </c>
      <c r="I455">
        <v>20602855733</v>
      </c>
      <c r="J455" t="s">
        <v>1837</v>
      </c>
      <c r="K455" s="8">
        <v>45660</v>
      </c>
      <c r="Q455">
        <v>1</v>
      </c>
      <c r="R455">
        <v>873</v>
      </c>
      <c r="S455" t="s">
        <v>1838</v>
      </c>
      <c r="T455" t="s">
        <v>219</v>
      </c>
      <c r="U455">
        <v>1</v>
      </c>
      <c r="V455">
        <v>450</v>
      </c>
      <c r="W455">
        <v>531</v>
      </c>
      <c r="X455">
        <v>0</v>
      </c>
      <c r="Y455">
        <v>450</v>
      </c>
      <c r="Z455">
        <v>18</v>
      </c>
      <c r="AA455">
        <v>81</v>
      </c>
      <c r="AB455">
        <v>531</v>
      </c>
      <c r="AC455">
        <v>1</v>
      </c>
      <c r="AE455" t="s">
        <v>239</v>
      </c>
      <c r="AF455" t="s">
        <v>29</v>
      </c>
      <c r="AG455">
        <v>2</v>
      </c>
      <c r="AH455" t="s">
        <v>25</v>
      </c>
      <c r="AI455">
        <v>1106</v>
      </c>
      <c r="AJ455" t="s">
        <v>246</v>
      </c>
      <c r="AK455" t="s">
        <v>1408</v>
      </c>
      <c r="AQ455" t="s">
        <v>1353</v>
      </c>
      <c r="AS455" t="str">
        <f t="shared" si="7"/>
        <v>FB011174</v>
      </c>
    </row>
    <row r="456" spans="1:45" ht="15" customHeight="1">
      <c r="A456" t="s">
        <v>221</v>
      </c>
      <c r="B456">
        <v>1173</v>
      </c>
      <c r="C456" t="s">
        <v>27</v>
      </c>
      <c r="D456" s="8">
        <v>45660</v>
      </c>
      <c r="E456" s="22">
        <v>45946</v>
      </c>
      <c r="F456" t="s">
        <v>1353</v>
      </c>
      <c r="G456" t="s">
        <v>158</v>
      </c>
      <c r="H456">
        <v>6</v>
      </c>
      <c r="I456">
        <v>20602855733</v>
      </c>
      <c r="J456" t="s">
        <v>1839</v>
      </c>
      <c r="K456" s="8">
        <v>45660</v>
      </c>
      <c r="Q456">
        <v>1</v>
      </c>
      <c r="R456">
        <v>872</v>
      </c>
      <c r="S456" s="29" t="s">
        <v>1840</v>
      </c>
      <c r="T456" t="s">
        <v>219</v>
      </c>
      <c r="U456">
        <v>1</v>
      </c>
      <c r="V456">
        <v>3700</v>
      </c>
      <c r="W456">
        <v>4366</v>
      </c>
      <c r="X456">
        <v>0</v>
      </c>
      <c r="Y456">
        <v>3700</v>
      </c>
      <c r="Z456">
        <v>18</v>
      </c>
      <c r="AA456">
        <v>666</v>
      </c>
      <c r="AB456">
        <v>4366</v>
      </c>
      <c r="AC456">
        <v>1</v>
      </c>
      <c r="AE456" t="s">
        <v>239</v>
      </c>
      <c r="AF456" t="s">
        <v>29</v>
      </c>
      <c r="AG456">
        <v>2</v>
      </c>
      <c r="AH456" t="s">
        <v>25</v>
      </c>
      <c r="AI456">
        <v>1106</v>
      </c>
      <c r="AJ456" t="s">
        <v>246</v>
      </c>
      <c r="AK456" t="s">
        <v>1342</v>
      </c>
      <c r="AQ456" t="s">
        <v>1353</v>
      </c>
      <c r="AS456" t="str">
        <f t="shared" si="7"/>
        <v>FB011173</v>
      </c>
    </row>
    <row r="457" spans="1:45" ht="15" customHeight="1">
      <c r="A457" t="s">
        <v>221</v>
      </c>
      <c r="B457">
        <v>1172</v>
      </c>
      <c r="C457" t="s">
        <v>27</v>
      </c>
      <c r="D457" s="8">
        <v>45660</v>
      </c>
      <c r="E457" s="22">
        <v>45946</v>
      </c>
      <c r="F457" t="s">
        <v>1353</v>
      </c>
      <c r="G457" t="s">
        <v>158</v>
      </c>
      <c r="H457">
        <v>6</v>
      </c>
      <c r="I457">
        <v>20602855733</v>
      </c>
      <c r="J457" t="s">
        <v>1841</v>
      </c>
      <c r="K457" s="8">
        <v>45660</v>
      </c>
      <c r="Q457">
        <v>1</v>
      </c>
      <c r="R457">
        <v>871</v>
      </c>
      <c r="S457" t="s">
        <v>1381</v>
      </c>
      <c r="T457" t="s">
        <v>219</v>
      </c>
      <c r="U457">
        <v>1</v>
      </c>
      <c r="V457">
        <v>3425.85</v>
      </c>
      <c r="W457">
        <v>4042.5</v>
      </c>
      <c r="X457">
        <v>0</v>
      </c>
      <c r="Y457">
        <v>3425.85</v>
      </c>
      <c r="Z457">
        <v>18</v>
      </c>
      <c r="AA457">
        <v>616.65</v>
      </c>
      <c r="AB457">
        <v>4042.5</v>
      </c>
      <c r="AC457">
        <v>1</v>
      </c>
      <c r="AE457" t="s">
        <v>239</v>
      </c>
      <c r="AF457" t="s">
        <v>29</v>
      </c>
      <c r="AG457">
        <v>2</v>
      </c>
      <c r="AH457" t="s">
        <v>25</v>
      </c>
      <c r="AI457">
        <v>1106</v>
      </c>
      <c r="AJ457" t="s">
        <v>246</v>
      </c>
      <c r="AK457" t="s">
        <v>1346</v>
      </c>
      <c r="AQ457" t="s">
        <v>1353</v>
      </c>
      <c r="AS457" t="str">
        <f t="shared" si="7"/>
        <v>FB011172</v>
      </c>
    </row>
    <row r="458" spans="1:45" ht="15" customHeight="1">
      <c r="A458" t="s">
        <v>221</v>
      </c>
      <c r="B458">
        <v>1171</v>
      </c>
      <c r="C458" t="s">
        <v>27</v>
      </c>
      <c r="D458" s="8">
        <v>45660</v>
      </c>
      <c r="E458" s="22">
        <v>45946</v>
      </c>
      <c r="F458" t="s">
        <v>1353</v>
      </c>
      <c r="G458" t="s">
        <v>158</v>
      </c>
      <c r="H458">
        <v>6</v>
      </c>
      <c r="I458">
        <v>20602855733</v>
      </c>
      <c r="J458" t="s">
        <v>1842</v>
      </c>
      <c r="K458" s="8">
        <v>45660</v>
      </c>
      <c r="Q458">
        <v>1</v>
      </c>
      <c r="R458">
        <v>870</v>
      </c>
      <c r="S458" t="s">
        <v>1227</v>
      </c>
      <c r="T458" t="s">
        <v>219</v>
      </c>
      <c r="U458">
        <v>1</v>
      </c>
      <c r="V458">
        <v>4569.66</v>
      </c>
      <c r="W458">
        <v>5392.2</v>
      </c>
      <c r="X458">
        <v>0</v>
      </c>
      <c r="Y458">
        <v>4569.66</v>
      </c>
      <c r="Z458">
        <v>18</v>
      </c>
      <c r="AA458">
        <v>822.54</v>
      </c>
      <c r="AB458">
        <v>5392.2</v>
      </c>
      <c r="AC458">
        <v>1</v>
      </c>
      <c r="AE458" t="s">
        <v>239</v>
      </c>
      <c r="AF458" t="s">
        <v>29</v>
      </c>
      <c r="AG458">
        <v>2</v>
      </c>
      <c r="AH458" t="s">
        <v>25</v>
      </c>
      <c r="AI458">
        <v>1106</v>
      </c>
      <c r="AJ458" t="s">
        <v>246</v>
      </c>
      <c r="AK458" t="s">
        <v>1346</v>
      </c>
      <c r="AQ458" t="s">
        <v>1353</v>
      </c>
      <c r="AS458" t="str">
        <f t="shared" si="7"/>
        <v>FB011171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AD9-BC32-4205-9EA8-68BABE2E303B}">
  <dimension ref="A1:AS6"/>
  <sheetViews>
    <sheetView workbookViewId="0">
      <selection activeCell="E15" sqref="E15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39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82.42578125" bestFit="1" customWidth="1"/>
    <col min="38" max="38" width="24.140625" bestFit="1" customWidth="1"/>
    <col min="39" max="39" width="26.4257812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13.42578125" bestFit="1" customWidth="1"/>
  </cols>
  <sheetData>
    <row r="1" spans="1:45">
      <c r="A1" s="1" t="s">
        <v>253</v>
      </c>
    </row>
    <row r="3" spans="1:45">
      <c r="A3" t="s">
        <v>113</v>
      </c>
      <c r="B3" t="s">
        <v>114</v>
      </c>
      <c r="C3" t="s">
        <v>240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232</v>
      </c>
    </row>
    <row r="4" spans="1:45">
      <c r="A4" t="s">
        <v>241</v>
      </c>
      <c r="B4" t="s">
        <v>216</v>
      </c>
      <c r="C4" t="s">
        <v>27</v>
      </c>
      <c r="D4" s="8">
        <v>45739</v>
      </c>
      <c r="E4" s="8">
        <v>45939</v>
      </c>
      <c r="F4" t="s">
        <v>33</v>
      </c>
      <c r="H4">
        <v>6</v>
      </c>
      <c r="I4">
        <v>20609168961</v>
      </c>
      <c r="J4" t="s">
        <v>249</v>
      </c>
      <c r="K4" s="8">
        <v>45739</v>
      </c>
      <c r="Q4">
        <v>3</v>
      </c>
      <c r="R4">
        <v>220</v>
      </c>
      <c r="S4" t="s">
        <v>243</v>
      </c>
      <c r="T4" t="s">
        <v>219</v>
      </c>
      <c r="U4">
        <v>1</v>
      </c>
      <c r="V4">
        <v>102.54</v>
      </c>
      <c r="W4">
        <v>121</v>
      </c>
      <c r="Y4">
        <v>102.54</v>
      </c>
      <c r="Z4">
        <v>18</v>
      </c>
      <c r="AA4">
        <v>18.46</v>
      </c>
      <c r="AB4">
        <v>121</v>
      </c>
      <c r="AC4">
        <v>1</v>
      </c>
      <c r="AE4" t="s">
        <v>239</v>
      </c>
      <c r="AF4" t="s">
        <v>29</v>
      </c>
      <c r="AG4">
        <v>2</v>
      </c>
      <c r="AH4" t="s">
        <v>25</v>
      </c>
      <c r="AI4">
        <v>1106</v>
      </c>
      <c r="AJ4" t="s">
        <v>246</v>
      </c>
      <c r="AK4" t="s">
        <v>252</v>
      </c>
      <c r="AQ4" t="s">
        <v>33</v>
      </c>
      <c r="AS4" t="s">
        <v>244</v>
      </c>
    </row>
    <row r="5" spans="1:45">
      <c r="A5" t="s">
        <v>241</v>
      </c>
      <c r="B5" t="s">
        <v>216</v>
      </c>
      <c r="C5" t="s">
        <v>27</v>
      </c>
      <c r="D5" s="8">
        <v>45739</v>
      </c>
      <c r="E5" s="8">
        <v>45939</v>
      </c>
      <c r="F5" t="s">
        <v>33</v>
      </c>
      <c r="H5">
        <v>6</v>
      </c>
      <c r="I5">
        <v>20609168961</v>
      </c>
      <c r="J5" t="s">
        <v>249</v>
      </c>
      <c r="K5" s="8">
        <v>45739</v>
      </c>
      <c r="Q5">
        <v>2</v>
      </c>
      <c r="R5">
        <v>227</v>
      </c>
      <c r="S5" t="s">
        <v>242</v>
      </c>
      <c r="T5" t="s">
        <v>163</v>
      </c>
      <c r="U5">
        <v>1</v>
      </c>
      <c r="V5">
        <v>103.39</v>
      </c>
      <c r="W5">
        <v>122</v>
      </c>
      <c r="Y5">
        <v>103.39</v>
      </c>
      <c r="Z5">
        <v>18</v>
      </c>
      <c r="AA5">
        <v>18.61</v>
      </c>
      <c r="AB5">
        <v>122</v>
      </c>
      <c r="AC5">
        <v>1</v>
      </c>
      <c r="AE5" t="s">
        <v>239</v>
      </c>
      <c r="AF5" t="s">
        <v>29</v>
      </c>
      <c r="AG5">
        <v>2</v>
      </c>
      <c r="AH5" t="s">
        <v>25</v>
      </c>
      <c r="AI5">
        <v>1106</v>
      </c>
      <c r="AJ5" t="s">
        <v>246</v>
      </c>
      <c r="AK5" t="s">
        <v>251</v>
      </c>
      <c r="AQ5" t="s">
        <v>33</v>
      </c>
      <c r="AS5" t="s">
        <v>244</v>
      </c>
    </row>
    <row r="6" spans="1:45">
      <c r="A6" t="s">
        <v>241</v>
      </c>
      <c r="B6" t="s">
        <v>216</v>
      </c>
      <c r="C6" t="s">
        <v>27</v>
      </c>
      <c r="D6" s="8">
        <v>45739</v>
      </c>
      <c r="E6" s="8">
        <v>45939</v>
      </c>
      <c r="F6" t="s">
        <v>33</v>
      </c>
      <c r="H6">
        <v>6</v>
      </c>
      <c r="I6">
        <v>20609168961</v>
      </c>
      <c r="J6" t="s">
        <v>249</v>
      </c>
      <c r="K6" s="8">
        <v>45739</v>
      </c>
      <c r="Q6">
        <v>1</v>
      </c>
      <c r="R6">
        <v>232</v>
      </c>
      <c r="S6" t="s">
        <v>162</v>
      </c>
      <c r="T6" t="s">
        <v>163</v>
      </c>
      <c r="U6">
        <v>1</v>
      </c>
      <c r="V6">
        <v>104.24</v>
      </c>
      <c r="W6">
        <v>123</v>
      </c>
      <c r="Y6">
        <v>104.24</v>
      </c>
      <c r="Z6">
        <v>18</v>
      </c>
      <c r="AA6">
        <v>18.760000000000002</v>
      </c>
      <c r="AB6">
        <v>123</v>
      </c>
      <c r="AC6">
        <v>1</v>
      </c>
      <c r="AE6" t="s">
        <v>239</v>
      </c>
      <c r="AF6" t="s">
        <v>29</v>
      </c>
      <c r="AG6">
        <v>2</v>
      </c>
      <c r="AH6" t="s">
        <v>25</v>
      </c>
      <c r="AI6">
        <v>1106</v>
      </c>
      <c r="AJ6" t="s">
        <v>246</v>
      </c>
      <c r="AK6" t="s">
        <v>250</v>
      </c>
      <c r="AQ6" t="s">
        <v>33</v>
      </c>
      <c r="AS6" t="s">
        <v>244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0245-8BDF-481F-A95D-C5AF924A86FB}">
  <dimension ref="A1:AS5"/>
  <sheetViews>
    <sheetView workbookViewId="0">
      <selection activeCell="E4" sqref="E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76.28515625" bestFit="1" customWidth="1"/>
    <col min="38" max="38" width="24.140625" bestFit="1" customWidth="1"/>
    <col min="39" max="39" width="42.710937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24" bestFit="1" customWidth="1"/>
  </cols>
  <sheetData>
    <row r="1" spans="1:45">
      <c r="A1" s="1" t="s">
        <v>236</v>
      </c>
    </row>
    <row r="3" spans="1:45">
      <c r="A3" t="s">
        <v>113</v>
      </c>
      <c r="B3" t="s">
        <v>114</v>
      </c>
      <c r="C3" t="s">
        <v>240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232</v>
      </c>
    </row>
    <row r="4" spans="1:45">
      <c r="A4" t="s">
        <v>159</v>
      </c>
      <c r="B4" t="s">
        <v>160</v>
      </c>
      <c r="C4" t="s">
        <v>27</v>
      </c>
      <c r="D4" s="8">
        <v>45919</v>
      </c>
      <c r="E4" s="22">
        <v>45939.448761574073</v>
      </c>
      <c r="F4" t="s">
        <v>33</v>
      </c>
      <c r="H4">
        <v>6</v>
      </c>
      <c r="I4">
        <v>20609168961</v>
      </c>
      <c r="J4" t="s">
        <v>247</v>
      </c>
      <c r="K4" s="8">
        <v>45919</v>
      </c>
      <c r="Q4">
        <v>2</v>
      </c>
      <c r="R4">
        <v>228</v>
      </c>
      <c r="S4" t="s">
        <v>167</v>
      </c>
      <c r="T4" t="s">
        <v>163</v>
      </c>
      <c r="U4">
        <v>2</v>
      </c>
      <c r="V4">
        <v>1000</v>
      </c>
      <c r="W4">
        <v>1180</v>
      </c>
      <c r="Y4">
        <v>2000</v>
      </c>
      <c r="Z4">
        <v>18</v>
      </c>
      <c r="AA4">
        <v>360</v>
      </c>
      <c r="AB4">
        <v>2360</v>
      </c>
      <c r="AC4">
        <v>1</v>
      </c>
      <c r="AE4" t="s">
        <v>239</v>
      </c>
      <c r="AF4" t="s">
        <v>29</v>
      </c>
      <c r="AG4">
        <v>2</v>
      </c>
      <c r="AH4" t="s">
        <v>25</v>
      </c>
      <c r="AI4">
        <v>1106</v>
      </c>
      <c r="AJ4" t="s">
        <v>246</v>
      </c>
      <c r="AK4" t="s">
        <v>248</v>
      </c>
      <c r="AL4">
        <v>2</v>
      </c>
      <c r="AM4" t="s">
        <v>166</v>
      </c>
      <c r="AN4" s="8">
        <v>44409</v>
      </c>
      <c r="AO4" s="8">
        <v>44409</v>
      </c>
      <c r="AQ4" t="s">
        <v>33</v>
      </c>
      <c r="AS4" t="s">
        <v>233</v>
      </c>
    </row>
    <row r="5" spans="1:45">
      <c r="A5" t="s">
        <v>159</v>
      </c>
      <c r="B5" t="s">
        <v>160</v>
      </c>
      <c r="C5" t="s">
        <v>27</v>
      </c>
      <c r="D5" s="8">
        <v>45919</v>
      </c>
      <c r="E5" s="22">
        <v>45939.448761574073</v>
      </c>
      <c r="F5" t="s">
        <v>33</v>
      </c>
      <c r="H5">
        <v>6</v>
      </c>
      <c r="I5">
        <v>20609168961</v>
      </c>
      <c r="J5" t="s">
        <v>247</v>
      </c>
      <c r="K5" s="8">
        <v>45919</v>
      </c>
      <c r="Q5">
        <v>1</v>
      </c>
      <c r="R5">
        <v>232</v>
      </c>
      <c r="S5" t="s">
        <v>162</v>
      </c>
      <c r="T5" t="s">
        <v>163</v>
      </c>
      <c r="U5">
        <v>2</v>
      </c>
      <c r="V5">
        <v>1000</v>
      </c>
      <c r="W5">
        <v>1180</v>
      </c>
      <c r="Y5">
        <v>2000</v>
      </c>
      <c r="Z5">
        <v>18</v>
      </c>
      <c r="AA5">
        <v>360</v>
      </c>
      <c r="AB5">
        <v>2360</v>
      </c>
      <c r="AC5">
        <v>1</v>
      </c>
      <c r="AE5" t="s">
        <v>239</v>
      </c>
      <c r="AF5" t="s">
        <v>29</v>
      </c>
      <c r="AG5">
        <v>2</v>
      </c>
      <c r="AH5" t="s">
        <v>25</v>
      </c>
      <c r="AI5">
        <v>1106</v>
      </c>
      <c r="AJ5" t="s">
        <v>246</v>
      </c>
      <c r="AK5" t="s">
        <v>248</v>
      </c>
      <c r="AL5">
        <v>2</v>
      </c>
      <c r="AM5" t="s">
        <v>166</v>
      </c>
      <c r="AN5" s="8">
        <v>44409</v>
      </c>
      <c r="AO5" s="8">
        <v>44409</v>
      </c>
      <c r="AQ5" t="s">
        <v>33</v>
      </c>
      <c r="AS5" t="s">
        <v>233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CM486"/>
  <sheetViews>
    <sheetView tabSelected="1" topLeftCell="BW1" zoomScaleNormal="100" workbookViewId="0">
      <selection activeCell="CL11" sqref="CL11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23.28515625" style="17" bestFit="1" customWidth="1"/>
    <col min="5" max="5" width="18.28515625" style="17" bestFit="1" customWidth="1"/>
    <col min="6" max="6" width="10.7109375" style="17" customWidth="1"/>
    <col min="7" max="7" width="209.5703125" style="17" bestFit="1" customWidth="1"/>
    <col min="8" max="8" width="18.85546875" style="17" bestFit="1" customWidth="1"/>
    <col min="9" max="9" width="6.42578125" style="17" customWidth="1"/>
    <col min="10" max="10" width="78.2851562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7.42578125" style="17" customWidth="1"/>
    <col min="16" max="16" width="18.85546875" style="17" bestFit="1" customWidth="1"/>
    <col min="17" max="17" width="7.5703125" style="17" customWidth="1"/>
    <col min="18" max="18" width="15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2851562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6.140625" style="17" customWidth="1"/>
    <col min="36" max="36" width="23.8554687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42" width="11.42578125" style="17"/>
    <col min="43" max="43" width="23.7109375" style="17" bestFit="1" customWidth="1"/>
    <col min="44" max="44" width="32" style="17" bestFit="1" customWidth="1"/>
    <col min="45" max="45" width="70.5703125" style="17" bestFit="1" customWidth="1"/>
    <col min="46" max="65" width="11.42578125" style="17"/>
    <col min="66" max="66" width="16.5703125" style="17" bestFit="1" customWidth="1"/>
    <col min="67" max="67" width="4" style="17" bestFit="1" customWidth="1"/>
    <col min="68" max="68" width="5" style="17" customWidth="1"/>
    <col min="69" max="69" width="15.7109375" style="17" bestFit="1" customWidth="1"/>
    <col min="70" max="70" width="4" style="17" bestFit="1" customWidth="1"/>
    <col min="71" max="71" width="4.85546875" style="17" customWidth="1"/>
    <col min="72" max="72" width="15.7109375" style="17" bestFit="1" customWidth="1"/>
    <col min="73" max="73" width="4" style="17" bestFit="1" customWidth="1"/>
    <col min="74" max="74" width="4.5703125" style="17" customWidth="1"/>
    <col min="75" max="75" width="90" style="17" bestFit="1" customWidth="1"/>
    <col min="76" max="76" width="4" style="17" bestFit="1" customWidth="1"/>
    <col min="77" max="77" width="4.85546875" style="17" customWidth="1"/>
    <col min="78" max="78" width="15.7109375" style="17" bestFit="1" customWidth="1"/>
    <col min="79" max="79" width="4" style="17" bestFit="1" customWidth="1"/>
    <col min="80" max="80" width="3.28515625" style="17" customWidth="1"/>
    <col min="81" max="81" width="15.7109375" style="17" bestFit="1" customWidth="1"/>
    <col min="82" max="82" width="27.85546875" style="17" bestFit="1" customWidth="1"/>
    <col min="83" max="83" width="3.140625" style="17" customWidth="1"/>
    <col min="84" max="84" width="15.7109375" style="17" bestFit="1" customWidth="1"/>
    <col min="85" max="85" width="4" style="17" bestFit="1" customWidth="1"/>
    <col min="86" max="86" width="3.7109375" style="17" customWidth="1"/>
    <col min="87" max="87" width="15.7109375" style="17" bestFit="1" customWidth="1"/>
    <col min="88" max="88" width="4" style="17" bestFit="1" customWidth="1"/>
    <col min="89" max="89" width="3.85546875" style="17" customWidth="1"/>
    <col min="90" max="90" width="15.7109375" style="17" bestFit="1" customWidth="1"/>
    <col min="91" max="91" width="2.42578125" style="17" bestFit="1" customWidth="1"/>
    <col min="92" max="16384" width="11.42578125" style="17"/>
  </cols>
  <sheetData>
    <row r="1" spans="1:91">
      <c r="R1" s="16" t="s">
        <v>230</v>
      </c>
      <c r="X1" s="16" t="s">
        <v>231</v>
      </c>
      <c r="AD1" s="16" t="s">
        <v>237</v>
      </c>
      <c r="AE1" s="16"/>
      <c r="AF1" s="16"/>
      <c r="AG1" s="16"/>
      <c r="AH1" s="16"/>
      <c r="AI1" s="16"/>
      <c r="AJ1" s="16" t="s">
        <v>238</v>
      </c>
      <c r="AQ1" s="27" t="s">
        <v>256</v>
      </c>
      <c r="AR1" s="27" t="s">
        <v>258</v>
      </c>
      <c r="AS1" s="27" t="s">
        <v>259</v>
      </c>
    </row>
    <row r="2" spans="1:91">
      <c r="AJ2" s="18" t="s">
        <v>51</v>
      </c>
      <c r="AK2" s="17" t="s">
        <v>112</v>
      </c>
      <c r="AL2" s="17" t="s">
        <v>54</v>
      </c>
      <c r="AM2" s="17" t="s">
        <v>108</v>
      </c>
      <c r="AN2" s="17" t="s">
        <v>109</v>
      </c>
      <c r="AQ2" s="27" t="s">
        <v>257</v>
      </c>
      <c r="AR2" s="27" t="s">
        <v>260</v>
      </c>
      <c r="AS2" s="27" t="s">
        <v>261</v>
      </c>
    </row>
    <row r="3" spans="1:91" ht="15">
      <c r="A3" s="18" t="s">
        <v>51</v>
      </c>
      <c r="B3" s="17" t="s">
        <v>223</v>
      </c>
      <c r="D3" s="18" t="s">
        <v>51</v>
      </c>
      <c r="E3" s="17" t="s">
        <v>224</v>
      </c>
      <c r="G3" s="18" t="s">
        <v>51</v>
      </c>
      <c r="H3" s="17" t="s">
        <v>224</v>
      </c>
      <c r="J3" s="18" t="s">
        <v>51</v>
      </c>
      <c r="K3" s="17" t="s">
        <v>112</v>
      </c>
      <c r="L3" s="17" t="s">
        <v>224</v>
      </c>
      <c r="M3" s="17" t="s">
        <v>225</v>
      </c>
      <c r="N3" s="17" t="s">
        <v>226</v>
      </c>
      <c r="P3" s="17" t="s">
        <v>224</v>
      </c>
      <c r="R3" s="18" t="s">
        <v>51</v>
      </c>
      <c r="S3" s="17" t="s">
        <v>112</v>
      </c>
      <c r="T3" s="17" t="s">
        <v>224</v>
      </c>
      <c r="U3" s="17" t="s">
        <v>225</v>
      </c>
      <c r="V3" s="17" t="s">
        <v>226</v>
      </c>
      <c r="X3" s="18" t="s">
        <v>51</v>
      </c>
      <c r="Y3" s="17" t="s">
        <v>112</v>
      </c>
      <c r="Z3" s="17" t="s">
        <v>54</v>
      </c>
      <c r="AA3" s="17" t="s">
        <v>108</v>
      </c>
      <c r="AB3" s="17" t="s">
        <v>109</v>
      </c>
      <c r="AD3" s="18" t="s">
        <v>51</v>
      </c>
      <c r="AE3" s="17" t="s">
        <v>112</v>
      </c>
      <c r="AF3" s="17" t="s">
        <v>224</v>
      </c>
      <c r="AG3" s="17" t="s">
        <v>225</v>
      </c>
      <c r="AH3" s="17" t="s">
        <v>226</v>
      </c>
      <c r="AI3"/>
      <c r="AJ3" s="19" t="s">
        <v>381</v>
      </c>
      <c r="AK3" s="28">
        <v>1</v>
      </c>
      <c r="AL3" s="28">
        <v>5603.9</v>
      </c>
      <c r="AM3" s="28">
        <v>1008.7</v>
      </c>
      <c r="AN3" s="28">
        <v>6612.6</v>
      </c>
      <c r="AQ3" s="27" t="s">
        <v>262</v>
      </c>
      <c r="AR3" s="27" t="s">
        <v>263</v>
      </c>
      <c r="AS3" s="27" t="s">
        <v>264</v>
      </c>
      <c r="BN3" s="17" t="s">
        <v>2298</v>
      </c>
    </row>
    <row r="4" spans="1:91" ht="15">
      <c r="A4" s="19" t="s">
        <v>29</v>
      </c>
      <c r="B4" s="28">
        <v>456</v>
      </c>
      <c r="D4" s="19" t="s">
        <v>29</v>
      </c>
      <c r="E4" s="28">
        <v>361689.58999999985</v>
      </c>
      <c r="G4" s="19" t="s">
        <v>197</v>
      </c>
      <c r="H4" s="28">
        <v>116320.71999999993</v>
      </c>
      <c r="J4" s="19" t="s">
        <v>33</v>
      </c>
      <c r="K4" s="28">
        <v>4</v>
      </c>
      <c r="L4" s="28">
        <v>4469.7</v>
      </c>
      <c r="M4" s="28">
        <v>804.55</v>
      </c>
      <c r="N4" s="28">
        <v>5274.25</v>
      </c>
      <c r="P4" s="28">
        <v>361701.78999999986</v>
      </c>
      <c r="R4" s="19" t="s">
        <v>1220</v>
      </c>
      <c r="S4" s="28">
        <v>289</v>
      </c>
      <c r="T4" s="28">
        <v>235069.6700000001</v>
      </c>
      <c r="U4" s="28">
        <v>42312.450000000004</v>
      </c>
      <c r="V4" s="28">
        <v>277382.11999999994</v>
      </c>
      <c r="X4" s="19" t="s">
        <v>1220</v>
      </c>
      <c r="Y4" s="28">
        <v>289</v>
      </c>
      <c r="Z4" s="28">
        <v>235069.67000000004</v>
      </c>
      <c r="AA4" s="28">
        <v>42312.449999999983</v>
      </c>
      <c r="AB4" s="28">
        <v>277382.11999999988</v>
      </c>
      <c r="AD4" s="19" t="s">
        <v>1916</v>
      </c>
      <c r="AE4" s="28">
        <v>1</v>
      </c>
      <c r="AF4" s="28">
        <v>5603.9</v>
      </c>
      <c r="AG4" s="28">
        <v>1008.7</v>
      </c>
      <c r="AH4" s="28">
        <v>6612.6</v>
      </c>
      <c r="AI4"/>
      <c r="AJ4" s="19" t="s">
        <v>377</v>
      </c>
      <c r="AK4" s="28">
        <v>1</v>
      </c>
      <c r="AL4" s="28">
        <v>317.5</v>
      </c>
      <c r="AM4" s="28">
        <v>57.15</v>
      </c>
      <c r="AN4" s="28">
        <v>374.65</v>
      </c>
      <c r="AQ4" s="27" t="s">
        <v>265</v>
      </c>
      <c r="AR4" s="27" t="s">
        <v>266</v>
      </c>
      <c r="AS4" s="27" t="s">
        <v>267</v>
      </c>
    </row>
    <row r="5" spans="1:91" ht="15">
      <c r="A5" s="19" t="s">
        <v>274</v>
      </c>
      <c r="B5" s="28">
        <v>1</v>
      </c>
      <c r="D5" s="19" t="s">
        <v>274</v>
      </c>
      <c r="E5" s="28">
        <v>12.2</v>
      </c>
      <c r="G5" s="19" t="s">
        <v>182</v>
      </c>
      <c r="H5" s="28">
        <v>940.29</v>
      </c>
      <c r="J5" s="19" t="s">
        <v>34</v>
      </c>
      <c r="K5" s="28">
        <v>14</v>
      </c>
      <c r="L5" s="28">
        <v>15519.659999999998</v>
      </c>
      <c r="M5" s="28">
        <v>2793.5299999999997</v>
      </c>
      <c r="N5" s="28">
        <v>18313.190000000002</v>
      </c>
      <c r="R5" s="23">
        <v>45660</v>
      </c>
      <c r="S5" s="28">
        <v>23</v>
      </c>
      <c r="T5" s="28">
        <v>32704.91</v>
      </c>
      <c r="U5" s="28">
        <v>5886.9000000000005</v>
      </c>
      <c r="V5" s="28">
        <v>38591.81</v>
      </c>
      <c r="X5" s="23">
        <v>45660</v>
      </c>
      <c r="Y5" s="28">
        <v>23</v>
      </c>
      <c r="Z5" s="28">
        <v>32704.91</v>
      </c>
      <c r="AA5" s="28">
        <v>5886.9000000000015</v>
      </c>
      <c r="AB5" s="28">
        <v>38591.81</v>
      </c>
      <c r="AD5" s="19" t="s">
        <v>1914</v>
      </c>
      <c r="AE5" s="28">
        <v>1</v>
      </c>
      <c r="AF5" s="28">
        <v>317.5</v>
      </c>
      <c r="AG5" s="28">
        <v>57.15</v>
      </c>
      <c r="AH5" s="28">
        <v>374.65</v>
      </c>
      <c r="AI5"/>
      <c r="AJ5" s="19" t="s">
        <v>375</v>
      </c>
      <c r="AK5" s="28">
        <v>1</v>
      </c>
      <c r="AL5" s="28">
        <v>482.54</v>
      </c>
      <c r="AM5" s="28">
        <v>86.86</v>
      </c>
      <c r="AN5" s="28">
        <v>569.4</v>
      </c>
      <c r="AQ5" s="27"/>
      <c r="AR5" s="27"/>
      <c r="AS5" s="27"/>
    </row>
    <row r="6" spans="1:91" ht="15">
      <c r="A6" s="19" t="s">
        <v>52</v>
      </c>
      <c r="B6" s="28">
        <v>457</v>
      </c>
      <c r="D6" s="19" t="s">
        <v>52</v>
      </c>
      <c r="E6" s="28">
        <v>361701.78999999986</v>
      </c>
      <c r="G6" s="19" t="s">
        <v>168</v>
      </c>
      <c r="H6" s="28">
        <v>5603.9</v>
      </c>
      <c r="J6" s="19" t="s">
        <v>32</v>
      </c>
      <c r="K6" s="28">
        <v>15</v>
      </c>
      <c r="L6" s="28">
        <v>23181.239999999998</v>
      </c>
      <c r="M6" s="28">
        <v>4172.619999999999</v>
      </c>
      <c r="N6" s="28">
        <v>27353.859999999997</v>
      </c>
      <c r="R6" s="23">
        <v>45663</v>
      </c>
      <c r="S6" s="28">
        <v>51</v>
      </c>
      <c r="T6" s="28">
        <v>22695.16</v>
      </c>
      <c r="U6" s="28">
        <v>4085.1100000000006</v>
      </c>
      <c r="V6" s="28">
        <v>26780.27</v>
      </c>
      <c r="X6" s="23">
        <v>45663</v>
      </c>
      <c r="Y6" s="28">
        <v>51</v>
      </c>
      <c r="Z6" s="28">
        <v>22695.160000000003</v>
      </c>
      <c r="AA6" s="28">
        <v>4085.1099999999997</v>
      </c>
      <c r="AB6" s="28">
        <v>26780.27</v>
      </c>
      <c r="AD6" s="19" t="s">
        <v>1913</v>
      </c>
      <c r="AE6" s="28">
        <v>1</v>
      </c>
      <c r="AF6" s="28">
        <v>482.54</v>
      </c>
      <c r="AG6" s="28">
        <v>86.86</v>
      </c>
      <c r="AH6" s="28">
        <v>569.4</v>
      </c>
      <c r="AI6"/>
      <c r="AJ6" s="19" t="s">
        <v>370</v>
      </c>
      <c r="AK6" s="28">
        <v>1</v>
      </c>
      <c r="AL6" s="28">
        <v>488.81</v>
      </c>
      <c r="AM6" s="28">
        <v>87.99</v>
      </c>
      <c r="AN6" s="28">
        <v>576.79999999999995</v>
      </c>
      <c r="AQ6" s="27"/>
      <c r="AR6" s="27"/>
      <c r="AS6" s="27"/>
      <c r="BN6" s="17" t="s">
        <v>2299</v>
      </c>
      <c r="BQ6" s="17" t="s">
        <v>2300</v>
      </c>
      <c r="BT6" s="17" t="s">
        <v>2301</v>
      </c>
      <c r="BW6" s="17" t="s">
        <v>2302</v>
      </c>
      <c r="BZ6" s="17" t="s">
        <v>2305</v>
      </c>
      <c r="CC6" s="17" t="s">
        <v>2306</v>
      </c>
      <c r="CF6" s="17" t="s">
        <v>2307</v>
      </c>
      <c r="CI6" s="30" t="s">
        <v>2308</v>
      </c>
      <c r="CL6" s="30" t="s">
        <v>2309</v>
      </c>
    </row>
    <row r="7" spans="1:91" ht="15">
      <c r="G7" s="19" t="s">
        <v>222</v>
      </c>
      <c r="H7" s="28">
        <v>107.37</v>
      </c>
      <c r="J7" s="19" t="s">
        <v>35</v>
      </c>
      <c r="K7" s="28">
        <v>1</v>
      </c>
      <c r="L7" s="28">
        <v>400</v>
      </c>
      <c r="M7" s="28">
        <v>72</v>
      </c>
      <c r="N7" s="28">
        <v>472</v>
      </c>
      <c r="R7" s="23">
        <v>45665</v>
      </c>
      <c r="S7" s="28">
        <v>44</v>
      </c>
      <c r="T7" s="28">
        <v>54146.23</v>
      </c>
      <c r="U7" s="28">
        <v>9746.3000000000011</v>
      </c>
      <c r="V7" s="28">
        <v>63892.53</v>
      </c>
      <c r="X7" s="23">
        <v>45665</v>
      </c>
      <c r="Y7" s="28">
        <v>44</v>
      </c>
      <c r="Z7" s="28">
        <v>54146.23000000001</v>
      </c>
      <c r="AA7" s="28">
        <v>9746.3000000000029</v>
      </c>
      <c r="AB7" s="28">
        <v>63892.529999999992</v>
      </c>
      <c r="AD7" s="19" t="s">
        <v>1910</v>
      </c>
      <c r="AE7" s="28">
        <v>1</v>
      </c>
      <c r="AF7" s="28">
        <v>488.81</v>
      </c>
      <c r="AG7" s="28">
        <v>87.99</v>
      </c>
      <c r="AH7" s="28">
        <v>576.79999999999995</v>
      </c>
      <c r="AI7"/>
      <c r="AJ7" s="19" t="s">
        <v>368</v>
      </c>
      <c r="AK7" s="28">
        <v>1</v>
      </c>
      <c r="AL7" s="28">
        <v>708.9</v>
      </c>
      <c r="AM7" s="28">
        <v>127.6</v>
      </c>
      <c r="AN7" s="28">
        <v>836.5</v>
      </c>
      <c r="AQ7" s="27"/>
      <c r="AR7" s="27"/>
      <c r="AS7" s="27"/>
    </row>
    <row r="8" spans="1:91" ht="15">
      <c r="G8" s="19" t="s">
        <v>220</v>
      </c>
      <c r="H8" s="28">
        <v>400</v>
      </c>
      <c r="J8" s="19" t="s">
        <v>36</v>
      </c>
      <c r="K8" s="28">
        <v>3</v>
      </c>
      <c r="L8" s="28">
        <v>158.24</v>
      </c>
      <c r="M8" s="28">
        <v>28.49</v>
      </c>
      <c r="N8" s="28">
        <v>186.73000000000002</v>
      </c>
      <c r="R8" s="23">
        <v>45666</v>
      </c>
      <c r="S8" s="28">
        <v>2</v>
      </c>
      <c r="T8" s="28">
        <v>1946.5</v>
      </c>
      <c r="U8" s="28">
        <v>350.37</v>
      </c>
      <c r="V8" s="28">
        <v>2296.87</v>
      </c>
      <c r="X8" s="23">
        <v>45666</v>
      </c>
      <c r="Y8" s="28">
        <v>2</v>
      </c>
      <c r="Z8" s="28">
        <v>1946.5</v>
      </c>
      <c r="AA8" s="28">
        <v>350.37</v>
      </c>
      <c r="AB8" s="28">
        <v>2296.87</v>
      </c>
      <c r="AD8" s="19" t="s">
        <v>1909</v>
      </c>
      <c r="AE8" s="28">
        <v>1</v>
      </c>
      <c r="AF8" s="28">
        <v>708.9</v>
      </c>
      <c r="AG8" s="28">
        <v>127.6</v>
      </c>
      <c r="AH8" s="28">
        <v>836.5</v>
      </c>
      <c r="AI8"/>
      <c r="AJ8" s="19" t="s">
        <v>367</v>
      </c>
      <c r="AK8" s="28">
        <v>1</v>
      </c>
      <c r="AL8" s="28">
        <v>268.52999999999997</v>
      </c>
      <c r="AM8" s="28">
        <v>48.34</v>
      </c>
      <c r="AN8" s="28">
        <v>316.87</v>
      </c>
      <c r="AQ8" s="27"/>
      <c r="AR8" s="27"/>
      <c r="AS8" s="27"/>
      <c r="BN8" s="18" t="s">
        <v>51</v>
      </c>
      <c r="BO8" s="17" t="s">
        <v>2304</v>
      </c>
      <c r="BP8"/>
      <c r="BQ8" s="18" t="s">
        <v>51</v>
      </c>
      <c r="BR8" s="17" t="s">
        <v>2304</v>
      </c>
      <c r="BS8"/>
      <c r="BT8" s="18" t="s">
        <v>51</v>
      </c>
      <c r="BU8" s="17" t="s">
        <v>2304</v>
      </c>
      <c r="BV8"/>
      <c r="BW8" s="18" t="s">
        <v>51</v>
      </c>
      <c r="BX8" s="17" t="s">
        <v>2303</v>
      </c>
      <c r="BY8"/>
      <c r="BZ8" s="18" t="s">
        <v>51</v>
      </c>
      <c r="CA8" s="17" t="s">
        <v>2303</v>
      </c>
      <c r="CB8"/>
      <c r="CC8" s="18" t="s">
        <v>51</v>
      </c>
      <c r="CD8" s="17" t="s">
        <v>2310</v>
      </c>
      <c r="CF8" s="18" t="s">
        <v>51</v>
      </c>
      <c r="CG8" s="17" t="s">
        <v>2304</v>
      </c>
      <c r="CH8"/>
      <c r="CI8" s="18" t="s">
        <v>51</v>
      </c>
      <c r="CJ8" s="17" t="s">
        <v>2304</v>
      </c>
      <c r="CL8" s="18" t="s">
        <v>51</v>
      </c>
      <c r="CM8" s="17" t="s">
        <v>2303</v>
      </c>
    </row>
    <row r="9" spans="1:91" ht="15">
      <c r="G9" s="19" t="s">
        <v>218</v>
      </c>
      <c r="H9" s="28">
        <v>1241</v>
      </c>
      <c r="J9" s="19" t="s">
        <v>273</v>
      </c>
      <c r="K9" s="28">
        <v>2</v>
      </c>
      <c r="L9" s="28">
        <v>53.34</v>
      </c>
      <c r="M9" s="28">
        <v>9.61</v>
      </c>
      <c r="N9" s="28">
        <v>62.949999999999996</v>
      </c>
      <c r="R9" s="23">
        <v>45672</v>
      </c>
      <c r="S9" s="28">
        <v>10</v>
      </c>
      <c r="T9" s="28">
        <v>2958.6800000000003</v>
      </c>
      <c r="U9" s="28">
        <v>532.56999999999994</v>
      </c>
      <c r="V9" s="28">
        <v>3491.2500000000005</v>
      </c>
      <c r="X9" s="23">
        <v>45672</v>
      </c>
      <c r="Y9" s="28">
        <v>10</v>
      </c>
      <c r="Z9" s="28">
        <v>2958.6799999999994</v>
      </c>
      <c r="AA9" s="28">
        <v>532.56999999999994</v>
      </c>
      <c r="AB9" s="28">
        <v>3491.2499999999995</v>
      </c>
      <c r="AD9" s="19" t="s">
        <v>1908</v>
      </c>
      <c r="AE9" s="28">
        <v>1</v>
      </c>
      <c r="AF9" s="28">
        <v>268.52999999999997</v>
      </c>
      <c r="AG9" s="28">
        <v>48.34</v>
      </c>
      <c r="AH9" s="28">
        <v>316.87</v>
      </c>
      <c r="AI9"/>
      <c r="AJ9" s="19" t="s">
        <v>364</v>
      </c>
      <c r="AK9" s="28">
        <v>1</v>
      </c>
      <c r="AL9" s="28">
        <v>375.53</v>
      </c>
      <c r="AM9" s="28">
        <v>67.599999999999994</v>
      </c>
      <c r="AN9" s="28">
        <v>443.13</v>
      </c>
      <c r="AQ9" s="27"/>
      <c r="AR9" s="27"/>
      <c r="AS9" s="27"/>
      <c r="BN9" s="19" t="s">
        <v>1228</v>
      </c>
      <c r="BO9" s="28">
        <v>43</v>
      </c>
      <c r="BP9"/>
      <c r="BQ9" s="19" t="s">
        <v>1220</v>
      </c>
      <c r="BR9" s="28">
        <v>289</v>
      </c>
      <c r="BS9"/>
      <c r="BT9" s="19">
        <v>1106</v>
      </c>
      <c r="BU9" s="28">
        <v>457</v>
      </c>
      <c r="BV9"/>
      <c r="BW9" s="19" t="s">
        <v>1408</v>
      </c>
      <c r="BX9" s="28">
        <v>13</v>
      </c>
      <c r="BY9"/>
      <c r="BZ9" s="19">
        <v>13</v>
      </c>
      <c r="CA9" s="28">
        <v>1</v>
      </c>
      <c r="CB9"/>
      <c r="CC9" s="19">
        <v>2897</v>
      </c>
      <c r="CD9" s="28">
        <v>2</v>
      </c>
      <c r="CF9" s="19">
        <v>2</v>
      </c>
      <c r="CG9" s="28">
        <v>457</v>
      </c>
      <c r="CH9"/>
      <c r="CI9" s="19" t="s">
        <v>239</v>
      </c>
      <c r="CJ9" s="28">
        <v>456</v>
      </c>
      <c r="CL9" s="19" t="s">
        <v>53</v>
      </c>
      <c r="CM9" s="28"/>
    </row>
    <row r="10" spans="1:91" ht="15">
      <c r="D10" s="18" t="s">
        <v>51</v>
      </c>
      <c r="E10" s="17" t="s">
        <v>225</v>
      </c>
      <c r="G10" s="19" t="s">
        <v>1227</v>
      </c>
      <c r="H10" s="28">
        <v>82288.300000000017</v>
      </c>
      <c r="J10" s="19" t="s">
        <v>278</v>
      </c>
      <c r="K10" s="28">
        <v>4</v>
      </c>
      <c r="L10" s="28">
        <v>5829.8099999999995</v>
      </c>
      <c r="M10" s="28">
        <v>1049.3699999999999</v>
      </c>
      <c r="N10" s="28">
        <v>6879.18</v>
      </c>
      <c r="R10" s="23">
        <v>45673</v>
      </c>
      <c r="S10" s="28">
        <v>4</v>
      </c>
      <c r="T10" s="28">
        <v>2879.66</v>
      </c>
      <c r="U10" s="28">
        <v>518.34</v>
      </c>
      <c r="V10" s="28">
        <v>3398</v>
      </c>
      <c r="X10" s="23">
        <v>45673</v>
      </c>
      <c r="Y10" s="28">
        <v>4</v>
      </c>
      <c r="Z10" s="28">
        <v>2879.66</v>
      </c>
      <c r="AA10" s="28">
        <v>518.34</v>
      </c>
      <c r="AB10" s="28">
        <v>3398</v>
      </c>
      <c r="AD10" s="19" t="s">
        <v>1907</v>
      </c>
      <c r="AE10" s="28">
        <v>1</v>
      </c>
      <c r="AF10" s="28">
        <v>375.53</v>
      </c>
      <c r="AG10" s="28">
        <v>67.599999999999994</v>
      </c>
      <c r="AH10" s="28">
        <v>443.13</v>
      </c>
      <c r="AI10"/>
      <c r="AJ10" s="19" t="s">
        <v>363</v>
      </c>
      <c r="AK10" s="28">
        <v>1</v>
      </c>
      <c r="AL10" s="28">
        <v>1163.56</v>
      </c>
      <c r="AM10" s="28">
        <v>209.44</v>
      </c>
      <c r="AN10" s="28">
        <v>1373</v>
      </c>
      <c r="AQ10" s="27"/>
      <c r="AR10" s="27"/>
      <c r="AS10" s="27"/>
      <c r="BN10" s="19" t="s">
        <v>1221</v>
      </c>
      <c r="BO10" s="28">
        <v>30</v>
      </c>
      <c r="BP10"/>
      <c r="BQ10" s="19" t="s">
        <v>56</v>
      </c>
      <c r="BR10" s="28">
        <v>95</v>
      </c>
      <c r="BS10"/>
      <c r="BT10" s="19" t="s">
        <v>52</v>
      </c>
      <c r="BU10" s="28">
        <v>457</v>
      </c>
      <c r="BV10"/>
      <c r="BW10" s="19" t="s">
        <v>1346</v>
      </c>
      <c r="BX10" s="28">
        <v>299</v>
      </c>
      <c r="BY10"/>
      <c r="BZ10" s="19">
        <v>870</v>
      </c>
      <c r="CA10" s="28">
        <v>95</v>
      </c>
      <c r="CB10"/>
      <c r="CC10" s="19">
        <v>2898</v>
      </c>
      <c r="CD10" s="28">
        <v>3</v>
      </c>
      <c r="CF10" s="19" t="s">
        <v>52</v>
      </c>
      <c r="CG10" s="28">
        <v>457</v>
      </c>
      <c r="CH10"/>
      <c r="CI10" s="19" t="s">
        <v>1224</v>
      </c>
      <c r="CJ10" s="28">
        <v>1</v>
      </c>
      <c r="CL10" s="19" t="s">
        <v>52</v>
      </c>
      <c r="CM10" s="28"/>
    </row>
    <row r="11" spans="1:91" ht="15">
      <c r="D11" s="19" t="s">
        <v>29</v>
      </c>
      <c r="E11" s="28">
        <v>65104.069999999971</v>
      </c>
      <c r="G11" s="19" t="s">
        <v>1231</v>
      </c>
      <c r="H11" s="28">
        <v>104.5</v>
      </c>
      <c r="J11" s="19" t="s">
        <v>1255</v>
      </c>
      <c r="K11" s="28">
        <v>2</v>
      </c>
      <c r="L11" s="28">
        <v>44.239999999999995</v>
      </c>
      <c r="M11" s="28">
        <v>7.97</v>
      </c>
      <c r="N11" s="28">
        <v>52.21</v>
      </c>
      <c r="R11" s="23">
        <v>45680</v>
      </c>
      <c r="S11" s="28">
        <v>81</v>
      </c>
      <c r="T11" s="28">
        <v>65804.219999999987</v>
      </c>
      <c r="U11" s="28">
        <v>11844.71</v>
      </c>
      <c r="V11" s="28">
        <v>77648.930000000008</v>
      </c>
      <c r="X11" s="23">
        <v>45680</v>
      </c>
      <c r="Y11" s="28">
        <v>81</v>
      </c>
      <c r="Z11" s="28">
        <v>65804.219999999987</v>
      </c>
      <c r="AA11" s="28">
        <v>11844.710000000003</v>
      </c>
      <c r="AB11" s="28">
        <v>77648.930000000022</v>
      </c>
      <c r="AD11" s="19" t="s">
        <v>1906</v>
      </c>
      <c r="AE11" s="28">
        <v>1</v>
      </c>
      <c r="AF11" s="28">
        <v>1163.56</v>
      </c>
      <c r="AG11" s="28">
        <v>209.44</v>
      </c>
      <c r="AH11" s="28">
        <v>1373</v>
      </c>
      <c r="AI11"/>
      <c r="AJ11" s="19" t="s">
        <v>362</v>
      </c>
      <c r="AK11" s="28">
        <v>1</v>
      </c>
      <c r="AL11" s="28">
        <v>1695.17</v>
      </c>
      <c r="AM11" s="28">
        <v>305.13</v>
      </c>
      <c r="AN11" s="28">
        <v>2000.3</v>
      </c>
      <c r="BN11" s="19" t="s">
        <v>1349</v>
      </c>
      <c r="BO11" s="28">
        <v>123</v>
      </c>
      <c r="BP11"/>
      <c r="BQ11" s="19" t="s">
        <v>245</v>
      </c>
      <c r="BR11" s="28">
        <v>73</v>
      </c>
      <c r="BS11"/>
      <c r="BT11"/>
      <c r="BU11"/>
      <c r="BV11"/>
      <c r="BW11" s="19" t="s">
        <v>1396</v>
      </c>
      <c r="BX11" s="28">
        <v>7</v>
      </c>
      <c r="BY11"/>
      <c r="BZ11" s="19">
        <v>871</v>
      </c>
      <c r="CA11" s="28">
        <v>14</v>
      </c>
      <c r="CB11"/>
      <c r="CC11" s="19">
        <v>2899</v>
      </c>
      <c r="CD11" s="28">
        <v>3</v>
      </c>
      <c r="CF11"/>
      <c r="CG11"/>
      <c r="CH11"/>
      <c r="CI11" s="19" t="s">
        <v>52</v>
      </c>
      <c r="CJ11" s="28">
        <v>457</v>
      </c>
      <c r="CL11"/>
      <c r="CM11"/>
    </row>
    <row r="12" spans="1:91" ht="15">
      <c r="D12" s="19" t="s">
        <v>274</v>
      </c>
      <c r="E12" s="28">
        <v>2.2000000000000002</v>
      </c>
      <c r="G12" s="19" t="s">
        <v>1235</v>
      </c>
      <c r="H12" s="28">
        <v>254.5</v>
      </c>
      <c r="J12" s="19" t="s">
        <v>314</v>
      </c>
      <c r="K12" s="28">
        <v>10</v>
      </c>
      <c r="L12" s="28">
        <v>7585.7699999999995</v>
      </c>
      <c r="M12" s="28">
        <v>1365.4299999999998</v>
      </c>
      <c r="N12" s="28">
        <v>8951.2000000000007</v>
      </c>
      <c r="R12" s="23">
        <v>45684</v>
      </c>
      <c r="S12" s="28">
        <v>1</v>
      </c>
      <c r="T12" s="28">
        <v>800</v>
      </c>
      <c r="U12" s="28">
        <v>144</v>
      </c>
      <c r="V12" s="28">
        <v>944</v>
      </c>
      <c r="X12" s="23">
        <v>45684</v>
      </c>
      <c r="Y12" s="28">
        <v>1</v>
      </c>
      <c r="Z12" s="28">
        <v>800</v>
      </c>
      <c r="AA12" s="28">
        <v>144</v>
      </c>
      <c r="AB12" s="28">
        <v>944</v>
      </c>
      <c r="AD12" s="19" t="s">
        <v>1905</v>
      </c>
      <c r="AE12" s="28">
        <v>1</v>
      </c>
      <c r="AF12" s="28">
        <v>1695.17</v>
      </c>
      <c r="AG12" s="28">
        <v>305.13</v>
      </c>
      <c r="AH12" s="28">
        <v>2000.3</v>
      </c>
      <c r="AI12"/>
      <c r="AJ12" s="19" t="s">
        <v>361</v>
      </c>
      <c r="AK12" s="28">
        <v>1</v>
      </c>
      <c r="AL12" s="28">
        <v>423.73</v>
      </c>
      <c r="AM12" s="28">
        <v>76.27</v>
      </c>
      <c r="AN12" s="28">
        <v>500</v>
      </c>
      <c r="BN12" s="19" t="s">
        <v>221</v>
      </c>
      <c r="BO12" s="28">
        <v>248</v>
      </c>
      <c r="BP12"/>
      <c r="BQ12" s="19" t="s">
        <v>52</v>
      </c>
      <c r="BR12" s="28">
        <v>457</v>
      </c>
      <c r="BS12"/>
      <c r="BT12"/>
      <c r="BU12"/>
      <c r="BV12"/>
      <c r="BW12" s="19" t="s">
        <v>1490</v>
      </c>
      <c r="BX12" s="28">
        <v>1</v>
      </c>
      <c r="BY12"/>
      <c r="BZ12" s="19">
        <v>872</v>
      </c>
      <c r="CA12" s="28">
        <v>1</v>
      </c>
      <c r="CB12"/>
      <c r="CC12" s="19">
        <v>2953</v>
      </c>
      <c r="CD12" s="28">
        <v>9</v>
      </c>
      <c r="CF12"/>
      <c r="CG12"/>
      <c r="CH12"/>
    </row>
    <row r="13" spans="1:91" ht="15">
      <c r="D13" s="19" t="s">
        <v>52</v>
      </c>
      <c r="E13" s="28">
        <v>65106.269999999968</v>
      </c>
      <c r="G13" s="19" t="s">
        <v>1238</v>
      </c>
      <c r="H13" s="28">
        <v>150</v>
      </c>
      <c r="J13" s="19" t="s">
        <v>288</v>
      </c>
      <c r="K13" s="28">
        <v>4</v>
      </c>
      <c r="L13" s="28">
        <v>2091.73</v>
      </c>
      <c r="M13" s="28">
        <v>376.52</v>
      </c>
      <c r="N13" s="28">
        <v>2468.25</v>
      </c>
      <c r="R13" s="23">
        <v>45685</v>
      </c>
      <c r="S13" s="28">
        <v>31</v>
      </c>
      <c r="T13" s="28">
        <v>18261.910000000003</v>
      </c>
      <c r="U13" s="28">
        <v>3287.1400000000008</v>
      </c>
      <c r="V13" s="28">
        <v>21549.05</v>
      </c>
      <c r="X13" s="23">
        <v>45685</v>
      </c>
      <c r="Y13" s="28">
        <v>31</v>
      </c>
      <c r="Z13" s="28">
        <v>18261.91</v>
      </c>
      <c r="AA13" s="28">
        <v>3287.1400000000008</v>
      </c>
      <c r="AB13" s="28">
        <v>21549.049999999996</v>
      </c>
      <c r="AD13" s="19" t="s">
        <v>1904</v>
      </c>
      <c r="AE13" s="28">
        <v>1</v>
      </c>
      <c r="AF13" s="28">
        <v>423.73</v>
      </c>
      <c r="AG13" s="28">
        <v>76.27</v>
      </c>
      <c r="AH13" s="28">
        <v>500</v>
      </c>
      <c r="AI13"/>
      <c r="AJ13" s="19" t="s">
        <v>359</v>
      </c>
      <c r="AK13" s="28">
        <v>1</v>
      </c>
      <c r="AL13" s="28">
        <v>75</v>
      </c>
      <c r="AM13" s="28">
        <v>13.5</v>
      </c>
      <c r="AN13" s="28">
        <v>88.5</v>
      </c>
      <c r="BN13" s="19" t="s">
        <v>217</v>
      </c>
      <c r="BO13" s="28">
        <v>13</v>
      </c>
      <c r="BP13"/>
      <c r="BQ13"/>
      <c r="BR13"/>
      <c r="BS13"/>
      <c r="BT13"/>
      <c r="BU13"/>
      <c r="BV13"/>
      <c r="BW13" s="19" t="s">
        <v>1798</v>
      </c>
      <c r="BX13" s="28">
        <v>1</v>
      </c>
      <c r="BY13"/>
      <c r="BZ13" s="19">
        <v>873</v>
      </c>
      <c r="CA13" s="28">
        <v>1</v>
      </c>
      <c r="CB13"/>
      <c r="CC13" s="19">
        <v>3029</v>
      </c>
      <c r="CD13" s="28">
        <v>2</v>
      </c>
      <c r="CF13"/>
      <c r="CG13"/>
      <c r="CH13"/>
    </row>
    <row r="14" spans="1:91" ht="15">
      <c r="G14" s="19" t="s">
        <v>1241</v>
      </c>
      <c r="H14" s="28">
        <v>1600</v>
      </c>
      <c r="J14" s="19" t="s">
        <v>323</v>
      </c>
      <c r="K14" s="28">
        <v>8</v>
      </c>
      <c r="L14" s="28">
        <v>13481.380000000001</v>
      </c>
      <c r="M14" s="28">
        <v>2426.6499999999996</v>
      </c>
      <c r="N14" s="28">
        <v>15908.030000000002</v>
      </c>
      <c r="R14" s="23">
        <v>45686</v>
      </c>
      <c r="S14" s="28">
        <v>29</v>
      </c>
      <c r="T14" s="28">
        <v>30888.679999999997</v>
      </c>
      <c r="U14" s="28">
        <v>5559.9400000000014</v>
      </c>
      <c r="V14" s="28">
        <v>36448.620000000003</v>
      </c>
      <c r="X14" s="23">
        <v>45686</v>
      </c>
      <c r="Y14" s="28">
        <v>29</v>
      </c>
      <c r="Z14" s="28">
        <v>30888.679999999997</v>
      </c>
      <c r="AA14" s="28">
        <v>5559.94</v>
      </c>
      <c r="AB14" s="28">
        <v>36448.620000000003</v>
      </c>
      <c r="AD14" s="19" t="s">
        <v>1903</v>
      </c>
      <c r="AE14" s="28">
        <v>1</v>
      </c>
      <c r="AF14" s="28">
        <v>75</v>
      </c>
      <c r="AG14" s="28">
        <v>13.5</v>
      </c>
      <c r="AH14" s="28">
        <v>88.5</v>
      </c>
      <c r="AI14"/>
      <c r="AJ14" s="19" t="s">
        <v>353</v>
      </c>
      <c r="AK14" s="28">
        <v>1</v>
      </c>
      <c r="AL14" s="28">
        <v>900</v>
      </c>
      <c r="AM14" s="28">
        <v>162</v>
      </c>
      <c r="AN14" s="28">
        <v>1062</v>
      </c>
      <c r="BN14" s="19" t="s">
        <v>52</v>
      </c>
      <c r="BO14" s="28">
        <v>457</v>
      </c>
      <c r="BP14"/>
      <c r="BQ14"/>
      <c r="BR14"/>
      <c r="BS14"/>
      <c r="BT14"/>
      <c r="BU14"/>
      <c r="BV14"/>
      <c r="BW14" s="19" t="s">
        <v>1477</v>
      </c>
      <c r="BX14" s="28">
        <v>3</v>
      </c>
      <c r="BY14"/>
      <c r="BZ14" s="19">
        <v>874</v>
      </c>
      <c r="CA14" s="28">
        <v>24</v>
      </c>
      <c r="CB14"/>
      <c r="CC14" s="19">
        <v>3030</v>
      </c>
      <c r="CD14" s="28">
        <v>4</v>
      </c>
      <c r="CF14"/>
      <c r="CG14"/>
      <c r="CH14"/>
    </row>
    <row r="15" spans="1:91" ht="15">
      <c r="G15" s="19" t="s">
        <v>1243</v>
      </c>
      <c r="H15" s="28">
        <v>1000</v>
      </c>
      <c r="J15" s="19" t="s">
        <v>294</v>
      </c>
      <c r="K15" s="28">
        <v>9</v>
      </c>
      <c r="L15" s="28">
        <v>6747.0199999999995</v>
      </c>
      <c r="M15" s="28">
        <v>1214.46</v>
      </c>
      <c r="N15" s="28">
        <v>7961.48</v>
      </c>
      <c r="R15" s="23">
        <v>45687</v>
      </c>
      <c r="S15" s="28">
        <v>7</v>
      </c>
      <c r="T15" s="28">
        <v>1380.5900000000001</v>
      </c>
      <c r="U15" s="28">
        <v>248.51</v>
      </c>
      <c r="V15" s="28">
        <v>1629.1000000000001</v>
      </c>
      <c r="X15" s="23">
        <v>45687</v>
      </c>
      <c r="Y15" s="28">
        <v>7</v>
      </c>
      <c r="Z15" s="28">
        <v>1380.5900000000001</v>
      </c>
      <c r="AA15" s="28">
        <v>248.51</v>
      </c>
      <c r="AB15" s="28">
        <v>1629.1000000000001</v>
      </c>
      <c r="AD15" s="19" t="s">
        <v>1897</v>
      </c>
      <c r="AE15" s="28">
        <v>1</v>
      </c>
      <c r="AF15" s="28">
        <v>900</v>
      </c>
      <c r="AG15" s="28">
        <v>162</v>
      </c>
      <c r="AH15" s="28">
        <v>1062</v>
      </c>
      <c r="AI15"/>
      <c r="AJ15" s="19" t="s">
        <v>352</v>
      </c>
      <c r="AK15" s="28">
        <v>1</v>
      </c>
      <c r="AL15" s="28">
        <v>150</v>
      </c>
      <c r="AM15" s="28">
        <v>27</v>
      </c>
      <c r="AN15" s="28">
        <v>177</v>
      </c>
      <c r="BN15"/>
      <c r="BO15"/>
      <c r="BP15"/>
      <c r="BQ15"/>
      <c r="BR15"/>
      <c r="BS15"/>
      <c r="BT15"/>
      <c r="BU15"/>
      <c r="BV15"/>
      <c r="BW15" s="19" t="s">
        <v>1342</v>
      </c>
      <c r="BX15" s="28">
        <v>48</v>
      </c>
      <c r="BY15"/>
      <c r="BZ15" s="19">
        <v>875</v>
      </c>
      <c r="CA15" s="28">
        <v>1</v>
      </c>
      <c r="CB15"/>
      <c r="CC15" s="19">
        <v>3051</v>
      </c>
      <c r="CD15" s="28">
        <v>4</v>
      </c>
      <c r="CF15"/>
      <c r="CG15"/>
      <c r="CH15"/>
    </row>
    <row r="16" spans="1:91" ht="15">
      <c r="G16" s="19" t="s">
        <v>1248</v>
      </c>
      <c r="H16" s="28">
        <v>2701</v>
      </c>
      <c r="J16" s="19" t="s">
        <v>335</v>
      </c>
      <c r="K16" s="28">
        <v>2</v>
      </c>
      <c r="L16" s="28">
        <v>4250.8500000000004</v>
      </c>
      <c r="M16" s="28">
        <v>765.15000000000009</v>
      </c>
      <c r="N16" s="28">
        <v>5016</v>
      </c>
      <c r="R16" s="23">
        <v>45688</v>
      </c>
      <c r="S16" s="28">
        <v>6</v>
      </c>
      <c r="T16" s="28">
        <v>603.13</v>
      </c>
      <c r="U16" s="28">
        <v>108.55999999999999</v>
      </c>
      <c r="V16" s="28">
        <v>711.69</v>
      </c>
      <c r="X16" s="23">
        <v>45688</v>
      </c>
      <c r="Y16" s="28">
        <v>6</v>
      </c>
      <c r="Z16" s="28">
        <v>603.13</v>
      </c>
      <c r="AA16" s="28">
        <v>108.56</v>
      </c>
      <c r="AB16" s="28">
        <v>711.68999999999994</v>
      </c>
      <c r="AD16" s="19" t="s">
        <v>1896</v>
      </c>
      <c r="AE16" s="28">
        <v>1</v>
      </c>
      <c r="AF16" s="28">
        <v>150</v>
      </c>
      <c r="AG16" s="28">
        <v>27</v>
      </c>
      <c r="AH16" s="28">
        <v>177</v>
      </c>
      <c r="AI16"/>
      <c r="AJ16" s="19" t="s">
        <v>351</v>
      </c>
      <c r="AK16" s="28">
        <v>1</v>
      </c>
      <c r="AL16" s="28">
        <v>4676.95</v>
      </c>
      <c r="AM16" s="28">
        <v>841.85</v>
      </c>
      <c r="AN16" s="28">
        <v>5518.8</v>
      </c>
      <c r="BN16"/>
      <c r="BO16"/>
      <c r="BP16"/>
      <c r="BQ16"/>
      <c r="BR16"/>
      <c r="BS16"/>
      <c r="BT16"/>
      <c r="BU16"/>
      <c r="BV16"/>
      <c r="BW16" s="19" t="s">
        <v>1315</v>
      </c>
      <c r="BX16" s="28">
        <v>1</v>
      </c>
      <c r="BY16"/>
      <c r="BZ16" s="19">
        <v>877</v>
      </c>
      <c r="CA16" s="28">
        <v>96</v>
      </c>
      <c r="CB16"/>
      <c r="CC16" s="19">
        <v>3065</v>
      </c>
      <c r="CD16" s="28">
        <v>6</v>
      </c>
      <c r="CF16"/>
      <c r="CG16"/>
      <c r="CH16"/>
    </row>
    <row r="17" spans="4:86" ht="15">
      <c r="D17" s="18" t="s">
        <v>51</v>
      </c>
      <c r="E17" s="17" t="s">
        <v>226</v>
      </c>
      <c r="G17" s="19" t="s">
        <v>1252</v>
      </c>
      <c r="H17" s="28">
        <v>300</v>
      </c>
      <c r="J17" s="19" t="s">
        <v>345</v>
      </c>
      <c r="K17" s="28">
        <v>2</v>
      </c>
      <c r="L17" s="28">
        <v>1207.97</v>
      </c>
      <c r="M17" s="28">
        <v>217.44</v>
      </c>
      <c r="N17" s="28">
        <v>1425.4099999999999</v>
      </c>
      <c r="R17" s="19" t="s">
        <v>56</v>
      </c>
      <c r="S17" s="28">
        <v>95</v>
      </c>
      <c r="T17" s="28">
        <v>43573.29</v>
      </c>
      <c r="U17" s="28">
        <v>7843.2</v>
      </c>
      <c r="V17" s="28">
        <v>51416.49</v>
      </c>
      <c r="X17" s="19" t="s">
        <v>56</v>
      </c>
      <c r="Y17" s="28">
        <v>95</v>
      </c>
      <c r="Z17" s="28">
        <v>43573.29</v>
      </c>
      <c r="AA17" s="28">
        <v>7843.2000000000016</v>
      </c>
      <c r="AB17" s="28">
        <v>51416.489999999991</v>
      </c>
      <c r="AD17" s="19" t="s">
        <v>1895</v>
      </c>
      <c r="AE17" s="28">
        <v>1</v>
      </c>
      <c r="AF17" s="28">
        <v>4676.95</v>
      </c>
      <c r="AG17" s="28">
        <v>841.85</v>
      </c>
      <c r="AH17" s="28">
        <v>5518.8</v>
      </c>
      <c r="AI17"/>
      <c r="AJ17" s="19" t="s">
        <v>350</v>
      </c>
      <c r="AK17" s="28">
        <v>1</v>
      </c>
      <c r="AL17" s="28">
        <v>1271.19</v>
      </c>
      <c r="AM17" s="28">
        <v>228.81</v>
      </c>
      <c r="AN17" s="28">
        <v>1500</v>
      </c>
      <c r="BN17"/>
      <c r="BO17"/>
      <c r="BP17"/>
      <c r="BQ17"/>
      <c r="BR17"/>
      <c r="BS17"/>
      <c r="BT17"/>
      <c r="BU17"/>
      <c r="BV17"/>
      <c r="BW17" s="19" t="s">
        <v>1360</v>
      </c>
      <c r="BX17" s="28">
        <v>12</v>
      </c>
      <c r="BY17"/>
      <c r="BZ17" s="19">
        <v>878</v>
      </c>
      <c r="CA17" s="28">
        <v>14</v>
      </c>
      <c r="CB17"/>
      <c r="CC17" s="19">
        <v>3066</v>
      </c>
      <c r="CD17" s="28">
        <v>4</v>
      </c>
      <c r="CF17"/>
      <c r="CG17"/>
      <c r="CH17"/>
    </row>
    <row r="18" spans="4:86" ht="15">
      <c r="D18" s="19" t="s">
        <v>29</v>
      </c>
      <c r="E18" s="28">
        <v>426793.66000000015</v>
      </c>
      <c r="G18" s="19" t="s">
        <v>1265</v>
      </c>
      <c r="H18" s="28">
        <v>301.89999999999998</v>
      </c>
      <c r="J18" s="19" t="s">
        <v>342</v>
      </c>
      <c r="K18" s="28">
        <v>17</v>
      </c>
      <c r="L18" s="28">
        <v>11764.460000000001</v>
      </c>
      <c r="M18" s="28">
        <v>2117.6099999999997</v>
      </c>
      <c r="N18" s="28">
        <v>13882.07</v>
      </c>
      <c r="R18" s="23">
        <v>45691</v>
      </c>
      <c r="S18" s="28">
        <v>1</v>
      </c>
      <c r="T18" s="28">
        <v>830</v>
      </c>
      <c r="U18" s="28">
        <v>149.4</v>
      </c>
      <c r="V18" s="28">
        <v>979.4</v>
      </c>
      <c r="X18" s="23">
        <v>45691</v>
      </c>
      <c r="Y18" s="28">
        <v>1</v>
      </c>
      <c r="Z18" s="28">
        <v>830</v>
      </c>
      <c r="AA18" s="28">
        <v>149.4</v>
      </c>
      <c r="AB18" s="28">
        <v>979.4</v>
      </c>
      <c r="AD18" s="19" t="s">
        <v>1894</v>
      </c>
      <c r="AE18" s="28">
        <v>1</v>
      </c>
      <c r="AF18" s="28">
        <v>1271.19</v>
      </c>
      <c r="AG18" s="28">
        <v>228.81</v>
      </c>
      <c r="AH18" s="28">
        <v>1500</v>
      </c>
      <c r="AI18"/>
      <c r="AJ18" s="19" t="s">
        <v>347</v>
      </c>
      <c r="AK18" s="28">
        <v>1</v>
      </c>
      <c r="AL18" s="28">
        <v>12.5</v>
      </c>
      <c r="AM18" s="28">
        <v>2.25</v>
      </c>
      <c r="AN18" s="28">
        <v>14.75</v>
      </c>
      <c r="BN18"/>
      <c r="BO18"/>
      <c r="BP18"/>
      <c r="BQ18"/>
      <c r="BR18"/>
      <c r="BS18"/>
      <c r="BT18"/>
      <c r="BU18"/>
      <c r="BV18"/>
      <c r="BW18" s="19" t="s">
        <v>170</v>
      </c>
      <c r="BX18" s="28">
        <v>72</v>
      </c>
      <c r="BY18"/>
      <c r="BZ18" s="19">
        <v>881</v>
      </c>
      <c r="CA18" s="28">
        <v>1</v>
      </c>
      <c r="CB18"/>
      <c r="CC18" s="19">
        <v>3081</v>
      </c>
      <c r="CD18" s="28">
        <v>7</v>
      </c>
      <c r="CF18"/>
      <c r="CG18"/>
      <c r="CH18"/>
    </row>
    <row r="19" spans="4:86" ht="15">
      <c r="D19" s="19" t="s">
        <v>274</v>
      </c>
      <c r="E19" s="28">
        <v>14.4</v>
      </c>
      <c r="G19" s="19" t="s">
        <v>1267</v>
      </c>
      <c r="H19" s="28">
        <v>1400</v>
      </c>
      <c r="J19" s="19" t="s">
        <v>349</v>
      </c>
      <c r="K19" s="28">
        <v>6</v>
      </c>
      <c r="L19" s="28">
        <v>12614.539999999999</v>
      </c>
      <c r="M19" s="28">
        <v>2270.61</v>
      </c>
      <c r="N19" s="28">
        <v>14885.15</v>
      </c>
      <c r="R19" s="23">
        <v>45692</v>
      </c>
      <c r="S19" s="28">
        <v>1</v>
      </c>
      <c r="T19" s="28">
        <v>20</v>
      </c>
      <c r="U19" s="28">
        <v>3.6</v>
      </c>
      <c r="V19" s="28">
        <v>23.6</v>
      </c>
      <c r="X19" s="23">
        <v>45692</v>
      </c>
      <c r="Y19" s="28">
        <v>1</v>
      </c>
      <c r="Z19" s="28">
        <v>20</v>
      </c>
      <c r="AA19" s="28">
        <v>3.6</v>
      </c>
      <c r="AB19" s="28">
        <v>23.6</v>
      </c>
      <c r="AD19" s="19" t="s">
        <v>1893</v>
      </c>
      <c r="AE19" s="28">
        <v>1</v>
      </c>
      <c r="AF19" s="28">
        <v>12.5</v>
      </c>
      <c r="AG19" s="28">
        <v>2.25</v>
      </c>
      <c r="AH19" s="28">
        <v>14.75</v>
      </c>
      <c r="AI19"/>
      <c r="AJ19" s="19" t="s">
        <v>346</v>
      </c>
      <c r="AK19" s="28">
        <v>1</v>
      </c>
      <c r="AL19" s="28">
        <v>556.44000000000005</v>
      </c>
      <c r="AM19" s="28">
        <v>100.16</v>
      </c>
      <c r="AN19" s="28">
        <v>656.6</v>
      </c>
      <c r="BN19"/>
      <c r="BO19"/>
      <c r="BP19"/>
      <c r="BQ19"/>
      <c r="BR19"/>
      <c r="BS19"/>
      <c r="BT19"/>
      <c r="BU19"/>
      <c r="BV19"/>
      <c r="BW19" s="19" t="s">
        <v>52</v>
      </c>
      <c r="BX19" s="28">
        <v>457</v>
      </c>
      <c r="BY19"/>
      <c r="BZ19" s="19">
        <v>882</v>
      </c>
      <c r="CA19" s="28">
        <v>2</v>
      </c>
      <c r="CB19"/>
      <c r="CC19" s="19">
        <v>3092</v>
      </c>
      <c r="CD19" s="28">
        <v>2</v>
      </c>
      <c r="CF19"/>
      <c r="CG19"/>
      <c r="CH19"/>
    </row>
    <row r="20" spans="4:86" ht="15">
      <c r="D20" s="19" t="s">
        <v>52</v>
      </c>
      <c r="E20" s="28">
        <v>426808.06000000017</v>
      </c>
      <c r="G20" s="19" t="s">
        <v>1273</v>
      </c>
      <c r="H20" s="28">
        <v>300</v>
      </c>
      <c r="J20" s="19" t="s">
        <v>366</v>
      </c>
      <c r="K20" s="28">
        <v>5</v>
      </c>
      <c r="L20" s="28">
        <v>1048.3</v>
      </c>
      <c r="M20" s="28">
        <v>188.70000000000002</v>
      </c>
      <c r="N20" s="28">
        <v>1237</v>
      </c>
      <c r="R20" s="23">
        <v>45693</v>
      </c>
      <c r="S20" s="28">
        <v>85</v>
      </c>
      <c r="T20" s="28">
        <v>39583.199999999997</v>
      </c>
      <c r="U20" s="28">
        <v>7124.98</v>
      </c>
      <c r="V20" s="28">
        <v>46708.18</v>
      </c>
      <c r="X20" s="23">
        <v>45693</v>
      </c>
      <c r="Y20" s="28">
        <v>85</v>
      </c>
      <c r="Z20" s="28">
        <v>39583.19999999999</v>
      </c>
      <c r="AA20" s="28">
        <v>7124.9800000000014</v>
      </c>
      <c r="AB20" s="28">
        <v>46708.179999999993</v>
      </c>
      <c r="AD20" s="19" t="s">
        <v>1891</v>
      </c>
      <c r="AE20" s="28">
        <v>1</v>
      </c>
      <c r="AF20" s="28">
        <v>556.44000000000005</v>
      </c>
      <c r="AG20" s="28">
        <v>100.16</v>
      </c>
      <c r="AH20" s="28">
        <v>656.6</v>
      </c>
      <c r="AI20"/>
      <c r="AJ20" s="19" t="s">
        <v>343</v>
      </c>
      <c r="AK20" s="28">
        <v>1</v>
      </c>
      <c r="AL20" s="28">
        <v>651.53</v>
      </c>
      <c r="AM20" s="28">
        <v>117.28</v>
      </c>
      <c r="AN20" s="28">
        <v>768.81</v>
      </c>
      <c r="BN20"/>
      <c r="BO20"/>
      <c r="BP20"/>
      <c r="BQ20"/>
      <c r="BR20"/>
      <c r="BS20"/>
      <c r="BT20"/>
      <c r="BU20"/>
      <c r="BV20"/>
      <c r="BW20"/>
      <c r="BX20"/>
      <c r="BY20"/>
      <c r="BZ20" s="19">
        <v>883</v>
      </c>
      <c r="CA20" s="28">
        <v>1</v>
      </c>
      <c r="CB20"/>
      <c r="CC20" s="19">
        <v>3094</v>
      </c>
      <c r="CD20" s="28">
        <v>2</v>
      </c>
      <c r="CF20"/>
      <c r="CG20"/>
      <c r="CH20"/>
    </row>
    <row r="21" spans="4:86" ht="15">
      <c r="G21" s="19" t="s">
        <v>1288</v>
      </c>
      <c r="H21" s="28">
        <v>4882.3799999999992</v>
      </c>
      <c r="J21" s="19" t="s">
        <v>373</v>
      </c>
      <c r="K21" s="28">
        <v>2</v>
      </c>
      <c r="L21" s="28">
        <v>153.22</v>
      </c>
      <c r="M21" s="28">
        <v>27.58</v>
      </c>
      <c r="N21" s="28">
        <v>180.8</v>
      </c>
      <c r="R21" s="23">
        <v>45695</v>
      </c>
      <c r="S21" s="28">
        <v>5</v>
      </c>
      <c r="T21" s="28">
        <v>269.09000000000003</v>
      </c>
      <c r="U21" s="28">
        <v>48.44</v>
      </c>
      <c r="V21" s="28">
        <v>317.53000000000003</v>
      </c>
      <c r="X21" s="23">
        <v>45695</v>
      </c>
      <c r="Y21" s="28">
        <v>5</v>
      </c>
      <c r="Z21" s="28">
        <v>269.09000000000003</v>
      </c>
      <c r="AA21" s="28">
        <v>48.44</v>
      </c>
      <c r="AB21" s="28">
        <v>317.53000000000003</v>
      </c>
      <c r="AD21" s="19" t="s">
        <v>1890</v>
      </c>
      <c r="AE21" s="28">
        <v>1</v>
      </c>
      <c r="AF21" s="28">
        <v>651.53</v>
      </c>
      <c r="AG21" s="28">
        <v>117.28</v>
      </c>
      <c r="AH21" s="28">
        <v>768.81</v>
      </c>
      <c r="AI21"/>
      <c r="AJ21" s="19" t="s">
        <v>339</v>
      </c>
      <c r="AK21" s="28">
        <v>1</v>
      </c>
      <c r="AL21" s="28">
        <v>976.78</v>
      </c>
      <c r="AM21" s="28">
        <v>175.82</v>
      </c>
      <c r="AN21" s="28">
        <v>1152.5999999999999</v>
      </c>
      <c r="BN21"/>
      <c r="BO21"/>
      <c r="BP21"/>
      <c r="BQ21"/>
      <c r="BR21"/>
      <c r="BS21"/>
      <c r="BT21"/>
      <c r="BU21"/>
      <c r="BV21"/>
      <c r="BW21"/>
      <c r="BX21"/>
      <c r="BY21"/>
      <c r="BZ21" s="19">
        <v>885</v>
      </c>
      <c r="CA21" s="28">
        <v>2</v>
      </c>
      <c r="CB21"/>
      <c r="CC21" s="19">
        <v>3100</v>
      </c>
      <c r="CD21" s="28">
        <v>2</v>
      </c>
      <c r="CF21"/>
      <c r="CG21"/>
      <c r="CH21"/>
    </row>
    <row r="22" spans="4:86" ht="15">
      <c r="G22" s="19" t="s">
        <v>1291</v>
      </c>
      <c r="H22" s="28">
        <v>300</v>
      </c>
      <c r="J22" s="19" t="s">
        <v>380</v>
      </c>
      <c r="K22" s="28">
        <v>1</v>
      </c>
      <c r="L22" s="28">
        <v>4123.66</v>
      </c>
      <c r="M22" s="28">
        <v>742.26</v>
      </c>
      <c r="N22" s="28">
        <v>4865.92</v>
      </c>
      <c r="R22" s="23">
        <v>45698</v>
      </c>
      <c r="S22" s="28">
        <v>3</v>
      </c>
      <c r="T22" s="28">
        <v>2871</v>
      </c>
      <c r="U22" s="28">
        <v>516.78</v>
      </c>
      <c r="V22" s="28">
        <v>3387.78</v>
      </c>
      <c r="X22" s="23">
        <v>45698</v>
      </c>
      <c r="Y22" s="28">
        <v>3</v>
      </c>
      <c r="Z22" s="28">
        <v>2871</v>
      </c>
      <c r="AA22" s="28">
        <v>516.78</v>
      </c>
      <c r="AB22" s="28">
        <v>3387.78</v>
      </c>
      <c r="AD22" s="19" t="s">
        <v>1889</v>
      </c>
      <c r="AE22" s="28">
        <v>1</v>
      </c>
      <c r="AF22" s="28">
        <v>976.78</v>
      </c>
      <c r="AG22" s="28">
        <v>175.82</v>
      </c>
      <c r="AH22" s="28">
        <v>1152.5999999999999</v>
      </c>
      <c r="AI22"/>
      <c r="AJ22" s="19" t="s">
        <v>337</v>
      </c>
      <c r="AK22" s="28">
        <v>1</v>
      </c>
      <c r="AL22" s="28">
        <v>1427.8</v>
      </c>
      <c r="AM22" s="28">
        <v>257</v>
      </c>
      <c r="AN22" s="28">
        <v>1684.8</v>
      </c>
      <c r="BN22"/>
      <c r="BO22"/>
      <c r="BP22"/>
      <c r="BQ22"/>
      <c r="BR22"/>
      <c r="BS22"/>
      <c r="BT22"/>
      <c r="BU22"/>
      <c r="BV22"/>
      <c r="BW22"/>
      <c r="BX22"/>
      <c r="BY22"/>
      <c r="BZ22" s="19">
        <v>886</v>
      </c>
      <c r="CA22" s="28">
        <v>1</v>
      </c>
      <c r="CB22"/>
      <c r="CC22" s="19">
        <v>3123</v>
      </c>
      <c r="CD22" s="28">
        <v>6</v>
      </c>
      <c r="CF22"/>
      <c r="CG22"/>
      <c r="CH22"/>
    </row>
    <row r="23" spans="4:86" ht="15">
      <c r="G23" s="19" t="s">
        <v>1293</v>
      </c>
      <c r="H23" s="28">
        <v>1630.51</v>
      </c>
      <c r="J23" s="19" t="s">
        <v>383</v>
      </c>
      <c r="K23" s="28">
        <v>3</v>
      </c>
      <c r="L23" s="28">
        <v>4140</v>
      </c>
      <c r="M23" s="28">
        <v>745.2</v>
      </c>
      <c r="N23" s="28">
        <v>4885.2000000000007</v>
      </c>
      <c r="R23" s="19" t="s">
        <v>245</v>
      </c>
      <c r="S23" s="28">
        <v>73</v>
      </c>
      <c r="T23" s="28">
        <v>83058.829999999987</v>
      </c>
      <c r="U23" s="28">
        <v>14950.620000000003</v>
      </c>
      <c r="V23" s="28">
        <v>98009.450000000012</v>
      </c>
      <c r="X23" s="19" t="s">
        <v>245</v>
      </c>
      <c r="Y23" s="28">
        <v>73</v>
      </c>
      <c r="Z23" s="28">
        <v>83058.830000000016</v>
      </c>
      <c r="AA23" s="28">
        <v>14950.620000000003</v>
      </c>
      <c r="AB23" s="28">
        <v>98009.450000000012</v>
      </c>
      <c r="AD23" s="19" t="s">
        <v>1888</v>
      </c>
      <c r="AE23" s="28">
        <v>1</v>
      </c>
      <c r="AF23" s="28">
        <v>1427.8</v>
      </c>
      <c r="AG23" s="28">
        <v>257</v>
      </c>
      <c r="AH23" s="28">
        <v>1684.8</v>
      </c>
      <c r="AI23"/>
      <c r="AJ23" s="19" t="s">
        <v>336</v>
      </c>
      <c r="AK23" s="28">
        <v>1</v>
      </c>
      <c r="AL23" s="28">
        <v>2316.61</v>
      </c>
      <c r="AM23" s="28">
        <v>416.99</v>
      </c>
      <c r="AN23" s="28">
        <v>2733.6</v>
      </c>
      <c r="BN23"/>
      <c r="BO23"/>
      <c r="BQ23"/>
      <c r="BR23"/>
      <c r="BS23"/>
      <c r="BT23"/>
      <c r="BU23"/>
      <c r="BV23"/>
      <c r="BW23"/>
      <c r="BX23"/>
      <c r="BY23"/>
      <c r="BZ23" s="19">
        <v>887</v>
      </c>
      <c r="CA23" s="28">
        <v>1</v>
      </c>
      <c r="CB23"/>
      <c r="CC23" s="19">
        <v>3147</v>
      </c>
      <c r="CD23" s="28">
        <v>2</v>
      </c>
      <c r="CF23"/>
      <c r="CG23"/>
      <c r="CH23"/>
    </row>
    <row r="24" spans="4:86" ht="15">
      <c r="G24" s="19" t="s">
        <v>1309</v>
      </c>
      <c r="H24" s="28">
        <v>150</v>
      </c>
      <c r="J24" s="19" t="s">
        <v>1350</v>
      </c>
      <c r="K24" s="28">
        <v>2</v>
      </c>
      <c r="L24" s="28">
        <v>110.85</v>
      </c>
      <c r="M24" s="28">
        <v>19.950000000000003</v>
      </c>
      <c r="N24" s="28">
        <v>130.80000000000001</v>
      </c>
      <c r="R24" s="23">
        <v>45937</v>
      </c>
      <c r="S24" s="28">
        <v>2</v>
      </c>
      <c r="T24" s="28">
        <v>9727.56</v>
      </c>
      <c r="U24" s="28">
        <v>1750.96</v>
      </c>
      <c r="V24" s="28">
        <v>11478.52</v>
      </c>
      <c r="X24" s="23">
        <v>45937</v>
      </c>
      <c r="Y24" s="28">
        <v>2</v>
      </c>
      <c r="Z24" s="28">
        <v>9727.56</v>
      </c>
      <c r="AA24" s="28">
        <v>1750.96</v>
      </c>
      <c r="AB24" s="28">
        <v>11478.52</v>
      </c>
      <c r="AD24" s="19" t="s">
        <v>1887</v>
      </c>
      <c r="AE24" s="28">
        <v>1</v>
      </c>
      <c r="AF24" s="28">
        <v>2316.61</v>
      </c>
      <c r="AG24" s="28">
        <v>416.99</v>
      </c>
      <c r="AH24" s="28">
        <v>2733.6</v>
      </c>
      <c r="AI24"/>
      <c r="AJ24" s="19" t="s">
        <v>333</v>
      </c>
      <c r="AK24" s="28">
        <v>1</v>
      </c>
      <c r="AL24" s="28">
        <v>1934.24</v>
      </c>
      <c r="AM24" s="28">
        <v>348.16</v>
      </c>
      <c r="AN24" s="28">
        <v>2282.4</v>
      </c>
      <c r="BN24"/>
      <c r="BO24"/>
      <c r="BQ24"/>
      <c r="BR24"/>
      <c r="BS24"/>
      <c r="BT24"/>
      <c r="BU24"/>
      <c r="BV24"/>
      <c r="BW24"/>
      <c r="BX24"/>
      <c r="BY24"/>
      <c r="BZ24" s="19">
        <v>888</v>
      </c>
      <c r="CA24" s="28">
        <v>1</v>
      </c>
      <c r="CB24"/>
      <c r="CC24" s="19">
        <v>3149</v>
      </c>
      <c r="CD24" s="28">
        <v>2</v>
      </c>
      <c r="CF24"/>
      <c r="CG24"/>
      <c r="CH24"/>
    </row>
    <row r="25" spans="4:86" ht="15">
      <c r="G25" s="19" t="s">
        <v>1311</v>
      </c>
      <c r="H25" s="28">
        <v>900</v>
      </c>
      <c r="J25" s="19" t="s">
        <v>1353</v>
      </c>
      <c r="K25" s="28">
        <v>19</v>
      </c>
      <c r="L25" s="28">
        <v>32104.039999999997</v>
      </c>
      <c r="M25" s="28">
        <v>5778.7300000000005</v>
      </c>
      <c r="N25" s="28">
        <v>37882.769999999997</v>
      </c>
      <c r="R25" s="23">
        <v>45939</v>
      </c>
      <c r="S25" s="28">
        <v>1</v>
      </c>
      <c r="T25" s="28">
        <v>317.5</v>
      </c>
      <c r="U25" s="28">
        <v>57.15</v>
      </c>
      <c r="V25" s="28">
        <v>374.65</v>
      </c>
      <c r="X25" s="23">
        <v>45939</v>
      </c>
      <c r="Y25" s="28">
        <v>1</v>
      </c>
      <c r="Z25" s="28">
        <v>317.5</v>
      </c>
      <c r="AA25" s="28">
        <v>57.15</v>
      </c>
      <c r="AB25" s="28">
        <v>374.65</v>
      </c>
      <c r="AD25" s="19" t="s">
        <v>1886</v>
      </c>
      <c r="AE25" s="28">
        <v>1</v>
      </c>
      <c r="AF25" s="28">
        <v>1934.24</v>
      </c>
      <c r="AG25" s="28">
        <v>348.16</v>
      </c>
      <c r="AH25" s="28">
        <v>2282.4</v>
      </c>
      <c r="AI25"/>
      <c r="AJ25" s="19" t="s">
        <v>332</v>
      </c>
      <c r="AK25" s="28">
        <v>1</v>
      </c>
      <c r="AL25" s="28">
        <v>3740.42</v>
      </c>
      <c r="AM25" s="28">
        <v>673.28</v>
      </c>
      <c r="AN25" s="28">
        <v>4413.7</v>
      </c>
      <c r="BN25"/>
      <c r="BO25"/>
      <c r="BQ25"/>
      <c r="BR25"/>
      <c r="BS25"/>
      <c r="BT25"/>
      <c r="BU25"/>
      <c r="BV25"/>
      <c r="BW25"/>
      <c r="BX25"/>
      <c r="BY25"/>
      <c r="BZ25" s="19">
        <v>889</v>
      </c>
      <c r="CA25" s="28">
        <v>1</v>
      </c>
      <c r="CB25"/>
      <c r="CC25" s="19">
        <v>3157</v>
      </c>
      <c r="CD25" s="28">
        <v>2</v>
      </c>
      <c r="CF25"/>
      <c r="CG25"/>
      <c r="CH25"/>
    </row>
    <row r="26" spans="4:86" ht="15">
      <c r="D26" s="26" t="s">
        <v>255</v>
      </c>
      <c r="G26" s="19" t="s">
        <v>1314</v>
      </c>
      <c r="H26" s="28">
        <v>1000</v>
      </c>
      <c r="J26" s="19" t="s">
        <v>526</v>
      </c>
      <c r="K26" s="28">
        <v>9</v>
      </c>
      <c r="L26" s="28">
        <v>6476.42</v>
      </c>
      <c r="M26" s="28">
        <v>1165.73</v>
      </c>
      <c r="N26" s="28">
        <v>7642.1500000000005</v>
      </c>
      <c r="R26" s="23">
        <v>45940</v>
      </c>
      <c r="S26" s="28">
        <v>2</v>
      </c>
      <c r="T26" s="28">
        <v>556.01</v>
      </c>
      <c r="U26" s="28">
        <v>100.08</v>
      </c>
      <c r="V26" s="28">
        <v>656.08999999999992</v>
      </c>
      <c r="X26" s="23">
        <v>45940</v>
      </c>
      <c r="Y26" s="28">
        <v>2</v>
      </c>
      <c r="Z26" s="28">
        <v>556.01</v>
      </c>
      <c r="AA26" s="28">
        <v>100.08</v>
      </c>
      <c r="AB26" s="28">
        <v>656.08999999999992</v>
      </c>
      <c r="AD26" s="19" t="s">
        <v>1876</v>
      </c>
      <c r="AE26" s="28">
        <v>1</v>
      </c>
      <c r="AF26" s="28">
        <v>3740.42</v>
      </c>
      <c r="AG26" s="28">
        <v>673.28</v>
      </c>
      <c r="AH26" s="28">
        <v>4413.7</v>
      </c>
      <c r="AI26"/>
      <c r="AJ26" s="19" t="s">
        <v>331</v>
      </c>
      <c r="AK26" s="28">
        <v>1</v>
      </c>
      <c r="AL26" s="28">
        <v>3056.19</v>
      </c>
      <c r="AM26" s="28">
        <v>550.11</v>
      </c>
      <c r="AN26" s="28">
        <v>3606.3</v>
      </c>
      <c r="BN26"/>
      <c r="BO26"/>
      <c r="BQ26"/>
      <c r="BR26"/>
      <c r="BZ26" s="19">
        <v>890</v>
      </c>
      <c r="CA26" s="28">
        <v>1</v>
      </c>
      <c r="CC26" s="19">
        <v>3168</v>
      </c>
      <c r="CD26" s="28">
        <v>4</v>
      </c>
      <c r="CF26"/>
      <c r="CG26"/>
    </row>
    <row r="27" spans="4:86" ht="15">
      <c r="G27" s="19" t="s">
        <v>1317</v>
      </c>
      <c r="H27" s="28">
        <v>1800</v>
      </c>
      <c r="J27" s="19" t="s">
        <v>533</v>
      </c>
      <c r="K27" s="28">
        <v>9</v>
      </c>
      <c r="L27" s="28">
        <v>3304.2900000000004</v>
      </c>
      <c r="M27" s="28">
        <v>594.7700000000001</v>
      </c>
      <c r="N27" s="28">
        <v>3899.0600000000004</v>
      </c>
      <c r="R27" s="23">
        <v>45941</v>
      </c>
      <c r="S27" s="28">
        <v>1</v>
      </c>
      <c r="T27" s="28">
        <v>79.75</v>
      </c>
      <c r="U27" s="28">
        <v>14.36</v>
      </c>
      <c r="V27" s="28">
        <v>94.11</v>
      </c>
      <c r="X27" s="23">
        <v>45941</v>
      </c>
      <c r="Y27" s="28">
        <v>1</v>
      </c>
      <c r="Z27" s="28">
        <v>79.75</v>
      </c>
      <c r="AA27" s="28">
        <v>14.36</v>
      </c>
      <c r="AB27" s="28">
        <v>94.11</v>
      </c>
      <c r="AD27" s="19" t="s">
        <v>1875</v>
      </c>
      <c r="AE27" s="28">
        <v>1</v>
      </c>
      <c r="AF27" s="28">
        <v>3056.19</v>
      </c>
      <c r="AG27" s="28">
        <v>550.11</v>
      </c>
      <c r="AH27" s="28">
        <v>3606.3</v>
      </c>
      <c r="AI27"/>
      <c r="AJ27" s="19" t="s">
        <v>329</v>
      </c>
      <c r="AK27" s="28">
        <v>1</v>
      </c>
      <c r="AL27" s="28">
        <v>6</v>
      </c>
      <c r="AM27" s="28">
        <v>1.08</v>
      </c>
      <c r="AN27" s="28">
        <v>7.08</v>
      </c>
      <c r="BN27"/>
      <c r="BO27"/>
      <c r="BQ27"/>
      <c r="BR27"/>
      <c r="BZ27" s="19">
        <v>891</v>
      </c>
      <c r="CA27" s="28">
        <v>1</v>
      </c>
      <c r="CC27" s="19">
        <v>3172</v>
      </c>
      <c r="CD27" s="28">
        <v>2</v>
      </c>
      <c r="CF27"/>
      <c r="CG27"/>
    </row>
    <row r="28" spans="4:86" ht="15">
      <c r="D28" s="18" t="s">
        <v>51</v>
      </c>
      <c r="E28" s="17" t="s">
        <v>254</v>
      </c>
      <c r="G28" s="19" t="s">
        <v>1341</v>
      </c>
      <c r="H28" s="28">
        <v>1230</v>
      </c>
      <c r="J28" s="19" t="s">
        <v>540</v>
      </c>
      <c r="K28" s="28">
        <v>9</v>
      </c>
      <c r="L28" s="28">
        <v>3304.2900000000004</v>
      </c>
      <c r="M28" s="28">
        <v>594.7700000000001</v>
      </c>
      <c r="N28" s="28">
        <v>3899.0600000000004</v>
      </c>
      <c r="R28" s="23">
        <v>45943</v>
      </c>
      <c r="S28" s="28">
        <v>13</v>
      </c>
      <c r="T28" s="28">
        <v>9789.74</v>
      </c>
      <c r="U28" s="28">
        <v>1762.1699999999996</v>
      </c>
      <c r="V28" s="28">
        <v>11551.91</v>
      </c>
      <c r="X28" s="23">
        <v>45943</v>
      </c>
      <c r="Y28" s="28">
        <v>13</v>
      </c>
      <c r="Z28" s="28">
        <v>9789.74</v>
      </c>
      <c r="AA28" s="28">
        <v>1762.1699999999996</v>
      </c>
      <c r="AB28" s="28">
        <v>11551.91</v>
      </c>
      <c r="AD28" s="19" t="s">
        <v>1874</v>
      </c>
      <c r="AE28" s="28">
        <v>1</v>
      </c>
      <c r="AF28" s="28">
        <v>6</v>
      </c>
      <c r="AG28" s="28">
        <v>1.08</v>
      </c>
      <c r="AH28" s="28">
        <v>7.08</v>
      </c>
      <c r="AI28"/>
      <c r="AJ28" s="19" t="s">
        <v>328</v>
      </c>
      <c r="AK28" s="28">
        <v>1</v>
      </c>
      <c r="AL28" s="28">
        <v>1463.05</v>
      </c>
      <c r="AM28" s="28">
        <v>263.35000000000002</v>
      </c>
      <c r="AN28" s="28">
        <v>1726.4</v>
      </c>
      <c r="BN28"/>
      <c r="BO28"/>
      <c r="BQ28"/>
      <c r="BR28"/>
      <c r="BZ28" s="19">
        <v>892</v>
      </c>
      <c r="CA28" s="28">
        <v>1</v>
      </c>
      <c r="CC28" s="19">
        <v>3185</v>
      </c>
      <c r="CD28" s="28">
        <v>1</v>
      </c>
      <c r="CF28"/>
      <c r="CG28"/>
    </row>
    <row r="29" spans="4:86" ht="15">
      <c r="D29" s="19" t="s">
        <v>1843</v>
      </c>
      <c r="E29" s="28">
        <v>1</v>
      </c>
      <c r="G29" s="19" t="s">
        <v>1355</v>
      </c>
      <c r="H29" s="28">
        <v>12.75</v>
      </c>
      <c r="J29" s="19" t="s">
        <v>1377</v>
      </c>
      <c r="K29" s="28">
        <v>3</v>
      </c>
      <c r="L29" s="28">
        <v>514.4</v>
      </c>
      <c r="M29" s="28">
        <v>92.6</v>
      </c>
      <c r="N29" s="28">
        <v>607</v>
      </c>
      <c r="R29" s="23">
        <v>45944</v>
      </c>
      <c r="S29" s="28">
        <v>8</v>
      </c>
      <c r="T29" s="28">
        <v>8278.61</v>
      </c>
      <c r="U29" s="28">
        <v>1490.15</v>
      </c>
      <c r="V29" s="28">
        <v>9768.76</v>
      </c>
      <c r="X29" s="23">
        <v>45944</v>
      </c>
      <c r="Y29" s="28">
        <v>8</v>
      </c>
      <c r="Z29" s="28">
        <v>8278.61</v>
      </c>
      <c r="AA29" s="28">
        <v>1490.15</v>
      </c>
      <c r="AB29" s="28">
        <v>9768.76</v>
      </c>
      <c r="AD29" s="19" t="s">
        <v>1873</v>
      </c>
      <c r="AE29" s="28">
        <v>1</v>
      </c>
      <c r="AF29" s="28">
        <v>1463.05</v>
      </c>
      <c r="AG29" s="28">
        <v>263.35000000000002</v>
      </c>
      <c r="AH29" s="28">
        <v>1726.4</v>
      </c>
      <c r="AI29"/>
      <c r="AJ29" s="19" t="s">
        <v>327</v>
      </c>
      <c r="AK29" s="28">
        <v>1</v>
      </c>
      <c r="AL29" s="28">
        <v>1174.24</v>
      </c>
      <c r="AM29" s="28">
        <v>211.36</v>
      </c>
      <c r="AN29" s="28">
        <v>1385.6</v>
      </c>
      <c r="BN29"/>
      <c r="BO29"/>
      <c r="BQ29"/>
      <c r="BR29"/>
      <c r="BZ29" s="19">
        <v>893</v>
      </c>
      <c r="CA29" s="28">
        <v>1</v>
      </c>
      <c r="CC29" s="19">
        <v>3188</v>
      </c>
      <c r="CD29" s="28">
        <v>2</v>
      </c>
      <c r="CF29"/>
      <c r="CG29"/>
    </row>
    <row r="30" spans="4:86" ht="15">
      <c r="D30" s="19" t="s">
        <v>234</v>
      </c>
      <c r="E30" s="28">
        <v>1</v>
      </c>
      <c r="G30" s="19" t="s">
        <v>1359</v>
      </c>
      <c r="H30" s="28">
        <v>980</v>
      </c>
      <c r="J30" s="19" t="s">
        <v>408</v>
      </c>
      <c r="K30" s="28">
        <v>2</v>
      </c>
      <c r="L30" s="28">
        <v>330.51</v>
      </c>
      <c r="M30" s="28">
        <v>59.489999999999995</v>
      </c>
      <c r="N30" s="28">
        <v>390</v>
      </c>
      <c r="R30" s="23">
        <v>45945</v>
      </c>
      <c r="S30" s="28">
        <v>46</v>
      </c>
      <c r="T30" s="28">
        <v>54309.660000000011</v>
      </c>
      <c r="U30" s="28">
        <v>9775.75</v>
      </c>
      <c r="V30" s="28">
        <v>64085.409999999996</v>
      </c>
      <c r="X30" s="23">
        <v>45945</v>
      </c>
      <c r="Y30" s="28">
        <v>46</v>
      </c>
      <c r="Z30" s="28">
        <v>54309.66</v>
      </c>
      <c r="AA30" s="28">
        <v>9775.75</v>
      </c>
      <c r="AB30" s="28">
        <v>64085.409999999996</v>
      </c>
      <c r="AD30" s="19" t="s">
        <v>1872</v>
      </c>
      <c r="AE30" s="28">
        <v>1</v>
      </c>
      <c r="AF30" s="28">
        <v>1174.24</v>
      </c>
      <c r="AG30" s="28">
        <v>211.36</v>
      </c>
      <c r="AH30" s="28">
        <v>1385.6</v>
      </c>
      <c r="AI30"/>
      <c r="AJ30" s="19" t="s">
        <v>325</v>
      </c>
      <c r="AK30" s="28">
        <v>1</v>
      </c>
      <c r="AL30" s="28">
        <v>7.5</v>
      </c>
      <c r="AM30" s="28">
        <v>1.35</v>
      </c>
      <c r="AN30" s="28">
        <v>8.85</v>
      </c>
      <c r="BN30"/>
      <c r="BO30"/>
      <c r="BQ30"/>
      <c r="BR30"/>
      <c r="BZ30" s="19">
        <v>894</v>
      </c>
      <c r="CA30" s="28">
        <v>1</v>
      </c>
      <c r="CC30" s="19">
        <v>3190</v>
      </c>
      <c r="CD30" s="28">
        <v>2</v>
      </c>
      <c r="CF30"/>
      <c r="CG30"/>
    </row>
    <row r="31" spans="4:86" ht="15">
      <c r="D31" s="19" t="s">
        <v>235</v>
      </c>
      <c r="E31" s="28">
        <v>1</v>
      </c>
      <c r="G31" s="19" t="s">
        <v>1362</v>
      </c>
      <c r="H31" s="28">
        <v>2941.83</v>
      </c>
      <c r="J31" s="19" t="s">
        <v>413</v>
      </c>
      <c r="K31" s="28">
        <v>4</v>
      </c>
      <c r="L31" s="28">
        <v>42.88</v>
      </c>
      <c r="M31" s="28">
        <v>7.7200000000000006</v>
      </c>
      <c r="N31" s="28">
        <v>50.6</v>
      </c>
      <c r="R31" s="19" t="s">
        <v>52</v>
      </c>
      <c r="S31" s="28">
        <v>457</v>
      </c>
      <c r="T31" s="28">
        <v>361701.79000000021</v>
      </c>
      <c r="U31" s="28">
        <v>65106.270000000011</v>
      </c>
      <c r="V31" s="28">
        <v>426808.05999999971</v>
      </c>
      <c r="X31" s="19" t="s">
        <v>52</v>
      </c>
      <c r="Y31" s="28">
        <v>457</v>
      </c>
      <c r="Z31" s="28">
        <v>361701.79000000015</v>
      </c>
      <c r="AA31" s="28">
        <v>65106.26999999999</v>
      </c>
      <c r="AB31" s="28">
        <v>426808.05999999965</v>
      </c>
      <c r="AD31" s="19" t="s">
        <v>1871</v>
      </c>
      <c r="AE31" s="28">
        <v>1</v>
      </c>
      <c r="AF31" s="28">
        <v>7.5</v>
      </c>
      <c r="AG31" s="28">
        <v>1.35</v>
      </c>
      <c r="AH31" s="28">
        <v>8.85</v>
      </c>
      <c r="AI31"/>
      <c r="AJ31" s="19" t="s">
        <v>324</v>
      </c>
      <c r="AK31" s="28">
        <v>1</v>
      </c>
      <c r="AL31" s="28">
        <v>2213.98</v>
      </c>
      <c r="AM31" s="28">
        <v>398.52</v>
      </c>
      <c r="AN31" s="28">
        <v>2612.5</v>
      </c>
      <c r="BN31"/>
      <c r="BO31"/>
      <c r="BQ31"/>
      <c r="BR31"/>
      <c r="BZ31" s="19">
        <v>895</v>
      </c>
      <c r="CA31" s="28">
        <v>1</v>
      </c>
      <c r="CC31" s="19" t="s">
        <v>53</v>
      </c>
      <c r="CD31" s="28"/>
      <c r="CF31"/>
      <c r="CG31"/>
    </row>
    <row r="32" spans="4:86" ht="15">
      <c r="D32" s="19" t="s">
        <v>1844</v>
      </c>
      <c r="E32" s="28">
        <v>1</v>
      </c>
      <c r="G32" s="19" t="s">
        <v>1364</v>
      </c>
      <c r="H32" s="28">
        <v>391.08</v>
      </c>
      <c r="J32" s="19" t="s">
        <v>554</v>
      </c>
      <c r="K32" s="28">
        <v>3</v>
      </c>
      <c r="L32" s="28">
        <v>445.82</v>
      </c>
      <c r="M32" s="28">
        <v>80.25</v>
      </c>
      <c r="N32" s="28">
        <v>526.06999999999994</v>
      </c>
      <c r="R32"/>
      <c r="S32"/>
      <c r="T32"/>
      <c r="U32"/>
      <c r="V32"/>
      <c r="X32"/>
      <c r="Y32"/>
      <c r="Z32"/>
      <c r="AA32"/>
      <c r="AB32"/>
      <c r="AD32" s="19" t="s">
        <v>1870</v>
      </c>
      <c r="AE32" s="28">
        <v>1</v>
      </c>
      <c r="AF32" s="28">
        <v>2213.98</v>
      </c>
      <c r="AG32" s="28">
        <v>398.52</v>
      </c>
      <c r="AH32" s="28">
        <v>2612.5</v>
      </c>
      <c r="AI32"/>
      <c r="AJ32" s="19" t="s">
        <v>321</v>
      </c>
      <c r="AK32" s="28">
        <v>1</v>
      </c>
      <c r="AL32" s="28">
        <v>1820</v>
      </c>
      <c r="AM32" s="28">
        <v>327.60000000000002</v>
      </c>
      <c r="AN32" s="28">
        <v>2147.6</v>
      </c>
      <c r="BN32"/>
      <c r="BO32"/>
      <c r="BQ32"/>
      <c r="BR32"/>
      <c r="BZ32" s="19">
        <v>896</v>
      </c>
      <c r="CA32" s="28">
        <v>1</v>
      </c>
      <c r="CC32" s="19" t="s">
        <v>52</v>
      </c>
      <c r="CD32" s="28">
        <v>73</v>
      </c>
      <c r="CF32"/>
      <c r="CG32"/>
    </row>
    <row r="33" spans="4:79" ht="15">
      <c r="D33" s="19" t="s">
        <v>1845</v>
      </c>
      <c r="E33" s="28">
        <v>1</v>
      </c>
      <c r="G33" s="19" t="s">
        <v>1366</v>
      </c>
      <c r="H33" s="28">
        <v>500</v>
      </c>
      <c r="J33" s="19" t="s">
        <v>422</v>
      </c>
      <c r="K33" s="28">
        <v>56</v>
      </c>
      <c r="L33" s="28">
        <v>72447.199999999997</v>
      </c>
      <c r="M33" s="28">
        <v>13040.469999999998</v>
      </c>
      <c r="N33" s="28">
        <v>85487.67</v>
      </c>
      <c r="R33"/>
      <c r="S33"/>
      <c r="T33"/>
      <c r="U33"/>
      <c r="V33"/>
      <c r="X33"/>
      <c r="Y33"/>
      <c r="Z33"/>
      <c r="AA33"/>
      <c r="AB33"/>
      <c r="AD33" s="19" t="s">
        <v>1869</v>
      </c>
      <c r="AE33" s="28">
        <v>1</v>
      </c>
      <c r="AF33" s="28">
        <v>1820</v>
      </c>
      <c r="AG33" s="28">
        <v>327.60000000000002</v>
      </c>
      <c r="AH33" s="28">
        <v>2147.6</v>
      </c>
      <c r="AI33"/>
      <c r="AJ33" s="19" t="s">
        <v>320</v>
      </c>
      <c r="AK33" s="28">
        <v>1</v>
      </c>
      <c r="AL33" s="28">
        <v>1571.02</v>
      </c>
      <c r="AM33" s="28">
        <v>282.77999999999997</v>
      </c>
      <c r="AN33" s="28">
        <v>1853.8</v>
      </c>
      <c r="BN33"/>
      <c r="BO33"/>
      <c r="BQ33"/>
      <c r="BR33"/>
      <c r="BZ33" s="19">
        <v>897</v>
      </c>
      <c r="CA33" s="28">
        <v>1</v>
      </c>
    </row>
    <row r="34" spans="4:79" ht="15">
      <c r="D34" s="19" t="s">
        <v>1846</v>
      </c>
      <c r="E34" s="28">
        <v>1</v>
      </c>
      <c r="G34" s="19" t="s">
        <v>1368</v>
      </c>
      <c r="H34" s="28">
        <v>373.05</v>
      </c>
      <c r="J34" s="19" t="s">
        <v>561</v>
      </c>
      <c r="K34" s="28">
        <v>9</v>
      </c>
      <c r="L34" s="28">
        <v>132.16999999999999</v>
      </c>
      <c r="M34" s="28">
        <v>23.8</v>
      </c>
      <c r="N34" s="28">
        <v>155.96999999999997</v>
      </c>
      <c r="R34"/>
      <c r="S34"/>
      <c r="T34"/>
      <c r="U34"/>
      <c r="V34"/>
      <c r="X34"/>
      <c r="Y34"/>
      <c r="Z34"/>
      <c r="AA34"/>
      <c r="AB34"/>
      <c r="AD34" s="19" t="s">
        <v>1864</v>
      </c>
      <c r="AE34" s="28">
        <v>1</v>
      </c>
      <c r="AF34" s="28">
        <v>1571.02</v>
      </c>
      <c r="AG34" s="28">
        <v>282.77999999999997</v>
      </c>
      <c r="AH34" s="28">
        <v>1853.8</v>
      </c>
      <c r="AI34"/>
      <c r="AJ34" s="19" t="s">
        <v>319</v>
      </c>
      <c r="AK34" s="28">
        <v>1</v>
      </c>
      <c r="AL34" s="28">
        <v>3741.1</v>
      </c>
      <c r="AM34" s="28">
        <v>673.4</v>
      </c>
      <c r="AN34" s="28">
        <v>4414.5</v>
      </c>
      <c r="BN34"/>
      <c r="BO34"/>
      <c r="BQ34"/>
      <c r="BR34"/>
      <c r="BZ34" s="19">
        <v>898</v>
      </c>
      <c r="CA34" s="28">
        <v>1</v>
      </c>
    </row>
    <row r="35" spans="4:79" ht="15">
      <c r="D35" s="19" t="s">
        <v>1847</v>
      </c>
      <c r="E35" s="28">
        <v>1</v>
      </c>
      <c r="G35" s="19" t="s">
        <v>1370</v>
      </c>
      <c r="H35" s="28">
        <v>1303.3599999999999</v>
      </c>
      <c r="J35" s="19" t="s">
        <v>431</v>
      </c>
      <c r="K35" s="28">
        <v>27</v>
      </c>
      <c r="L35" s="28">
        <v>31539.78</v>
      </c>
      <c r="M35" s="28">
        <v>5677.15</v>
      </c>
      <c r="N35" s="28">
        <v>37216.929999999993</v>
      </c>
      <c r="R35"/>
      <c r="S35"/>
      <c r="T35"/>
      <c r="U35"/>
      <c r="V35"/>
      <c r="X35"/>
      <c r="Y35"/>
      <c r="Z35"/>
      <c r="AA35"/>
      <c r="AB35"/>
      <c r="AD35" s="19" t="s">
        <v>1863</v>
      </c>
      <c r="AE35" s="28">
        <v>1</v>
      </c>
      <c r="AF35" s="28">
        <v>3741.1</v>
      </c>
      <c r="AG35" s="28">
        <v>673.4</v>
      </c>
      <c r="AH35" s="28">
        <v>4414.5</v>
      </c>
      <c r="AI35"/>
      <c r="AJ35" s="19" t="s">
        <v>318</v>
      </c>
      <c r="AK35" s="28">
        <v>1</v>
      </c>
      <c r="AL35" s="28">
        <v>1400</v>
      </c>
      <c r="AM35" s="28">
        <v>252</v>
      </c>
      <c r="AN35" s="28">
        <v>1652</v>
      </c>
      <c r="BN35"/>
      <c r="BO35"/>
      <c r="BQ35"/>
      <c r="BR35"/>
      <c r="BZ35" s="19">
        <v>899</v>
      </c>
      <c r="CA35" s="28">
        <v>1</v>
      </c>
    </row>
    <row r="36" spans="4:79" ht="15">
      <c r="D36" s="19" t="s">
        <v>1848</v>
      </c>
      <c r="E36" s="28">
        <v>1</v>
      </c>
      <c r="G36" s="19" t="s">
        <v>1372</v>
      </c>
      <c r="H36" s="28">
        <v>500</v>
      </c>
      <c r="J36" s="19" t="s">
        <v>442</v>
      </c>
      <c r="K36" s="28">
        <v>3</v>
      </c>
      <c r="L36" s="28">
        <v>789.89</v>
      </c>
      <c r="M36" s="28">
        <v>142.18</v>
      </c>
      <c r="N36" s="28">
        <v>932.07</v>
      </c>
      <c r="R36"/>
      <c r="S36"/>
      <c r="T36"/>
      <c r="U36"/>
      <c r="V36"/>
      <c r="X36"/>
      <c r="Y36"/>
      <c r="Z36"/>
      <c r="AA36"/>
      <c r="AB36"/>
      <c r="AD36" s="19" t="s">
        <v>1862</v>
      </c>
      <c r="AE36" s="28">
        <v>1</v>
      </c>
      <c r="AF36" s="28">
        <v>1400</v>
      </c>
      <c r="AG36" s="28">
        <v>252</v>
      </c>
      <c r="AH36" s="28">
        <v>1652</v>
      </c>
      <c r="AI36"/>
      <c r="AJ36" s="19" t="s">
        <v>316</v>
      </c>
      <c r="AK36" s="28">
        <v>1</v>
      </c>
      <c r="AL36" s="28">
        <v>33.9</v>
      </c>
      <c r="AM36" s="28">
        <v>6.1</v>
      </c>
      <c r="AN36" s="28">
        <v>40</v>
      </c>
      <c r="BN36"/>
      <c r="BO36"/>
      <c r="BQ36"/>
      <c r="BR36"/>
      <c r="BZ36" s="19">
        <v>900</v>
      </c>
      <c r="CA36" s="28">
        <v>1</v>
      </c>
    </row>
    <row r="37" spans="4:79" ht="15">
      <c r="D37" s="19" t="s">
        <v>1849</v>
      </c>
      <c r="E37" s="28">
        <v>1</v>
      </c>
      <c r="G37" s="19" t="s">
        <v>1374</v>
      </c>
      <c r="H37" s="28">
        <v>975.75</v>
      </c>
      <c r="J37" s="19" t="s">
        <v>568</v>
      </c>
      <c r="K37" s="28">
        <v>2</v>
      </c>
      <c r="L37" s="28">
        <v>6.48</v>
      </c>
      <c r="M37" s="28">
        <v>1.17</v>
      </c>
      <c r="N37" s="28">
        <v>7.65</v>
      </c>
      <c r="R37"/>
      <c r="S37"/>
      <c r="T37"/>
      <c r="U37"/>
      <c r="V37"/>
      <c r="X37"/>
      <c r="Y37"/>
      <c r="Z37"/>
      <c r="AA37"/>
      <c r="AB37"/>
      <c r="AD37" s="19" t="s">
        <v>1861</v>
      </c>
      <c r="AE37" s="28">
        <v>1</v>
      </c>
      <c r="AF37" s="28">
        <v>33.9</v>
      </c>
      <c r="AG37" s="28">
        <v>6.1</v>
      </c>
      <c r="AH37" s="28">
        <v>40</v>
      </c>
      <c r="AI37"/>
      <c r="AJ37" s="19" t="s">
        <v>315</v>
      </c>
      <c r="AK37" s="28">
        <v>1</v>
      </c>
      <c r="AL37" s="28">
        <v>256.61</v>
      </c>
      <c r="AM37" s="28">
        <v>46.19</v>
      </c>
      <c r="AN37" s="28">
        <v>302.8</v>
      </c>
      <c r="BN37"/>
      <c r="BO37"/>
      <c r="BQ37"/>
      <c r="BR37"/>
      <c r="BZ37" s="19">
        <v>901</v>
      </c>
      <c r="CA37" s="28">
        <v>1</v>
      </c>
    </row>
    <row r="38" spans="4:79" ht="15">
      <c r="D38" s="19" t="s">
        <v>1850</v>
      </c>
      <c r="E38" s="28">
        <v>1</v>
      </c>
      <c r="G38" s="19" t="s">
        <v>1376</v>
      </c>
      <c r="H38" s="28">
        <v>1303.3599999999999</v>
      </c>
      <c r="J38" s="19" t="s">
        <v>449</v>
      </c>
      <c r="K38" s="28">
        <v>4</v>
      </c>
      <c r="L38" s="28">
        <v>257.2</v>
      </c>
      <c r="M38" s="28">
        <v>46.3</v>
      </c>
      <c r="N38" s="28">
        <v>303.5</v>
      </c>
      <c r="R38"/>
      <c r="S38"/>
      <c r="T38"/>
      <c r="U38"/>
      <c r="V38"/>
      <c r="X38"/>
      <c r="Y38"/>
      <c r="Z38"/>
      <c r="AA38"/>
      <c r="AB38"/>
      <c r="AD38" s="19" t="s">
        <v>1860</v>
      </c>
      <c r="AE38" s="28">
        <v>1</v>
      </c>
      <c r="AF38" s="28">
        <v>256.61</v>
      </c>
      <c r="AG38" s="28">
        <v>46.19</v>
      </c>
      <c r="AH38" s="28">
        <v>302.8</v>
      </c>
      <c r="AI38"/>
      <c r="AJ38" s="19" t="s">
        <v>312</v>
      </c>
      <c r="AK38" s="28">
        <v>1</v>
      </c>
      <c r="AL38" s="28">
        <v>369.41</v>
      </c>
      <c r="AM38" s="28">
        <v>66.489999999999995</v>
      </c>
      <c r="AN38" s="28">
        <v>435.9</v>
      </c>
      <c r="BN38"/>
      <c r="BO38"/>
      <c r="BQ38"/>
      <c r="BR38"/>
      <c r="BZ38" s="19">
        <v>902</v>
      </c>
      <c r="CA38" s="28">
        <v>1</v>
      </c>
    </row>
    <row r="39" spans="4:79" ht="15">
      <c r="D39" s="19" t="s">
        <v>1851</v>
      </c>
      <c r="E39" s="28">
        <v>1</v>
      </c>
      <c r="G39" s="19" t="s">
        <v>1379</v>
      </c>
      <c r="H39" s="28">
        <v>423.73</v>
      </c>
      <c r="J39" s="19" t="s">
        <v>454</v>
      </c>
      <c r="K39" s="28">
        <v>2</v>
      </c>
      <c r="L39" s="28">
        <v>34.49</v>
      </c>
      <c r="M39" s="28">
        <v>6.21</v>
      </c>
      <c r="N39" s="28">
        <v>40.700000000000003</v>
      </c>
      <c r="R39"/>
      <c r="S39"/>
      <c r="T39"/>
      <c r="U39"/>
      <c r="V39"/>
      <c r="X39"/>
      <c r="Y39"/>
      <c r="Z39"/>
      <c r="AA39"/>
      <c r="AB39"/>
      <c r="AD39" s="19" t="s">
        <v>1859</v>
      </c>
      <c r="AE39" s="28">
        <v>1</v>
      </c>
      <c r="AF39" s="28">
        <v>369.41</v>
      </c>
      <c r="AG39" s="28">
        <v>66.489999999999995</v>
      </c>
      <c r="AH39" s="28">
        <v>435.9</v>
      </c>
      <c r="AI39"/>
      <c r="AJ39" s="19" t="s">
        <v>311</v>
      </c>
      <c r="AK39" s="28">
        <v>1</v>
      </c>
      <c r="AL39" s="28">
        <v>2880.59</v>
      </c>
      <c r="AM39" s="28">
        <v>518.51</v>
      </c>
      <c r="AN39" s="28">
        <v>3399.1</v>
      </c>
      <c r="BN39"/>
      <c r="BO39"/>
      <c r="BQ39"/>
      <c r="BR39"/>
      <c r="BZ39" s="19">
        <v>903</v>
      </c>
      <c r="CA39" s="28">
        <v>1</v>
      </c>
    </row>
    <row r="40" spans="4:79" ht="15">
      <c r="D40" s="19" t="s">
        <v>1852</v>
      </c>
      <c r="E40" s="28">
        <v>1</v>
      </c>
      <c r="G40" s="19" t="s">
        <v>1381</v>
      </c>
      <c r="H40" s="28">
        <v>14653.170000000002</v>
      </c>
      <c r="J40" s="19" t="s">
        <v>459</v>
      </c>
      <c r="K40" s="28">
        <v>11</v>
      </c>
      <c r="L40" s="28">
        <v>715.12999999999988</v>
      </c>
      <c r="M40" s="28">
        <v>128.72</v>
      </c>
      <c r="N40" s="28">
        <v>843.85</v>
      </c>
      <c r="R40"/>
      <c r="S40"/>
      <c r="T40"/>
      <c r="U40"/>
      <c r="V40"/>
      <c r="X40"/>
      <c r="Y40"/>
      <c r="Z40"/>
      <c r="AA40"/>
      <c r="AB40"/>
      <c r="AD40" s="19" t="s">
        <v>1852</v>
      </c>
      <c r="AE40" s="28">
        <v>1</v>
      </c>
      <c r="AF40" s="28">
        <v>2880.59</v>
      </c>
      <c r="AG40" s="28">
        <v>518.51</v>
      </c>
      <c r="AH40" s="28">
        <v>3399.1</v>
      </c>
      <c r="AI40"/>
      <c r="AJ40" s="19" t="s">
        <v>310</v>
      </c>
      <c r="AK40" s="28">
        <v>1</v>
      </c>
      <c r="AL40" s="28">
        <v>6305.08</v>
      </c>
      <c r="AM40" s="28">
        <v>1134.9100000000001</v>
      </c>
      <c r="AN40" s="28">
        <v>7439.99</v>
      </c>
      <c r="BN40"/>
      <c r="BO40"/>
      <c r="BQ40"/>
      <c r="BR40"/>
      <c r="BZ40" s="19">
        <v>904</v>
      </c>
      <c r="CA40" s="28">
        <v>1</v>
      </c>
    </row>
    <row r="41" spans="4:79" ht="15">
      <c r="D41" s="19" t="s">
        <v>1853</v>
      </c>
      <c r="E41" s="28">
        <v>1</v>
      </c>
      <c r="G41" s="19" t="s">
        <v>1390</v>
      </c>
      <c r="H41" s="28">
        <v>563.85</v>
      </c>
      <c r="J41" s="19" t="s">
        <v>464</v>
      </c>
      <c r="K41" s="28">
        <v>2</v>
      </c>
      <c r="L41" s="28">
        <v>23.67</v>
      </c>
      <c r="M41" s="28">
        <v>4.2699999999999996</v>
      </c>
      <c r="N41" s="28">
        <v>27.939999999999998</v>
      </c>
      <c r="R41"/>
      <c r="S41"/>
      <c r="T41"/>
      <c r="U41"/>
      <c r="V41"/>
      <c r="X41"/>
      <c r="Y41"/>
      <c r="Z41"/>
      <c r="AA41"/>
      <c r="AB41"/>
      <c r="AD41" s="19" t="s">
        <v>1851</v>
      </c>
      <c r="AE41" s="28">
        <v>1</v>
      </c>
      <c r="AF41" s="28">
        <v>6305.08</v>
      </c>
      <c r="AG41" s="28">
        <v>1134.9100000000001</v>
      </c>
      <c r="AH41" s="28">
        <v>7439.99</v>
      </c>
      <c r="AI41"/>
      <c r="AJ41" s="19" t="s">
        <v>309</v>
      </c>
      <c r="AK41" s="28">
        <v>1</v>
      </c>
      <c r="AL41" s="28">
        <v>1000</v>
      </c>
      <c r="AM41" s="28">
        <v>180</v>
      </c>
      <c r="AN41" s="28">
        <v>1180</v>
      </c>
      <c r="BN41"/>
      <c r="BO41"/>
      <c r="BQ41"/>
      <c r="BR41"/>
      <c r="BZ41" s="19">
        <v>905</v>
      </c>
      <c r="CA41" s="28">
        <v>1</v>
      </c>
    </row>
    <row r="42" spans="4:79" ht="15">
      <c r="D42" s="19" t="s">
        <v>1854</v>
      </c>
      <c r="E42" s="28">
        <v>1</v>
      </c>
      <c r="G42" s="19" t="s">
        <v>1395</v>
      </c>
      <c r="H42" s="28">
        <v>200</v>
      </c>
      <c r="J42" s="19" t="s">
        <v>469</v>
      </c>
      <c r="K42" s="28">
        <v>7</v>
      </c>
      <c r="L42" s="28">
        <v>3497.96</v>
      </c>
      <c r="M42" s="28">
        <v>629.64</v>
      </c>
      <c r="N42" s="28">
        <v>4127.6000000000004</v>
      </c>
      <c r="R42"/>
      <c r="S42"/>
      <c r="T42"/>
      <c r="U42"/>
      <c r="V42"/>
      <c r="X42"/>
      <c r="Y42"/>
      <c r="Z42"/>
      <c r="AA42"/>
      <c r="AB42"/>
      <c r="AD42" s="19" t="s">
        <v>1850</v>
      </c>
      <c r="AE42" s="28">
        <v>1</v>
      </c>
      <c r="AF42" s="28">
        <v>1000</v>
      </c>
      <c r="AG42" s="28">
        <v>180</v>
      </c>
      <c r="AH42" s="28">
        <v>1180</v>
      </c>
      <c r="AI42"/>
      <c r="AJ42" s="19" t="s">
        <v>308</v>
      </c>
      <c r="AK42" s="28">
        <v>1</v>
      </c>
      <c r="AL42" s="28">
        <v>1600</v>
      </c>
      <c r="AM42" s="28">
        <v>288</v>
      </c>
      <c r="AN42" s="28">
        <v>1888</v>
      </c>
      <c r="BN42"/>
      <c r="BO42"/>
      <c r="BQ42"/>
      <c r="BR42"/>
      <c r="BZ42" s="19">
        <v>906</v>
      </c>
      <c r="CA42" s="28">
        <v>1</v>
      </c>
    </row>
    <row r="43" spans="4:79" ht="15">
      <c r="D43" s="19" t="s">
        <v>1855</v>
      </c>
      <c r="E43" s="28">
        <v>1</v>
      </c>
      <c r="G43" s="19" t="s">
        <v>1400</v>
      </c>
      <c r="H43" s="28">
        <v>20</v>
      </c>
      <c r="J43" s="19" t="s">
        <v>573</v>
      </c>
      <c r="K43" s="28">
        <v>8</v>
      </c>
      <c r="L43" s="28">
        <v>3592.9700000000003</v>
      </c>
      <c r="M43" s="28">
        <v>646.73</v>
      </c>
      <c r="N43" s="28">
        <v>4239.7000000000007</v>
      </c>
      <c r="R43"/>
      <c r="S43"/>
      <c r="T43"/>
      <c r="U43"/>
      <c r="V43"/>
      <c r="X43"/>
      <c r="Y43"/>
      <c r="Z43"/>
      <c r="AA43"/>
      <c r="AB43"/>
      <c r="AD43" s="19" t="s">
        <v>1849</v>
      </c>
      <c r="AE43" s="28">
        <v>1</v>
      </c>
      <c r="AF43" s="28">
        <v>1600</v>
      </c>
      <c r="AG43" s="28">
        <v>288</v>
      </c>
      <c r="AH43" s="28">
        <v>1888</v>
      </c>
      <c r="AI43"/>
      <c r="AJ43" s="19" t="s">
        <v>307</v>
      </c>
      <c r="AK43" s="28">
        <v>1</v>
      </c>
      <c r="AL43" s="28">
        <v>150</v>
      </c>
      <c r="AM43" s="28">
        <v>27</v>
      </c>
      <c r="AN43" s="28">
        <v>177</v>
      </c>
      <c r="BN43"/>
      <c r="BO43"/>
      <c r="BQ43"/>
      <c r="BR43"/>
      <c r="BZ43" s="19">
        <v>907</v>
      </c>
      <c r="CA43" s="28">
        <v>1</v>
      </c>
    </row>
    <row r="44" spans="4:79" ht="15">
      <c r="D44" s="19" t="s">
        <v>1856</v>
      </c>
      <c r="E44" s="28">
        <v>1</v>
      </c>
      <c r="G44" s="19" t="s">
        <v>1402</v>
      </c>
      <c r="H44" s="28">
        <v>60.04</v>
      </c>
      <c r="J44" s="19" t="s">
        <v>492</v>
      </c>
      <c r="K44" s="28">
        <v>6</v>
      </c>
      <c r="L44" s="28">
        <v>121.5</v>
      </c>
      <c r="M44" s="28">
        <v>21.87</v>
      </c>
      <c r="N44" s="28">
        <v>143.37</v>
      </c>
      <c r="R44"/>
      <c r="S44"/>
      <c r="T44"/>
      <c r="U44"/>
      <c r="V44"/>
      <c r="X44"/>
      <c r="Y44"/>
      <c r="Z44"/>
      <c r="AA44"/>
      <c r="AB44"/>
      <c r="AD44" s="19" t="s">
        <v>1848</v>
      </c>
      <c r="AE44" s="28">
        <v>1</v>
      </c>
      <c r="AF44" s="28">
        <v>150</v>
      </c>
      <c r="AG44" s="28">
        <v>27</v>
      </c>
      <c r="AH44" s="28">
        <v>177</v>
      </c>
      <c r="AI44"/>
      <c r="AJ44" s="19" t="s">
        <v>306</v>
      </c>
      <c r="AK44" s="28">
        <v>1</v>
      </c>
      <c r="AL44" s="28">
        <v>84.5</v>
      </c>
      <c r="AM44" s="28">
        <v>15.21</v>
      </c>
      <c r="AN44" s="28">
        <v>99.71</v>
      </c>
      <c r="BN44"/>
      <c r="BO44"/>
      <c r="BQ44"/>
      <c r="BR44"/>
      <c r="BZ44" s="19">
        <v>908</v>
      </c>
      <c r="CA44" s="28">
        <v>1</v>
      </c>
    </row>
    <row r="45" spans="4:79" ht="15">
      <c r="D45" s="19" t="s">
        <v>1857</v>
      </c>
      <c r="E45" s="28">
        <v>1</v>
      </c>
      <c r="G45" s="19" t="s">
        <v>1404</v>
      </c>
      <c r="H45" s="28">
        <v>31.14</v>
      </c>
      <c r="J45" s="19" t="s">
        <v>497</v>
      </c>
      <c r="K45" s="28">
        <v>10</v>
      </c>
      <c r="L45" s="28">
        <v>290.33999999999997</v>
      </c>
      <c r="M45" s="28">
        <v>52.260000000000005</v>
      </c>
      <c r="N45" s="28">
        <v>342.59999999999997</v>
      </c>
      <c r="R45"/>
      <c r="S45"/>
      <c r="T45"/>
      <c r="U45"/>
      <c r="V45"/>
      <c r="X45"/>
      <c r="Y45"/>
      <c r="Z45"/>
      <c r="AA45"/>
      <c r="AB45"/>
      <c r="AD45" s="19" t="s">
        <v>1847</v>
      </c>
      <c r="AE45" s="28">
        <v>1</v>
      </c>
      <c r="AF45" s="28">
        <v>84.5</v>
      </c>
      <c r="AG45" s="28">
        <v>15.21</v>
      </c>
      <c r="AH45" s="28">
        <v>99.71</v>
      </c>
      <c r="AI45"/>
      <c r="AJ45" s="19" t="s">
        <v>303</v>
      </c>
      <c r="AK45" s="28">
        <v>1</v>
      </c>
      <c r="AL45" s="28">
        <v>14.5</v>
      </c>
      <c r="AM45" s="28">
        <v>2.61</v>
      </c>
      <c r="AN45" s="28">
        <v>17.11</v>
      </c>
      <c r="BN45"/>
      <c r="BO45"/>
      <c r="BQ45"/>
      <c r="BR45"/>
      <c r="BZ45" s="19">
        <v>909</v>
      </c>
      <c r="CA45" s="28">
        <v>1</v>
      </c>
    </row>
    <row r="46" spans="4:79" ht="15">
      <c r="D46" s="19" t="s">
        <v>1858</v>
      </c>
      <c r="E46" s="28">
        <v>1</v>
      </c>
      <c r="G46" s="19" t="s">
        <v>1407</v>
      </c>
      <c r="H46" s="28">
        <v>1200</v>
      </c>
      <c r="J46" s="19" t="s">
        <v>508</v>
      </c>
      <c r="K46" s="28">
        <v>2</v>
      </c>
      <c r="L46" s="28">
        <v>9.9499999999999993</v>
      </c>
      <c r="M46" s="28">
        <v>1.79</v>
      </c>
      <c r="N46" s="28">
        <v>11.74</v>
      </c>
      <c r="R46"/>
      <c r="S46"/>
      <c r="T46"/>
      <c r="U46"/>
      <c r="V46"/>
      <c r="X46"/>
      <c r="Y46"/>
      <c r="Z46"/>
      <c r="AA46"/>
      <c r="AB46"/>
      <c r="AD46" s="19" t="s">
        <v>1846</v>
      </c>
      <c r="AE46" s="28">
        <v>1</v>
      </c>
      <c r="AF46" s="28">
        <v>14.5</v>
      </c>
      <c r="AG46" s="28">
        <v>2.61</v>
      </c>
      <c r="AH46" s="28">
        <v>17.11</v>
      </c>
      <c r="AI46"/>
      <c r="AJ46" s="19" t="s">
        <v>378</v>
      </c>
      <c r="AK46" s="28">
        <v>1</v>
      </c>
      <c r="AL46" s="28">
        <v>4123.66</v>
      </c>
      <c r="AM46" s="28">
        <v>742.26</v>
      </c>
      <c r="AN46" s="28">
        <v>4865.92</v>
      </c>
      <c r="BN46"/>
      <c r="BO46"/>
      <c r="BQ46"/>
      <c r="BR46"/>
      <c r="BZ46" s="19">
        <v>910</v>
      </c>
      <c r="CA46" s="28">
        <v>1</v>
      </c>
    </row>
    <row r="47" spans="4:79" ht="15">
      <c r="D47" s="19" t="s">
        <v>1859</v>
      </c>
      <c r="E47" s="28">
        <v>1</v>
      </c>
      <c r="G47" s="19" t="s">
        <v>1410</v>
      </c>
      <c r="H47" s="28">
        <v>1200</v>
      </c>
      <c r="J47" s="19" t="s">
        <v>521</v>
      </c>
      <c r="K47" s="28">
        <v>4</v>
      </c>
      <c r="L47" s="28">
        <v>626.88</v>
      </c>
      <c r="M47" s="28">
        <v>112.83</v>
      </c>
      <c r="N47" s="28">
        <v>739.71</v>
      </c>
      <c r="R47"/>
      <c r="S47"/>
      <c r="T47"/>
      <c r="U47"/>
      <c r="V47"/>
      <c r="X47"/>
      <c r="Y47"/>
      <c r="Z47"/>
      <c r="AA47"/>
      <c r="AB47"/>
      <c r="AD47" s="19" t="s">
        <v>1915</v>
      </c>
      <c r="AE47" s="28">
        <v>1</v>
      </c>
      <c r="AF47" s="28">
        <v>4123.66</v>
      </c>
      <c r="AG47" s="28">
        <v>742.26</v>
      </c>
      <c r="AH47" s="28">
        <v>4865.92</v>
      </c>
      <c r="AI47"/>
      <c r="AJ47" s="19" t="s">
        <v>374</v>
      </c>
      <c r="AK47" s="28">
        <v>1</v>
      </c>
      <c r="AL47" s="28">
        <v>73.47</v>
      </c>
      <c r="AM47" s="28">
        <v>13.22</v>
      </c>
      <c r="AN47" s="28">
        <v>86.69</v>
      </c>
      <c r="BN47"/>
      <c r="BO47"/>
      <c r="BQ47"/>
      <c r="BR47"/>
      <c r="BZ47" s="19">
        <v>911</v>
      </c>
      <c r="CA47" s="28">
        <v>1</v>
      </c>
    </row>
    <row r="48" spans="4:79" ht="15">
      <c r="D48" s="19" t="s">
        <v>1860</v>
      </c>
      <c r="E48" s="28">
        <v>1</v>
      </c>
      <c r="G48" s="19" t="s">
        <v>1414</v>
      </c>
      <c r="H48" s="28">
        <v>308</v>
      </c>
      <c r="J48" s="19" t="s">
        <v>603</v>
      </c>
      <c r="K48" s="28">
        <v>2</v>
      </c>
      <c r="L48" s="28">
        <v>51.01</v>
      </c>
      <c r="M48" s="28">
        <v>9.18</v>
      </c>
      <c r="N48" s="28">
        <v>60.19</v>
      </c>
      <c r="R48"/>
      <c r="S48"/>
      <c r="T48"/>
      <c r="U48"/>
      <c r="V48"/>
      <c r="X48"/>
      <c r="Y48"/>
      <c r="Z48"/>
      <c r="AA48"/>
      <c r="AB48"/>
      <c r="AD48" s="19" t="s">
        <v>1912</v>
      </c>
      <c r="AE48" s="28">
        <v>1</v>
      </c>
      <c r="AF48" s="28">
        <v>73.47</v>
      </c>
      <c r="AG48" s="28">
        <v>13.22</v>
      </c>
      <c r="AH48" s="28">
        <v>86.69</v>
      </c>
      <c r="AI48"/>
      <c r="AJ48" s="19" t="s">
        <v>371</v>
      </c>
      <c r="AK48" s="28">
        <v>1</v>
      </c>
      <c r="AL48" s="28">
        <v>79.75</v>
      </c>
      <c r="AM48" s="28">
        <v>14.36</v>
      </c>
      <c r="AN48" s="28">
        <v>94.11</v>
      </c>
      <c r="BN48"/>
      <c r="BO48"/>
      <c r="BQ48"/>
      <c r="BR48"/>
      <c r="BZ48" s="19">
        <v>912</v>
      </c>
      <c r="CA48" s="28">
        <v>1</v>
      </c>
    </row>
    <row r="49" spans="4:79" ht="15">
      <c r="D49" s="19" t="s">
        <v>1861</v>
      </c>
      <c r="E49" s="28">
        <v>1</v>
      </c>
      <c r="G49" s="19" t="s">
        <v>1437</v>
      </c>
      <c r="H49" s="28">
        <v>650</v>
      </c>
      <c r="J49" s="19" t="s">
        <v>608</v>
      </c>
      <c r="K49" s="28">
        <v>4</v>
      </c>
      <c r="L49" s="28">
        <v>1648.8000000000002</v>
      </c>
      <c r="M49" s="28">
        <v>296.78999999999996</v>
      </c>
      <c r="N49" s="28">
        <v>1945.59</v>
      </c>
      <c r="R49"/>
      <c r="S49"/>
      <c r="T49"/>
      <c r="U49"/>
      <c r="V49"/>
      <c r="X49"/>
      <c r="Y49"/>
      <c r="Z49"/>
      <c r="AA49"/>
      <c r="AB49"/>
      <c r="AD49" s="19" t="s">
        <v>1911</v>
      </c>
      <c r="AE49" s="28">
        <v>1</v>
      </c>
      <c r="AF49" s="28">
        <v>79.75</v>
      </c>
      <c r="AG49" s="28">
        <v>14.36</v>
      </c>
      <c r="AH49" s="28">
        <v>94.11</v>
      </c>
      <c r="AI49"/>
      <c r="AJ49" s="19" t="s">
        <v>358</v>
      </c>
      <c r="AK49" s="28">
        <v>1</v>
      </c>
      <c r="AL49" s="28">
        <v>652.20000000000005</v>
      </c>
      <c r="AM49" s="28">
        <v>117.4</v>
      </c>
      <c r="AN49" s="28">
        <v>769.6</v>
      </c>
      <c r="BN49"/>
      <c r="BO49"/>
      <c r="BQ49"/>
      <c r="BR49"/>
      <c r="BZ49" s="19">
        <v>913</v>
      </c>
      <c r="CA49" s="28">
        <v>2</v>
      </c>
    </row>
    <row r="50" spans="4:79" ht="15">
      <c r="D50" s="19" t="s">
        <v>1862</v>
      </c>
      <c r="E50" s="28">
        <v>1</v>
      </c>
      <c r="G50" s="19" t="s">
        <v>1439</v>
      </c>
      <c r="H50" s="28">
        <v>600</v>
      </c>
      <c r="J50" s="19" t="s">
        <v>598</v>
      </c>
      <c r="K50" s="28">
        <v>2</v>
      </c>
      <c r="L50" s="28">
        <v>338.05</v>
      </c>
      <c r="M50" s="28">
        <v>60.849999999999994</v>
      </c>
      <c r="N50" s="28">
        <v>398.9</v>
      </c>
      <c r="R50"/>
      <c r="S50"/>
      <c r="T50"/>
      <c r="U50"/>
      <c r="V50"/>
      <c r="X50"/>
      <c r="Y50"/>
      <c r="Z50"/>
      <c r="AA50"/>
      <c r="AB50"/>
      <c r="AD50" s="19" t="s">
        <v>1902</v>
      </c>
      <c r="AE50" s="28">
        <v>1</v>
      </c>
      <c r="AF50" s="28">
        <v>652.20000000000005</v>
      </c>
      <c r="AG50" s="28">
        <v>117.4</v>
      </c>
      <c r="AH50" s="28">
        <v>769.6</v>
      </c>
      <c r="AI50"/>
      <c r="AJ50" s="19" t="s">
        <v>357</v>
      </c>
      <c r="AK50" s="28">
        <v>1</v>
      </c>
      <c r="AL50" s="28">
        <v>638.30999999999995</v>
      </c>
      <c r="AM50" s="28">
        <v>114.9</v>
      </c>
      <c r="AN50" s="28">
        <v>753.21</v>
      </c>
      <c r="BN50"/>
      <c r="BO50"/>
      <c r="BQ50"/>
      <c r="BR50"/>
      <c r="BZ50" s="19">
        <v>914</v>
      </c>
      <c r="CA50" s="28">
        <v>1</v>
      </c>
    </row>
    <row r="51" spans="4:79" ht="15">
      <c r="D51" s="19" t="s">
        <v>1863</v>
      </c>
      <c r="E51" s="28">
        <v>1</v>
      </c>
      <c r="G51" s="19" t="s">
        <v>1441</v>
      </c>
      <c r="H51" s="28">
        <v>1200</v>
      </c>
      <c r="J51" s="19" t="s">
        <v>617</v>
      </c>
      <c r="K51" s="28">
        <v>3</v>
      </c>
      <c r="L51" s="28">
        <v>72.88</v>
      </c>
      <c r="M51" s="28">
        <v>13.120000000000001</v>
      </c>
      <c r="N51" s="28">
        <v>86</v>
      </c>
      <c r="R51"/>
      <c r="S51"/>
      <c r="T51"/>
      <c r="U51"/>
      <c r="V51"/>
      <c r="X51"/>
      <c r="Y51"/>
      <c r="Z51"/>
      <c r="AA51"/>
      <c r="AB51"/>
      <c r="AD51" s="19" t="s">
        <v>1901</v>
      </c>
      <c r="AE51" s="28">
        <v>1</v>
      </c>
      <c r="AF51" s="28">
        <v>638.30999999999995</v>
      </c>
      <c r="AG51" s="28">
        <v>114.9</v>
      </c>
      <c r="AH51" s="28">
        <v>753.21</v>
      </c>
      <c r="AI51"/>
      <c r="AJ51" s="19" t="s">
        <v>356</v>
      </c>
      <c r="AK51" s="28">
        <v>1</v>
      </c>
      <c r="AL51" s="28">
        <v>1800</v>
      </c>
      <c r="AM51" s="28">
        <v>324</v>
      </c>
      <c r="AN51" s="28">
        <v>2124</v>
      </c>
      <c r="BN51"/>
      <c r="BO51"/>
      <c r="BQ51"/>
      <c r="BR51"/>
      <c r="BZ51" s="19">
        <v>915</v>
      </c>
      <c r="CA51" s="28">
        <v>1</v>
      </c>
    </row>
    <row r="52" spans="4:79" ht="15">
      <c r="D52" s="19" t="s">
        <v>1864</v>
      </c>
      <c r="E52" s="28">
        <v>1</v>
      </c>
      <c r="G52" s="19" t="s">
        <v>1443</v>
      </c>
      <c r="H52" s="28">
        <v>1200</v>
      </c>
      <c r="J52" s="19" t="s">
        <v>624</v>
      </c>
      <c r="K52" s="28">
        <v>2</v>
      </c>
      <c r="L52" s="28">
        <v>653.80999999999995</v>
      </c>
      <c r="M52" s="28">
        <v>117.69</v>
      </c>
      <c r="N52" s="28">
        <v>771.5</v>
      </c>
      <c r="R52"/>
      <c r="S52"/>
      <c r="T52"/>
      <c r="U52"/>
      <c r="V52"/>
      <c r="X52"/>
      <c r="Y52"/>
      <c r="Z52"/>
      <c r="AA52"/>
      <c r="AB52"/>
      <c r="AD52" s="19" t="s">
        <v>1900</v>
      </c>
      <c r="AE52" s="28">
        <v>1</v>
      </c>
      <c r="AF52" s="28">
        <v>1800</v>
      </c>
      <c r="AG52" s="28">
        <v>324</v>
      </c>
      <c r="AH52" s="28">
        <v>2124</v>
      </c>
      <c r="AI52"/>
      <c r="AJ52" s="19" t="s">
        <v>355</v>
      </c>
      <c r="AK52" s="28">
        <v>1</v>
      </c>
      <c r="AL52" s="28">
        <v>1000</v>
      </c>
      <c r="AM52" s="28">
        <v>180</v>
      </c>
      <c r="AN52" s="28">
        <v>1180</v>
      </c>
      <c r="BN52"/>
      <c r="BO52"/>
      <c r="BQ52"/>
      <c r="BR52"/>
      <c r="BZ52" s="19">
        <v>916</v>
      </c>
      <c r="CA52" s="28">
        <v>1</v>
      </c>
    </row>
    <row r="53" spans="4:79" ht="15">
      <c r="D53" s="19" t="s">
        <v>1865</v>
      </c>
      <c r="E53" s="28">
        <v>1</v>
      </c>
      <c r="G53" s="19" t="s">
        <v>1447</v>
      </c>
      <c r="H53" s="28">
        <v>1885.17</v>
      </c>
      <c r="J53" s="19" t="s">
        <v>629</v>
      </c>
      <c r="K53" s="28">
        <v>2</v>
      </c>
      <c r="L53" s="28">
        <v>88.31</v>
      </c>
      <c r="M53" s="28">
        <v>15.89</v>
      </c>
      <c r="N53" s="28">
        <v>104.2</v>
      </c>
      <c r="R53"/>
      <c r="S53"/>
      <c r="T53"/>
      <c r="U53"/>
      <c r="V53"/>
      <c r="X53"/>
      <c r="Y53"/>
      <c r="Z53"/>
      <c r="AA53"/>
      <c r="AB53"/>
      <c r="AD53" s="19" t="s">
        <v>1899</v>
      </c>
      <c r="AE53" s="28">
        <v>1</v>
      </c>
      <c r="AF53" s="28">
        <v>1000</v>
      </c>
      <c r="AG53" s="28">
        <v>180</v>
      </c>
      <c r="AH53" s="28">
        <v>1180</v>
      </c>
      <c r="AI53"/>
      <c r="AJ53" s="19" t="s">
        <v>354</v>
      </c>
      <c r="AK53" s="28">
        <v>1</v>
      </c>
      <c r="AL53" s="28">
        <v>500</v>
      </c>
      <c r="AM53" s="28">
        <v>90</v>
      </c>
      <c r="AN53" s="28">
        <v>590</v>
      </c>
      <c r="BN53"/>
      <c r="BO53"/>
      <c r="BQ53"/>
      <c r="BR53"/>
      <c r="BZ53" s="19">
        <v>917</v>
      </c>
      <c r="CA53" s="28">
        <v>1</v>
      </c>
    </row>
    <row r="54" spans="4:79" ht="15">
      <c r="D54" s="19" t="s">
        <v>1866</v>
      </c>
      <c r="E54" s="28">
        <v>1</v>
      </c>
      <c r="G54" s="19" t="s">
        <v>1449</v>
      </c>
      <c r="H54" s="28">
        <v>2130.25</v>
      </c>
      <c r="J54" s="19" t="s">
        <v>681</v>
      </c>
      <c r="K54" s="28">
        <v>4</v>
      </c>
      <c r="L54" s="28">
        <v>13431.189999999999</v>
      </c>
      <c r="M54" s="28">
        <v>2417.6099999999997</v>
      </c>
      <c r="N54" s="28">
        <v>15848.800000000001</v>
      </c>
      <c r="R54"/>
      <c r="S54"/>
      <c r="T54"/>
      <c r="U54"/>
      <c r="V54"/>
      <c r="X54"/>
      <c r="Y54"/>
      <c r="Z54"/>
      <c r="AA54"/>
      <c r="AB54"/>
      <c r="AD54" s="19" t="s">
        <v>1898</v>
      </c>
      <c r="AE54" s="28">
        <v>1</v>
      </c>
      <c r="AF54" s="28">
        <v>500</v>
      </c>
      <c r="AG54" s="28">
        <v>90</v>
      </c>
      <c r="AH54" s="28">
        <v>590</v>
      </c>
      <c r="AI54"/>
      <c r="AJ54" s="19" t="s">
        <v>340</v>
      </c>
      <c r="AK54" s="28">
        <v>1</v>
      </c>
      <c r="AL54" s="28">
        <v>60</v>
      </c>
      <c r="AM54" s="28">
        <v>10.8</v>
      </c>
      <c r="AN54" s="28">
        <v>70.8</v>
      </c>
      <c r="BN54"/>
      <c r="BO54"/>
      <c r="BQ54"/>
      <c r="BR54"/>
      <c r="BZ54" s="19">
        <v>918</v>
      </c>
      <c r="CA54" s="28">
        <v>1</v>
      </c>
    </row>
    <row r="55" spans="4:79" ht="15">
      <c r="D55" s="19" t="s">
        <v>1867</v>
      </c>
      <c r="E55" s="28">
        <v>1</v>
      </c>
      <c r="G55" s="19" t="s">
        <v>1452</v>
      </c>
      <c r="H55" s="28">
        <v>300</v>
      </c>
      <c r="J55" s="19" t="s">
        <v>634</v>
      </c>
      <c r="K55" s="28">
        <v>23</v>
      </c>
      <c r="L55" s="28">
        <v>17369.179999999997</v>
      </c>
      <c r="M55" s="28">
        <v>3126.4399999999996</v>
      </c>
      <c r="N55" s="28">
        <v>20495.619999999995</v>
      </c>
      <c r="R55"/>
      <c r="S55"/>
      <c r="T55"/>
      <c r="U55"/>
      <c r="V55"/>
      <c r="X55"/>
      <c r="Y55"/>
      <c r="Z55"/>
      <c r="AA55"/>
      <c r="AB55"/>
      <c r="AD55" s="19" t="s">
        <v>1892</v>
      </c>
      <c r="AE55" s="28">
        <v>1</v>
      </c>
      <c r="AF55" s="28">
        <v>60</v>
      </c>
      <c r="AG55" s="28">
        <v>10.8</v>
      </c>
      <c r="AH55" s="28">
        <v>70.8</v>
      </c>
      <c r="AI55"/>
      <c r="AJ55" s="19" t="s">
        <v>302</v>
      </c>
      <c r="AK55" s="28">
        <v>1</v>
      </c>
      <c r="AL55" s="28">
        <v>904.65</v>
      </c>
      <c r="AM55" s="28">
        <v>162.84</v>
      </c>
      <c r="AN55" s="28">
        <v>1067.49</v>
      </c>
      <c r="BN55"/>
      <c r="BO55"/>
      <c r="BQ55"/>
      <c r="BR55"/>
      <c r="BZ55" s="19">
        <v>919</v>
      </c>
      <c r="CA55" s="28">
        <v>1</v>
      </c>
    </row>
    <row r="56" spans="4:79" ht="15">
      <c r="D56" s="19" t="s">
        <v>1868</v>
      </c>
      <c r="E56" s="28">
        <v>1</v>
      </c>
      <c r="G56" s="19" t="s">
        <v>1454</v>
      </c>
      <c r="H56" s="28">
        <v>300</v>
      </c>
      <c r="J56" s="19" t="s">
        <v>739</v>
      </c>
      <c r="K56" s="28">
        <v>2</v>
      </c>
      <c r="L56" s="28">
        <v>53.39</v>
      </c>
      <c r="M56" s="28">
        <v>9.61</v>
      </c>
      <c r="N56" s="28">
        <v>63</v>
      </c>
      <c r="R56"/>
      <c r="S56"/>
      <c r="T56"/>
      <c r="U56"/>
      <c r="V56"/>
      <c r="X56"/>
      <c r="Y56"/>
      <c r="Z56"/>
      <c r="AA56"/>
      <c r="AB56"/>
      <c r="AD56" s="19" t="s">
        <v>1885</v>
      </c>
      <c r="AE56" s="28">
        <v>1</v>
      </c>
      <c r="AF56" s="28">
        <v>904.65</v>
      </c>
      <c r="AG56" s="28">
        <v>162.84</v>
      </c>
      <c r="AH56" s="28">
        <v>1067.49</v>
      </c>
      <c r="AI56"/>
      <c r="AJ56" s="19" t="s">
        <v>301</v>
      </c>
      <c r="AK56" s="28">
        <v>1</v>
      </c>
      <c r="AL56" s="28">
        <v>988.4</v>
      </c>
      <c r="AM56" s="28">
        <v>177.91</v>
      </c>
      <c r="AN56" s="28">
        <v>1166.31</v>
      </c>
      <c r="BN56"/>
      <c r="BO56"/>
      <c r="BQ56"/>
      <c r="BR56"/>
      <c r="BZ56" s="19">
        <v>920</v>
      </c>
      <c r="CA56" s="28">
        <v>1</v>
      </c>
    </row>
    <row r="57" spans="4:79" ht="15">
      <c r="D57" s="19" t="s">
        <v>1869</v>
      </c>
      <c r="E57" s="28">
        <v>1</v>
      </c>
      <c r="G57" s="19" t="s">
        <v>1456</v>
      </c>
      <c r="H57" s="28">
        <v>930</v>
      </c>
      <c r="J57" s="19" t="s">
        <v>744</v>
      </c>
      <c r="K57" s="28">
        <v>2</v>
      </c>
      <c r="L57" s="28">
        <v>373.72</v>
      </c>
      <c r="M57" s="28">
        <v>67.28</v>
      </c>
      <c r="N57" s="28">
        <v>441</v>
      </c>
      <c r="R57"/>
      <c r="S57"/>
      <c r="T57"/>
      <c r="U57"/>
      <c r="V57"/>
      <c r="X57"/>
      <c r="Y57"/>
      <c r="Z57"/>
      <c r="AA57"/>
      <c r="AB57"/>
      <c r="AD57" s="19" t="s">
        <v>1884</v>
      </c>
      <c r="AE57" s="28">
        <v>1</v>
      </c>
      <c r="AF57" s="28">
        <v>988.4</v>
      </c>
      <c r="AG57" s="28">
        <v>177.91</v>
      </c>
      <c r="AH57" s="28">
        <v>1166.31</v>
      </c>
      <c r="AI57"/>
      <c r="AJ57" s="19" t="s">
        <v>300</v>
      </c>
      <c r="AK57" s="28">
        <v>1</v>
      </c>
      <c r="AL57" s="28">
        <v>1630.51</v>
      </c>
      <c r="AM57" s="28">
        <v>293.49</v>
      </c>
      <c r="AN57" s="28">
        <v>1924</v>
      </c>
      <c r="BN57"/>
      <c r="BO57"/>
      <c r="BQ57"/>
      <c r="BR57"/>
      <c r="BZ57" s="19">
        <v>921</v>
      </c>
      <c r="CA57" s="28">
        <v>2</v>
      </c>
    </row>
    <row r="58" spans="4:79" ht="15">
      <c r="D58" s="19" t="s">
        <v>1870</v>
      </c>
      <c r="E58" s="28">
        <v>1</v>
      </c>
      <c r="G58" s="19" t="s">
        <v>1462</v>
      </c>
      <c r="H58" s="28">
        <v>600</v>
      </c>
      <c r="J58" s="19" t="s">
        <v>749</v>
      </c>
      <c r="K58" s="28">
        <v>2</v>
      </c>
      <c r="L58" s="28">
        <v>2171.0700000000002</v>
      </c>
      <c r="M58" s="28">
        <v>390.79999999999995</v>
      </c>
      <c r="N58" s="28">
        <v>2561.87</v>
      </c>
      <c r="R58"/>
      <c r="S58"/>
      <c r="T58"/>
      <c r="U58"/>
      <c r="V58"/>
      <c r="X58"/>
      <c r="Y58"/>
      <c r="Z58"/>
      <c r="AA58"/>
      <c r="AB58"/>
      <c r="AD58" s="19" t="s">
        <v>1883</v>
      </c>
      <c r="AE58" s="28">
        <v>1</v>
      </c>
      <c r="AF58" s="28">
        <v>1630.51</v>
      </c>
      <c r="AG58" s="28">
        <v>293.49</v>
      </c>
      <c r="AH58" s="28">
        <v>1924</v>
      </c>
      <c r="AI58"/>
      <c r="AJ58" s="19" t="s">
        <v>299</v>
      </c>
      <c r="AK58" s="28">
        <v>1</v>
      </c>
      <c r="AL58" s="28">
        <v>300</v>
      </c>
      <c r="AM58" s="28">
        <v>54</v>
      </c>
      <c r="AN58" s="28">
        <v>354</v>
      </c>
      <c r="BN58"/>
      <c r="BO58"/>
      <c r="BQ58"/>
      <c r="BR58"/>
      <c r="BZ58" s="19">
        <v>922</v>
      </c>
      <c r="CA58" s="28">
        <v>1</v>
      </c>
    </row>
    <row r="59" spans="4:79" ht="15">
      <c r="D59" s="19" t="s">
        <v>1871</v>
      </c>
      <c r="E59" s="28">
        <v>1</v>
      </c>
      <c r="G59" s="19" t="s">
        <v>1468</v>
      </c>
      <c r="H59" s="28">
        <v>1</v>
      </c>
      <c r="J59" s="19" t="s">
        <v>722</v>
      </c>
      <c r="K59" s="28">
        <v>2</v>
      </c>
      <c r="L59" s="28">
        <v>434.21000000000004</v>
      </c>
      <c r="M59" s="28">
        <v>78.150000000000006</v>
      </c>
      <c r="N59" s="28">
        <v>512.36</v>
      </c>
      <c r="R59"/>
      <c r="S59"/>
      <c r="T59"/>
      <c r="U59"/>
      <c r="V59"/>
      <c r="X59"/>
      <c r="Y59"/>
      <c r="Z59"/>
      <c r="AA59"/>
      <c r="AB59"/>
      <c r="AD59" s="19" t="s">
        <v>1882</v>
      </c>
      <c r="AE59" s="28">
        <v>1</v>
      </c>
      <c r="AF59" s="28">
        <v>300</v>
      </c>
      <c r="AG59" s="28">
        <v>54</v>
      </c>
      <c r="AH59" s="28">
        <v>354</v>
      </c>
      <c r="AI59"/>
      <c r="AJ59" s="19" t="s">
        <v>298</v>
      </c>
      <c r="AK59" s="28">
        <v>1</v>
      </c>
      <c r="AL59" s="28">
        <v>100</v>
      </c>
      <c r="AM59" s="28">
        <v>18</v>
      </c>
      <c r="AN59" s="28">
        <v>118</v>
      </c>
      <c r="BN59"/>
      <c r="BO59"/>
      <c r="BQ59"/>
      <c r="BR59"/>
      <c r="BZ59" s="19">
        <v>923</v>
      </c>
      <c r="CA59" s="28">
        <v>1</v>
      </c>
    </row>
    <row r="60" spans="4:79" ht="15">
      <c r="D60" s="19" t="s">
        <v>1872</v>
      </c>
      <c r="E60" s="28">
        <v>1</v>
      </c>
      <c r="G60" s="19" t="s">
        <v>1470</v>
      </c>
      <c r="H60" s="28">
        <v>600</v>
      </c>
      <c r="J60" s="19" t="s">
        <v>754</v>
      </c>
      <c r="K60" s="28">
        <v>2</v>
      </c>
      <c r="L60" s="28">
        <v>192.07</v>
      </c>
      <c r="M60" s="28">
        <v>34.57</v>
      </c>
      <c r="N60" s="28">
        <v>226.64</v>
      </c>
      <c r="R60"/>
      <c r="S60"/>
      <c r="T60"/>
      <c r="U60"/>
      <c r="V60"/>
      <c r="X60"/>
      <c r="Y60"/>
      <c r="Z60"/>
      <c r="AA60"/>
      <c r="AB60"/>
      <c r="AD60" s="19" t="s">
        <v>1881</v>
      </c>
      <c r="AE60" s="28">
        <v>1</v>
      </c>
      <c r="AF60" s="28">
        <v>100</v>
      </c>
      <c r="AG60" s="28">
        <v>18</v>
      </c>
      <c r="AH60" s="28">
        <v>118</v>
      </c>
      <c r="AI60"/>
      <c r="AJ60" s="19" t="s">
        <v>297</v>
      </c>
      <c r="AK60" s="28">
        <v>1</v>
      </c>
      <c r="AL60" s="28">
        <v>100</v>
      </c>
      <c r="AM60" s="28">
        <v>18</v>
      </c>
      <c r="AN60" s="28">
        <v>118</v>
      </c>
      <c r="BN60"/>
      <c r="BO60"/>
      <c r="BQ60"/>
      <c r="BR60"/>
      <c r="BZ60" s="19">
        <v>924</v>
      </c>
      <c r="CA60" s="28">
        <v>1</v>
      </c>
    </row>
    <row r="61" spans="4:79" ht="15">
      <c r="D61" s="19" t="s">
        <v>1873</v>
      </c>
      <c r="E61" s="28">
        <v>1</v>
      </c>
      <c r="G61" s="19" t="s">
        <v>1476</v>
      </c>
      <c r="H61" s="28">
        <v>20</v>
      </c>
      <c r="J61" s="19" t="s">
        <v>727</v>
      </c>
      <c r="K61" s="28">
        <v>2</v>
      </c>
      <c r="L61" s="28">
        <v>1744.3200000000002</v>
      </c>
      <c r="M61" s="28">
        <v>313.98</v>
      </c>
      <c r="N61" s="28">
        <v>2058.3000000000002</v>
      </c>
      <c r="R61"/>
      <c r="S61"/>
      <c r="T61"/>
      <c r="U61"/>
      <c r="V61"/>
      <c r="X61"/>
      <c r="Y61"/>
      <c r="Z61"/>
      <c r="AA61"/>
      <c r="AB61"/>
      <c r="AD61" s="19" t="s">
        <v>1880</v>
      </c>
      <c r="AE61" s="28">
        <v>1</v>
      </c>
      <c r="AF61" s="28">
        <v>100</v>
      </c>
      <c r="AG61" s="28">
        <v>18</v>
      </c>
      <c r="AH61" s="28">
        <v>118</v>
      </c>
      <c r="AI61"/>
      <c r="AJ61" s="19" t="s">
        <v>296</v>
      </c>
      <c r="AK61" s="28">
        <v>1</v>
      </c>
      <c r="AL61" s="28">
        <v>2687.46</v>
      </c>
      <c r="AM61" s="28">
        <v>483.74</v>
      </c>
      <c r="AN61" s="28">
        <v>3171.2</v>
      </c>
      <c r="BN61"/>
      <c r="BO61"/>
      <c r="BQ61"/>
      <c r="BR61"/>
      <c r="BZ61" s="19">
        <v>925</v>
      </c>
      <c r="CA61" s="28">
        <v>1</v>
      </c>
    </row>
    <row r="62" spans="4:79" ht="15">
      <c r="D62" s="19" t="s">
        <v>1874</v>
      </c>
      <c r="E62" s="28">
        <v>1</v>
      </c>
      <c r="G62" s="19" t="s">
        <v>1479</v>
      </c>
      <c r="H62" s="28">
        <v>830</v>
      </c>
      <c r="J62" s="19" t="s">
        <v>732</v>
      </c>
      <c r="K62" s="28">
        <v>3</v>
      </c>
      <c r="L62" s="28">
        <v>456.15999999999997</v>
      </c>
      <c r="M62" s="28">
        <v>82.1</v>
      </c>
      <c r="N62" s="28">
        <v>538.26</v>
      </c>
      <c r="R62"/>
      <c r="S62"/>
      <c r="T62"/>
      <c r="U62"/>
      <c r="V62"/>
      <c r="X62"/>
      <c r="Y62"/>
      <c r="Z62"/>
      <c r="AA62"/>
      <c r="AB62"/>
      <c r="AD62" s="19" t="s">
        <v>1879</v>
      </c>
      <c r="AE62" s="28">
        <v>1</v>
      </c>
      <c r="AF62" s="28">
        <v>2687.46</v>
      </c>
      <c r="AG62" s="28">
        <v>483.74</v>
      </c>
      <c r="AH62" s="28">
        <v>3171.2</v>
      </c>
      <c r="AI62"/>
      <c r="AJ62" s="19" t="s">
        <v>295</v>
      </c>
      <c r="AK62" s="28">
        <v>1</v>
      </c>
      <c r="AL62" s="28">
        <v>6</v>
      </c>
      <c r="AM62" s="28">
        <v>1.08</v>
      </c>
      <c r="AN62" s="28">
        <v>7.08</v>
      </c>
      <c r="BN62"/>
      <c r="BO62"/>
      <c r="BQ62"/>
      <c r="BR62"/>
      <c r="BZ62" s="19">
        <v>926</v>
      </c>
      <c r="CA62" s="28">
        <v>1</v>
      </c>
    </row>
    <row r="63" spans="4:79" ht="15">
      <c r="D63" s="19" t="s">
        <v>1875</v>
      </c>
      <c r="E63" s="28">
        <v>1</v>
      </c>
      <c r="G63" s="19" t="s">
        <v>1489</v>
      </c>
      <c r="H63" s="28">
        <v>32.5</v>
      </c>
      <c r="J63" s="19" t="s">
        <v>763</v>
      </c>
      <c r="K63" s="28">
        <v>5</v>
      </c>
      <c r="L63" s="28">
        <v>12374.59</v>
      </c>
      <c r="M63" s="28">
        <v>2227.42</v>
      </c>
      <c r="N63" s="28">
        <v>14602.009999999998</v>
      </c>
      <c r="R63"/>
      <c r="S63"/>
      <c r="T63"/>
      <c r="U63"/>
      <c r="V63"/>
      <c r="X63"/>
      <c r="Y63"/>
      <c r="Z63"/>
      <c r="AA63"/>
      <c r="AB63"/>
      <c r="AD63" s="19" t="s">
        <v>1878</v>
      </c>
      <c r="AE63" s="28">
        <v>1</v>
      </c>
      <c r="AF63" s="28">
        <v>6</v>
      </c>
      <c r="AG63" s="28">
        <v>1.08</v>
      </c>
      <c r="AH63" s="28">
        <v>7.08</v>
      </c>
      <c r="AI63"/>
      <c r="AJ63" s="19" t="s">
        <v>292</v>
      </c>
      <c r="AK63" s="28">
        <v>1</v>
      </c>
      <c r="AL63" s="28">
        <v>30</v>
      </c>
      <c r="AM63" s="28">
        <v>5.4</v>
      </c>
      <c r="AN63" s="28">
        <v>35.4</v>
      </c>
      <c r="BN63"/>
      <c r="BO63"/>
      <c r="BQ63"/>
      <c r="BR63"/>
      <c r="BZ63" s="19">
        <v>927</v>
      </c>
      <c r="CA63" s="28">
        <v>1</v>
      </c>
    </row>
    <row r="64" spans="4:79" ht="15">
      <c r="D64" s="19" t="s">
        <v>1876</v>
      </c>
      <c r="E64" s="28">
        <v>1</v>
      </c>
      <c r="G64" s="19" t="s">
        <v>1498</v>
      </c>
      <c r="H64" s="28">
        <v>12319.239999999998</v>
      </c>
      <c r="J64" s="19" t="s">
        <v>792</v>
      </c>
      <c r="K64" s="28">
        <v>2</v>
      </c>
      <c r="L64" s="28">
        <v>156.44</v>
      </c>
      <c r="M64" s="28">
        <v>28.160000000000004</v>
      </c>
      <c r="N64" s="28">
        <v>184.60000000000002</v>
      </c>
      <c r="R64"/>
      <c r="S64"/>
      <c r="T64"/>
      <c r="U64"/>
      <c r="V64"/>
      <c r="X64"/>
      <c r="Y64"/>
      <c r="Z64"/>
      <c r="AA64"/>
      <c r="AB64"/>
      <c r="AD64" s="19" t="s">
        <v>1877</v>
      </c>
      <c r="AE64" s="28">
        <v>1</v>
      </c>
      <c r="AF64" s="28">
        <v>30</v>
      </c>
      <c r="AG64" s="28">
        <v>5.4</v>
      </c>
      <c r="AH64" s="28">
        <v>35.4</v>
      </c>
      <c r="AI64"/>
      <c r="AJ64" s="19" t="s">
        <v>291</v>
      </c>
      <c r="AK64" s="28">
        <v>1</v>
      </c>
      <c r="AL64" s="28">
        <v>943.14</v>
      </c>
      <c r="AM64" s="28">
        <v>169.77</v>
      </c>
      <c r="AN64" s="28">
        <v>1112.9100000000001</v>
      </c>
      <c r="BN64"/>
      <c r="BO64"/>
      <c r="BQ64"/>
      <c r="BR64"/>
      <c r="BZ64" s="19">
        <v>928</v>
      </c>
      <c r="CA64" s="28">
        <v>1</v>
      </c>
    </row>
    <row r="65" spans="4:79" ht="15">
      <c r="D65" s="19" t="s">
        <v>1877</v>
      </c>
      <c r="E65" s="28">
        <v>1</v>
      </c>
      <c r="G65" s="19" t="s">
        <v>1500</v>
      </c>
      <c r="H65" s="28">
        <v>488.73</v>
      </c>
      <c r="J65" s="19" t="s">
        <v>908</v>
      </c>
      <c r="K65" s="28">
        <v>2</v>
      </c>
      <c r="L65" s="28">
        <v>79.66</v>
      </c>
      <c r="M65" s="28">
        <v>14.34</v>
      </c>
      <c r="N65" s="28">
        <v>94</v>
      </c>
      <c r="R65"/>
      <c r="S65"/>
      <c r="T65"/>
      <c r="U65"/>
      <c r="V65"/>
      <c r="X65"/>
      <c r="Y65"/>
      <c r="Z65"/>
      <c r="AA65"/>
      <c r="AB65"/>
      <c r="AD65" s="19" t="s">
        <v>1868</v>
      </c>
      <c r="AE65" s="28">
        <v>1</v>
      </c>
      <c r="AF65" s="28">
        <v>943.14</v>
      </c>
      <c r="AG65" s="28">
        <v>169.77</v>
      </c>
      <c r="AH65" s="28">
        <v>1112.9100000000001</v>
      </c>
      <c r="AI65"/>
      <c r="AJ65" s="19" t="s">
        <v>290</v>
      </c>
      <c r="AK65" s="28">
        <v>1</v>
      </c>
      <c r="AL65" s="28">
        <v>785.59</v>
      </c>
      <c r="AM65" s="28">
        <v>141.41</v>
      </c>
      <c r="AN65" s="28">
        <v>927</v>
      </c>
      <c r="BN65"/>
      <c r="BO65"/>
      <c r="BQ65"/>
      <c r="BR65"/>
      <c r="BZ65" s="19">
        <v>929</v>
      </c>
      <c r="CA65" s="28">
        <v>1</v>
      </c>
    </row>
    <row r="66" spans="4:79" ht="15">
      <c r="D66" s="19" t="s">
        <v>1878</v>
      </c>
      <c r="E66" s="28">
        <v>1</v>
      </c>
      <c r="G66" s="19" t="s">
        <v>1502</v>
      </c>
      <c r="H66" s="28">
        <v>3100</v>
      </c>
      <c r="J66" s="19" t="s">
        <v>923</v>
      </c>
      <c r="K66" s="28">
        <v>2</v>
      </c>
      <c r="L66" s="28">
        <v>31.61</v>
      </c>
      <c r="M66" s="28">
        <v>5.69</v>
      </c>
      <c r="N66" s="28">
        <v>37.299999999999997</v>
      </c>
      <c r="R66"/>
      <c r="S66"/>
      <c r="T66"/>
      <c r="U66"/>
      <c r="V66"/>
      <c r="X66"/>
      <c r="Y66"/>
      <c r="Z66"/>
      <c r="AA66"/>
      <c r="AB66"/>
      <c r="AD66" s="19" t="s">
        <v>1867</v>
      </c>
      <c r="AE66" s="28">
        <v>1</v>
      </c>
      <c r="AF66" s="28">
        <v>785.59</v>
      </c>
      <c r="AG66" s="28">
        <v>141.41</v>
      </c>
      <c r="AH66" s="28">
        <v>927</v>
      </c>
      <c r="AI66"/>
      <c r="AJ66" s="19" t="s">
        <v>289</v>
      </c>
      <c r="AK66" s="28">
        <v>1</v>
      </c>
      <c r="AL66" s="28">
        <v>300</v>
      </c>
      <c r="AM66" s="28">
        <v>54</v>
      </c>
      <c r="AN66" s="28">
        <v>354</v>
      </c>
      <c r="BN66"/>
      <c r="BO66"/>
      <c r="BQ66"/>
      <c r="BR66"/>
      <c r="BZ66" s="19">
        <v>930</v>
      </c>
      <c r="CA66" s="28">
        <v>1</v>
      </c>
    </row>
    <row r="67" spans="4:79" ht="15">
      <c r="D67" s="19" t="s">
        <v>1879</v>
      </c>
      <c r="E67" s="28">
        <v>1</v>
      </c>
      <c r="G67" s="19" t="s">
        <v>1506</v>
      </c>
      <c r="H67" s="28">
        <v>847.46</v>
      </c>
      <c r="J67" s="19" t="s">
        <v>855</v>
      </c>
      <c r="K67" s="28">
        <v>2</v>
      </c>
      <c r="L67" s="28">
        <v>84.490000000000009</v>
      </c>
      <c r="M67" s="28">
        <v>15.21</v>
      </c>
      <c r="N67" s="28">
        <v>99.7</v>
      </c>
      <c r="R67"/>
      <c r="S67"/>
      <c r="T67"/>
      <c r="U67"/>
      <c r="V67"/>
      <c r="X67"/>
      <c r="Y67"/>
      <c r="Z67"/>
      <c r="AA67"/>
      <c r="AB67"/>
      <c r="AD67" s="19" t="s">
        <v>1866</v>
      </c>
      <c r="AE67" s="28">
        <v>1</v>
      </c>
      <c r="AF67" s="28">
        <v>300</v>
      </c>
      <c r="AG67" s="28">
        <v>54</v>
      </c>
      <c r="AH67" s="28">
        <v>354</v>
      </c>
      <c r="AI67"/>
      <c r="AJ67" s="19" t="s">
        <v>286</v>
      </c>
      <c r="AK67" s="28">
        <v>1</v>
      </c>
      <c r="AL67" s="28">
        <v>63</v>
      </c>
      <c r="AM67" s="28">
        <v>11.34</v>
      </c>
      <c r="AN67" s="28">
        <v>74.34</v>
      </c>
      <c r="BN67"/>
      <c r="BO67"/>
      <c r="BQ67"/>
      <c r="BR67"/>
      <c r="BZ67" s="19">
        <v>931</v>
      </c>
      <c r="CA67" s="28">
        <v>1</v>
      </c>
    </row>
    <row r="68" spans="4:79" ht="15">
      <c r="D68" s="19" t="s">
        <v>1880</v>
      </c>
      <c r="E68" s="28">
        <v>1</v>
      </c>
      <c r="G68" s="19" t="s">
        <v>1508</v>
      </c>
      <c r="H68" s="28">
        <v>30</v>
      </c>
      <c r="J68" s="19" t="s">
        <v>928</v>
      </c>
      <c r="K68" s="28">
        <v>3</v>
      </c>
      <c r="L68" s="28">
        <v>1722.02</v>
      </c>
      <c r="M68" s="28">
        <v>309.96000000000004</v>
      </c>
      <c r="N68" s="28">
        <v>2031.98</v>
      </c>
      <c r="R68"/>
      <c r="S68"/>
      <c r="T68"/>
      <c r="U68"/>
      <c r="V68"/>
      <c r="X68"/>
      <c r="Y68"/>
      <c r="Z68"/>
      <c r="AA68"/>
      <c r="AB68"/>
      <c r="AD68" s="19" t="s">
        <v>1865</v>
      </c>
      <c r="AE68" s="28">
        <v>1</v>
      </c>
      <c r="AF68" s="28">
        <v>63</v>
      </c>
      <c r="AG68" s="28">
        <v>11.34</v>
      </c>
      <c r="AH68" s="28">
        <v>74.34</v>
      </c>
      <c r="AI68"/>
      <c r="AJ68" s="19" t="s">
        <v>285</v>
      </c>
      <c r="AK68" s="28">
        <v>1</v>
      </c>
      <c r="AL68" s="28">
        <v>18.309999999999999</v>
      </c>
      <c r="AM68" s="28">
        <v>3.3</v>
      </c>
      <c r="AN68" s="28">
        <v>21.61</v>
      </c>
      <c r="BN68"/>
      <c r="BO68"/>
      <c r="BQ68"/>
      <c r="BR68"/>
      <c r="BZ68" s="19">
        <v>932</v>
      </c>
      <c r="CA68" s="28">
        <v>1</v>
      </c>
    </row>
    <row r="69" spans="4:79" ht="15">
      <c r="D69" s="19" t="s">
        <v>1881</v>
      </c>
      <c r="E69" s="28">
        <v>1</v>
      </c>
      <c r="G69" s="19" t="s">
        <v>1510</v>
      </c>
      <c r="H69" s="28">
        <v>150</v>
      </c>
      <c r="J69" s="19" t="s">
        <v>949</v>
      </c>
      <c r="K69" s="28">
        <v>2</v>
      </c>
      <c r="L69" s="28">
        <v>170.85</v>
      </c>
      <c r="M69" s="28">
        <v>30.75</v>
      </c>
      <c r="N69" s="28">
        <v>201.6</v>
      </c>
      <c r="R69"/>
      <c r="S69"/>
      <c r="T69"/>
      <c r="U69"/>
      <c r="V69"/>
      <c r="X69"/>
      <c r="Y69"/>
      <c r="Z69"/>
      <c r="AA69"/>
      <c r="AB69"/>
      <c r="AD69" s="19" t="s">
        <v>1858</v>
      </c>
      <c r="AE69" s="28">
        <v>1</v>
      </c>
      <c r="AF69" s="28">
        <v>18.309999999999999</v>
      </c>
      <c r="AG69" s="28">
        <v>3.3</v>
      </c>
      <c r="AH69" s="28">
        <v>21.61</v>
      </c>
      <c r="AI69"/>
      <c r="AJ69" s="19" t="s">
        <v>282</v>
      </c>
      <c r="AK69" s="28">
        <v>1</v>
      </c>
      <c r="AL69" s="28">
        <v>25.93</v>
      </c>
      <c r="AM69" s="28">
        <v>4.67</v>
      </c>
      <c r="AN69" s="28">
        <v>30.6</v>
      </c>
      <c r="BN69"/>
      <c r="BO69"/>
      <c r="BQ69"/>
      <c r="BR69"/>
      <c r="BZ69" s="19">
        <v>933</v>
      </c>
      <c r="CA69" s="28">
        <v>3</v>
      </c>
    </row>
    <row r="70" spans="4:79" ht="15">
      <c r="D70" s="19" t="s">
        <v>1882</v>
      </c>
      <c r="E70" s="28">
        <v>1</v>
      </c>
      <c r="G70" s="19" t="s">
        <v>1516</v>
      </c>
      <c r="H70" s="28">
        <v>438.73</v>
      </c>
      <c r="J70" s="19" t="s">
        <v>978</v>
      </c>
      <c r="K70" s="28">
        <v>2</v>
      </c>
      <c r="L70" s="28">
        <v>1250.51</v>
      </c>
      <c r="M70" s="28">
        <v>225.09</v>
      </c>
      <c r="N70" s="28">
        <v>1475.6</v>
      </c>
      <c r="R70"/>
      <c r="S70"/>
      <c r="T70"/>
      <c r="U70"/>
      <c r="V70"/>
      <c r="X70"/>
      <c r="Y70"/>
      <c r="Z70"/>
      <c r="AA70"/>
      <c r="AB70"/>
      <c r="AD70" s="19" t="s">
        <v>1857</v>
      </c>
      <c r="AE70" s="28">
        <v>1</v>
      </c>
      <c r="AF70" s="28">
        <v>25.93</v>
      </c>
      <c r="AG70" s="28">
        <v>4.67</v>
      </c>
      <c r="AH70" s="28">
        <v>30.6</v>
      </c>
      <c r="AI70"/>
      <c r="AJ70" s="19" t="s">
        <v>281</v>
      </c>
      <c r="AK70" s="28">
        <v>1</v>
      </c>
      <c r="AL70" s="28">
        <v>1340.25</v>
      </c>
      <c r="AM70" s="28">
        <v>241.25</v>
      </c>
      <c r="AN70" s="28">
        <v>1581.5</v>
      </c>
      <c r="BN70"/>
      <c r="BO70"/>
      <c r="BQ70"/>
      <c r="BR70"/>
      <c r="BZ70" s="19">
        <v>934</v>
      </c>
      <c r="CA70" s="28">
        <v>4</v>
      </c>
    </row>
    <row r="71" spans="4:79" ht="15">
      <c r="D71" s="19" t="s">
        <v>1883</v>
      </c>
      <c r="E71" s="28">
        <v>1</v>
      </c>
      <c r="G71" s="19" t="s">
        <v>1520</v>
      </c>
      <c r="H71" s="28">
        <v>447.73</v>
      </c>
      <c r="J71" s="19" t="s">
        <v>1038</v>
      </c>
      <c r="K71" s="28">
        <v>2</v>
      </c>
      <c r="L71" s="28">
        <v>2546.7800000000002</v>
      </c>
      <c r="M71" s="28">
        <v>458.41999999999996</v>
      </c>
      <c r="N71" s="28">
        <v>3005.2</v>
      </c>
      <c r="R71"/>
      <c r="S71"/>
      <c r="T71"/>
      <c r="U71"/>
      <c r="V71"/>
      <c r="X71"/>
      <c r="Y71"/>
      <c r="Z71"/>
      <c r="AA71"/>
      <c r="AB71"/>
      <c r="AD71" s="19" t="s">
        <v>1856</v>
      </c>
      <c r="AE71" s="28">
        <v>1</v>
      </c>
      <c r="AF71" s="28">
        <v>1340.25</v>
      </c>
      <c r="AG71" s="28">
        <v>241.25</v>
      </c>
      <c r="AH71" s="28">
        <v>1581.5</v>
      </c>
      <c r="AI71"/>
      <c r="AJ71" s="19" t="s">
        <v>280</v>
      </c>
      <c r="AK71" s="28">
        <v>1</v>
      </c>
      <c r="AL71" s="28">
        <v>1688.56</v>
      </c>
      <c r="AM71" s="28">
        <v>303.94</v>
      </c>
      <c r="AN71" s="28">
        <v>1992.5</v>
      </c>
      <c r="BN71"/>
      <c r="BO71"/>
      <c r="BQ71"/>
      <c r="BR71"/>
      <c r="BZ71" s="19">
        <v>935</v>
      </c>
      <c r="CA71" s="28">
        <v>4</v>
      </c>
    </row>
    <row r="72" spans="4:79" ht="15">
      <c r="D72" s="19" t="s">
        <v>1884</v>
      </c>
      <c r="E72" s="28">
        <v>1</v>
      </c>
      <c r="G72" s="19" t="s">
        <v>1522</v>
      </c>
      <c r="H72" s="28">
        <v>150</v>
      </c>
      <c r="J72" s="19" t="s">
        <v>1043</v>
      </c>
      <c r="K72" s="28">
        <v>3</v>
      </c>
      <c r="L72" s="28">
        <v>884.06999999999994</v>
      </c>
      <c r="M72" s="28">
        <v>159.13</v>
      </c>
      <c r="N72" s="28">
        <v>1043.2</v>
      </c>
      <c r="R72"/>
      <c r="S72"/>
      <c r="T72"/>
      <c r="U72"/>
      <c r="V72"/>
      <c r="X72"/>
      <c r="Y72"/>
      <c r="Z72"/>
      <c r="AA72"/>
      <c r="AB72"/>
      <c r="AD72" s="19" t="s">
        <v>1855</v>
      </c>
      <c r="AE72" s="28">
        <v>1</v>
      </c>
      <c r="AF72" s="28">
        <v>1688.56</v>
      </c>
      <c r="AG72" s="28">
        <v>303.94</v>
      </c>
      <c r="AH72" s="28">
        <v>1992.5</v>
      </c>
      <c r="AI72"/>
      <c r="AJ72" s="19" t="s">
        <v>279</v>
      </c>
      <c r="AK72" s="28">
        <v>1</v>
      </c>
      <c r="AL72" s="28">
        <v>100</v>
      </c>
      <c r="AM72" s="28">
        <v>18</v>
      </c>
      <c r="AN72" s="28">
        <v>118</v>
      </c>
      <c r="BN72"/>
      <c r="BO72"/>
      <c r="BQ72"/>
      <c r="BR72"/>
      <c r="BZ72" s="19">
        <v>936</v>
      </c>
      <c r="CA72" s="28">
        <v>3</v>
      </c>
    </row>
    <row r="73" spans="4:79" ht="15">
      <c r="D73" s="19" t="s">
        <v>1885</v>
      </c>
      <c r="E73" s="28">
        <v>1</v>
      </c>
      <c r="G73" s="19" t="s">
        <v>1526</v>
      </c>
      <c r="H73" s="28">
        <v>423.73</v>
      </c>
      <c r="J73" s="19" t="s">
        <v>1050</v>
      </c>
      <c r="K73" s="28">
        <v>2</v>
      </c>
      <c r="L73" s="28">
        <v>2.46</v>
      </c>
      <c r="M73" s="28">
        <v>0.44</v>
      </c>
      <c r="N73" s="28">
        <v>2.9</v>
      </c>
      <c r="R73"/>
      <c r="S73"/>
      <c r="T73"/>
      <c r="U73"/>
      <c r="V73"/>
      <c r="X73"/>
      <c r="Y73"/>
      <c r="Z73"/>
      <c r="AA73"/>
      <c r="AB73"/>
      <c r="AD73" s="19" t="s">
        <v>1854</v>
      </c>
      <c r="AE73" s="28">
        <v>1</v>
      </c>
      <c r="AF73" s="28">
        <v>100</v>
      </c>
      <c r="AG73" s="28">
        <v>18</v>
      </c>
      <c r="AH73" s="28">
        <v>118</v>
      </c>
      <c r="AI73"/>
      <c r="AJ73" s="19" t="s">
        <v>276</v>
      </c>
      <c r="AK73" s="28">
        <v>1</v>
      </c>
      <c r="AL73" s="28">
        <v>2701</v>
      </c>
      <c r="AM73" s="28">
        <v>486.18</v>
      </c>
      <c r="AN73" s="28">
        <v>3187.18</v>
      </c>
      <c r="BN73"/>
      <c r="BO73"/>
      <c r="BQ73"/>
      <c r="BR73"/>
      <c r="BZ73" s="19">
        <v>937</v>
      </c>
      <c r="CA73" s="28">
        <v>4</v>
      </c>
    </row>
    <row r="74" spans="4:79" ht="15">
      <c r="D74" s="19" t="s">
        <v>1886</v>
      </c>
      <c r="E74" s="28">
        <v>1</v>
      </c>
      <c r="G74" s="19" t="s">
        <v>1530</v>
      </c>
      <c r="H74" s="28">
        <v>423.73</v>
      </c>
      <c r="J74" s="19" t="s">
        <v>1029</v>
      </c>
      <c r="K74" s="28">
        <v>4</v>
      </c>
      <c r="L74" s="28">
        <v>3433</v>
      </c>
      <c r="M74" s="28">
        <v>617.94000000000005</v>
      </c>
      <c r="N74" s="28">
        <v>4050.9399999999996</v>
      </c>
      <c r="R74"/>
      <c r="S74"/>
      <c r="T74"/>
      <c r="U74"/>
      <c r="V74"/>
      <c r="X74"/>
      <c r="Y74"/>
      <c r="Z74"/>
      <c r="AA74"/>
      <c r="AB74"/>
      <c r="AD74" s="19" t="s">
        <v>1853</v>
      </c>
      <c r="AE74" s="28">
        <v>1</v>
      </c>
      <c r="AF74" s="28">
        <v>2701</v>
      </c>
      <c r="AG74" s="28">
        <v>486.18</v>
      </c>
      <c r="AH74" s="28">
        <v>3187.18</v>
      </c>
      <c r="AI74"/>
      <c r="AJ74" s="19" t="s">
        <v>275</v>
      </c>
      <c r="AK74" s="28">
        <v>1</v>
      </c>
      <c r="AL74" s="28">
        <v>41.14</v>
      </c>
      <c r="AM74" s="28">
        <v>7.41</v>
      </c>
      <c r="AN74" s="28">
        <v>48.55</v>
      </c>
      <c r="BN74"/>
      <c r="BO74"/>
      <c r="BQ74"/>
      <c r="BR74"/>
      <c r="BZ74" s="19">
        <v>938</v>
      </c>
      <c r="CA74" s="28">
        <v>2</v>
      </c>
    </row>
    <row r="75" spans="4:79" ht="15">
      <c r="D75" s="19" t="s">
        <v>1887</v>
      </c>
      <c r="E75" s="28">
        <v>1</v>
      </c>
      <c r="G75" s="19" t="s">
        <v>1533</v>
      </c>
      <c r="H75" s="28">
        <v>600</v>
      </c>
      <c r="J75" s="19" t="s">
        <v>1055</v>
      </c>
      <c r="K75" s="28">
        <v>3</v>
      </c>
      <c r="L75" s="28">
        <v>3096.4</v>
      </c>
      <c r="M75" s="28">
        <v>557.35</v>
      </c>
      <c r="N75" s="28">
        <v>3653.75</v>
      </c>
      <c r="R75"/>
      <c r="S75"/>
      <c r="T75"/>
      <c r="U75"/>
      <c r="V75"/>
      <c r="X75"/>
      <c r="Y75"/>
      <c r="Z75"/>
      <c r="AA75"/>
      <c r="AB75"/>
      <c r="AD75" s="19" t="s">
        <v>1845</v>
      </c>
      <c r="AE75" s="28">
        <v>1</v>
      </c>
      <c r="AF75" s="28">
        <v>41.14</v>
      </c>
      <c r="AG75" s="28">
        <v>7.41</v>
      </c>
      <c r="AH75" s="28">
        <v>48.55</v>
      </c>
      <c r="AI75"/>
      <c r="AJ75" s="19" t="s">
        <v>270</v>
      </c>
      <c r="AK75" s="28">
        <v>1</v>
      </c>
      <c r="AL75" s="28">
        <v>12.2</v>
      </c>
      <c r="AM75" s="28">
        <v>2.2000000000000002</v>
      </c>
      <c r="AN75" s="28">
        <v>14.4</v>
      </c>
      <c r="BN75"/>
      <c r="BO75"/>
      <c r="BQ75"/>
      <c r="BR75"/>
      <c r="BZ75" s="19">
        <v>939</v>
      </c>
      <c r="CA75" s="28">
        <v>3</v>
      </c>
    </row>
    <row r="76" spans="4:79" ht="15">
      <c r="D76" s="19" t="s">
        <v>1888</v>
      </c>
      <c r="E76" s="28">
        <v>1</v>
      </c>
      <c r="G76" s="19" t="s">
        <v>1538</v>
      </c>
      <c r="H76" s="28">
        <v>1200</v>
      </c>
      <c r="J76" s="19" t="s">
        <v>1138</v>
      </c>
      <c r="K76" s="28">
        <v>2</v>
      </c>
      <c r="L76" s="28">
        <v>172.54</v>
      </c>
      <c r="M76" s="28">
        <v>31.060000000000002</v>
      </c>
      <c r="N76" s="28">
        <v>203.60000000000002</v>
      </c>
      <c r="R76"/>
      <c r="S76"/>
      <c r="T76"/>
      <c r="U76"/>
      <c r="V76"/>
      <c r="X76"/>
      <c r="Y76"/>
      <c r="Z76"/>
      <c r="AA76"/>
      <c r="AB76"/>
      <c r="AD76" s="19" t="s">
        <v>1844</v>
      </c>
      <c r="AE76" s="28">
        <v>1</v>
      </c>
      <c r="AF76" s="28">
        <v>12.2</v>
      </c>
      <c r="AG76" s="28">
        <v>2.2000000000000002</v>
      </c>
      <c r="AH76" s="28">
        <v>14.4</v>
      </c>
      <c r="AI76"/>
      <c r="AJ76" s="19" t="s">
        <v>1218</v>
      </c>
      <c r="AK76" s="28">
        <v>1</v>
      </c>
      <c r="AL76" s="28">
        <v>84.07</v>
      </c>
      <c r="AM76" s="28">
        <v>15.13</v>
      </c>
      <c r="AN76" s="28">
        <v>99.2</v>
      </c>
      <c r="BN76"/>
      <c r="BO76"/>
      <c r="BQ76"/>
      <c r="BR76"/>
      <c r="BZ76" s="19">
        <v>940</v>
      </c>
      <c r="CA76" s="28">
        <v>4</v>
      </c>
    </row>
    <row r="77" spans="4:79" ht="15">
      <c r="D77" s="19" t="s">
        <v>1889</v>
      </c>
      <c r="E77" s="28">
        <v>1</v>
      </c>
      <c r="G77" s="19" t="s">
        <v>1543</v>
      </c>
      <c r="H77" s="28">
        <v>1500</v>
      </c>
      <c r="J77" s="19" t="s">
        <v>1072</v>
      </c>
      <c r="K77" s="28">
        <v>2</v>
      </c>
      <c r="L77" s="28">
        <v>220.69</v>
      </c>
      <c r="M77" s="28">
        <v>39.729999999999997</v>
      </c>
      <c r="N77" s="28">
        <v>260.42</v>
      </c>
      <c r="R77"/>
      <c r="S77"/>
      <c r="T77"/>
      <c r="U77"/>
      <c r="V77"/>
      <c r="X77"/>
      <c r="Y77"/>
      <c r="Z77"/>
      <c r="AA77"/>
      <c r="AB77"/>
      <c r="AD77" s="19" t="s">
        <v>2288</v>
      </c>
      <c r="AE77" s="28">
        <v>1</v>
      </c>
      <c r="AF77" s="28">
        <v>84.07</v>
      </c>
      <c r="AG77" s="28">
        <v>15.13</v>
      </c>
      <c r="AH77" s="28">
        <v>99.2</v>
      </c>
      <c r="AI77"/>
      <c r="AJ77" s="19" t="s">
        <v>1215</v>
      </c>
      <c r="AK77" s="28">
        <v>1</v>
      </c>
      <c r="AL77" s="28">
        <v>129.15</v>
      </c>
      <c r="AM77" s="28">
        <v>23.25</v>
      </c>
      <c r="AN77" s="28">
        <v>152.4</v>
      </c>
      <c r="BN77"/>
      <c r="BO77"/>
      <c r="BQ77"/>
      <c r="BR77"/>
      <c r="BZ77" s="19">
        <v>941</v>
      </c>
      <c r="CA77" s="28">
        <v>1</v>
      </c>
    </row>
    <row r="78" spans="4:79" ht="15">
      <c r="D78" s="19" t="s">
        <v>1890</v>
      </c>
      <c r="E78" s="28">
        <v>1</v>
      </c>
      <c r="G78" s="19" t="s">
        <v>1545</v>
      </c>
      <c r="H78" s="28">
        <v>1575</v>
      </c>
      <c r="J78" s="19" t="s">
        <v>1768</v>
      </c>
      <c r="K78" s="28">
        <v>2</v>
      </c>
      <c r="L78" s="28">
        <v>313.91000000000003</v>
      </c>
      <c r="M78" s="28">
        <v>56.5</v>
      </c>
      <c r="N78" s="28">
        <v>370.41</v>
      </c>
      <c r="R78"/>
      <c r="S78"/>
      <c r="T78"/>
      <c r="U78"/>
      <c r="V78"/>
      <c r="X78"/>
      <c r="Y78"/>
      <c r="Z78"/>
      <c r="AA78"/>
      <c r="AB78"/>
      <c r="AD78" s="19" t="s">
        <v>2287</v>
      </c>
      <c r="AE78" s="28">
        <v>1</v>
      </c>
      <c r="AF78" s="28">
        <v>129.15</v>
      </c>
      <c r="AG78" s="28">
        <v>23.25</v>
      </c>
      <c r="AH78" s="28">
        <v>152.4</v>
      </c>
      <c r="AI78"/>
      <c r="AJ78" s="19" t="s">
        <v>1213</v>
      </c>
      <c r="AK78" s="28">
        <v>1</v>
      </c>
      <c r="AL78" s="28">
        <v>3056.78</v>
      </c>
      <c r="AM78" s="28">
        <v>550.22</v>
      </c>
      <c r="AN78" s="28">
        <v>3607</v>
      </c>
      <c r="BN78"/>
      <c r="BO78"/>
      <c r="BQ78"/>
      <c r="BR78"/>
      <c r="BZ78" s="19">
        <v>942</v>
      </c>
      <c r="CA78" s="28">
        <v>2</v>
      </c>
    </row>
    <row r="79" spans="4:79" ht="15">
      <c r="D79" s="19" t="s">
        <v>1891</v>
      </c>
      <c r="E79" s="28">
        <v>1</v>
      </c>
      <c r="G79" s="19" t="s">
        <v>1570</v>
      </c>
      <c r="H79" s="28">
        <v>2080</v>
      </c>
      <c r="J79" s="19" t="s">
        <v>1082</v>
      </c>
      <c r="K79" s="28">
        <v>2</v>
      </c>
      <c r="L79" s="28">
        <v>680.25</v>
      </c>
      <c r="M79" s="28">
        <v>122.44</v>
      </c>
      <c r="N79" s="28">
        <v>802.69</v>
      </c>
      <c r="R79"/>
      <c r="S79"/>
      <c r="T79"/>
      <c r="U79"/>
      <c r="V79"/>
      <c r="X79"/>
      <c r="Y79"/>
      <c r="Z79"/>
      <c r="AA79"/>
      <c r="AB79"/>
      <c r="AD79" s="19" t="s">
        <v>2286</v>
      </c>
      <c r="AE79" s="28">
        <v>1</v>
      </c>
      <c r="AF79" s="28">
        <v>3056.78</v>
      </c>
      <c r="AG79" s="28">
        <v>550.22</v>
      </c>
      <c r="AH79" s="28">
        <v>3607</v>
      </c>
      <c r="AI79"/>
      <c r="AJ79" s="19" t="s">
        <v>1211</v>
      </c>
      <c r="AK79" s="28">
        <v>1</v>
      </c>
      <c r="AL79" s="28">
        <v>3774.66</v>
      </c>
      <c r="AM79" s="28">
        <v>679.44</v>
      </c>
      <c r="AN79" s="28">
        <v>4454.1000000000004</v>
      </c>
      <c r="BN79"/>
      <c r="BO79"/>
      <c r="BQ79"/>
      <c r="BR79"/>
      <c r="BZ79" s="19">
        <v>943</v>
      </c>
      <c r="CA79" s="28">
        <v>1</v>
      </c>
    </row>
    <row r="80" spans="4:79" ht="15">
      <c r="D80" s="19" t="s">
        <v>1892</v>
      </c>
      <c r="E80" s="28">
        <v>1</v>
      </c>
      <c r="G80" s="19" t="s">
        <v>1572</v>
      </c>
      <c r="H80" s="28">
        <v>800</v>
      </c>
      <c r="J80" s="19" t="s">
        <v>1087</v>
      </c>
      <c r="K80" s="28">
        <v>3</v>
      </c>
      <c r="L80" s="28">
        <v>4969.33</v>
      </c>
      <c r="M80" s="28">
        <v>894.48</v>
      </c>
      <c r="N80" s="28">
        <v>5863.8099999999995</v>
      </c>
      <c r="R80"/>
      <c r="S80"/>
      <c r="T80"/>
      <c r="U80"/>
      <c r="V80"/>
      <c r="X80"/>
      <c r="Y80"/>
      <c r="Z80"/>
      <c r="AA80"/>
      <c r="AB80"/>
      <c r="AD80" s="19" t="s">
        <v>2285</v>
      </c>
      <c r="AE80" s="28">
        <v>1</v>
      </c>
      <c r="AF80" s="28">
        <v>3774.66</v>
      </c>
      <c r="AG80" s="28">
        <v>679.44</v>
      </c>
      <c r="AH80" s="28">
        <v>4454.1000000000004</v>
      </c>
      <c r="AI80"/>
      <c r="AJ80" s="19" t="s">
        <v>1209</v>
      </c>
      <c r="AK80" s="28">
        <v>1</v>
      </c>
      <c r="AL80" s="28">
        <v>100</v>
      </c>
      <c r="AM80" s="28">
        <v>18</v>
      </c>
      <c r="AN80" s="28">
        <v>118</v>
      </c>
      <c r="BN80"/>
      <c r="BO80"/>
      <c r="BQ80"/>
      <c r="BR80"/>
      <c r="BZ80" s="19">
        <v>944</v>
      </c>
      <c r="CA80" s="28">
        <v>1</v>
      </c>
    </row>
    <row r="81" spans="4:79" ht="15">
      <c r="D81" s="19" t="s">
        <v>1893</v>
      </c>
      <c r="E81" s="28">
        <v>1</v>
      </c>
      <c r="G81" s="19" t="s">
        <v>1574</v>
      </c>
      <c r="H81" s="28">
        <v>910</v>
      </c>
      <c r="J81" s="19" t="s">
        <v>1143</v>
      </c>
      <c r="K81" s="28">
        <v>2</v>
      </c>
      <c r="L81" s="28">
        <v>102.66</v>
      </c>
      <c r="M81" s="28">
        <v>18.48</v>
      </c>
      <c r="N81" s="28">
        <v>121.14000000000001</v>
      </c>
      <c r="R81"/>
      <c r="S81"/>
      <c r="T81"/>
      <c r="U81"/>
      <c r="V81"/>
      <c r="X81"/>
      <c r="Y81"/>
      <c r="Z81"/>
      <c r="AA81"/>
      <c r="AB81"/>
      <c r="AD81" s="19" t="s">
        <v>2284</v>
      </c>
      <c r="AE81" s="28">
        <v>1</v>
      </c>
      <c r="AF81" s="28">
        <v>100</v>
      </c>
      <c r="AG81" s="28">
        <v>18</v>
      </c>
      <c r="AH81" s="28">
        <v>118</v>
      </c>
      <c r="AI81"/>
      <c r="AJ81" s="19" t="s">
        <v>1207</v>
      </c>
      <c r="AK81" s="28">
        <v>1</v>
      </c>
      <c r="AL81" s="28">
        <v>177.59</v>
      </c>
      <c r="AM81" s="28">
        <v>31.97</v>
      </c>
      <c r="AN81" s="28">
        <v>209.56</v>
      </c>
      <c r="BN81"/>
      <c r="BO81"/>
      <c r="BQ81"/>
      <c r="BR81"/>
      <c r="BZ81" s="19">
        <v>945</v>
      </c>
      <c r="CA81" s="28">
        <v>1</v>
      </c>
    </row>
    <row r="82" spans="4:79" ht="15">
      <c r="D82" s="19" t="s">
        <v>1894</v>
      </c>
      <c r="E82" s="28">
        <v>1</v>
      </c>
      <c r="G82" s="19" t="s">
        <v>1577</v>
      </c>
      <c r="H82" s="28">
        <v>2163.5100000000002</v>
      </c>
      <c r="J82" s="19" t="s">
        <v>1148</v>
      </c>
      <c r="K82" s="28">
        <v>2</v>
      </c>
      <c r="L82" s="28">
        <v>107.92</v>
      </c>
      <c r="M82" s="28">
        <v>19.43</v>
      </c>
      <c r="N82" s="28">
        <v>127.35</v>
      </c>
      <c r="R82"/>
      <c r="S82"/>
      <c r="T82"/>
      <c r="U82"/>
      <c r="V82"/>
      <c r="X82"/>
      <c r="Y82"/>
      <c r="Z82"/>
      <c r="AA82"/>
      <c r="AB82"/>
      <c r="AD82" s="19" t="s">
        <v>2279</v>
      </c>
      <c r="AE82" s="28">
        <v>1</v>
      </c>
      <c r="AF82" s="28">
        <v>177.59</v>
      </c>
      <c r="AG82" s="28">
        <v>31.97</v>
      </c>
      <c r="AH82" s="28">
        <v>209.56</v>
      </c>
      <c r="AI82"/>
      <c r="AJ82" s="19" t="s">
        <v>1204</v>
      </c>
      <c r="AK82" s="28">
        <v>1</v>
      </c>
      <c r="AL82" s="28">
        <v>323.68</v>
      </c>
      <c r="AM82" s="28">
        <v>58.26</v>
      </c>
      <c r="AN82" s="28">
        <v>381.94</v>
      </c>
      <c r="BN82"/>
      <c r="BO82"/>
      <c r="BQ82"/>
      <c r="BR82"/>
      <c r="BZ82" s="19">
        <v>946</v>
      </c>
      <c r="CA82" s="28">
        <v>1</v>
      </c>
    </row>
    <row r="83" spans="4:79" ht="15">
      <c r="D83" s="19" t="s">
        <v>1895</v>
      </c>
      <c r="E83" s="28">
        <v>1</v>
      </c>
      <c r="G83" s="19" t="s">
        <v>1579</v>
      </c>
      <c r="H83" s="28">
        <v>1127.8800000000001</v>
      </c>
      <c r="J83" s="19" t="s">
        <v>1098</v>
      </c>
      <c r="K83" s="28">
        <v>2</v>
      </c>
      <c r="L83" s="28">
        <v>36.86</v>
      </c>
      <c r="M83" s="28">
        <v>6.6400000000000006</v>
      </c>
      <c r="N83" s="28">
        <v>43.5</v>
      </c>
      <c r="R83"/>
      <c r="S83"/>
      <c r="T83"/>
      <c r="U83"/>
      <c r="V83"/>
      <c r="X83"/>
      <c r="Y83"/>
      <c r="Z83"/>
      <c r="AA83"/>
      <c r="AB83"/>
      <c r="AD83" s="19" t="s">
        <v>2278</v>
      </c>
      <c r="AE83" s="28">
        <v>1</v>
      </c>
      <c r="AF83" s="28">
        <v>323.68</v>
      </c>
      <c r="AG83" s="28">
        <v>58.26</v>
      </c>
      <c r="AH83" s="28">
        <v>381.94</v>
      </c>
      <c r="AI83"/>
      <c r="AJ83" s="19" t="s">
        <v>1202</v>
      </c>
      <c r="AK83" s="28">
        <v>1</v>
      </c>
      <c r="AL83" s="28">
        <v>343.47</v>
      </c>
      <c r="AM83" s="28">
        <v>61.83</v>
      </c>
      <c r="AN83" s="28">
        <v>405.3</v>
      </c>
      <c r="BN83"/>
      <c r="BO83"/>
      <c r="BQ83"/>
      <c r="BR83"/>
      <c r="BZ83" s="19">
        <v>947</v>
      </c>
      <c r="CA83" s="28">
        <v>1</v>
      </c>
    </row>
    <row r="84" spans="4:79" ht="15">
      <c r="D84" s="19" t="s">
        <v>1896</v>
      </c>
      <c r="E84" s="28">
        <v>1</v>
      </c>
      <c r="G84" s="19" t="s">
        <v>1585</v>
      </c>
      <c r="H84" s="28">
        <v>20.99</v>
      </c>
      <c r="J84" s="19" t="s">
        <v>1153</v>
      </c>
      <c r="K84" s="28">
        <v>2</v>
      </c>
      <c r="L84" s="28">
        <v>291.81</v>
      </c>
      <c r="M84" s="28">
        <v>52.519999999999996</v>
      </c>
      <c r="N84" s="28">
        <v>344.33</v>
      </c>
      <c r="R84"/>
      <c r="S84"/>
      <c r="T84"/>
      <c r="U84"/>
      <c r="V84"/>
      <c r="X84"/>
      <c r="Y84"/>
      <c r="Z84"/>
      <c r="AA84"/>
      <c r="AB84"/>
      <c r="AD84" s="19" t="s">
        <v>2277</v>
      </c>
      <c r="AE84" s="28">
        <v>1</v>
      </c>
      <c r="AF84" s="28">
        <v>343.47</v>
      </c>
      <c r="AG84" s="28">
        <v>61.83</v>
      </c>
      <c r="AH84" s="28">
        <v>405.3</v>
      </c>
      <c r="AI84"/>
      <c r="AJ84" s="19" t="s">
        <v>1200</v>
      </c>
      <c r="AK84" s="28">
        <v>1</v>
      </c>
      <c r="AL84" s="28">
        <v>598.73</v>
      </c>
      <c r="AM84" s="28">
        <v>107.77</v>
      </c>
      <c r="AN84" s="28">
        <v>706.5</v>
      </c>
      <c r="BN84"/>
      <c r="BO84"/>
      <c r="BQ84"/>
      <c r="BR84"/>
      <c r="BZ84" s="19">
        <v>948</v>
      </c>
      <c r="CA84" s="28">
        <v>1</v>
      </c>
    </row>
    <row r="85" spans="4:79" ht="15">
      <c r="D85" s="19" t="s">
        <v>1897</v>
      </c>
      <c r="E85" s="28">
        <v>1</v>
      </c>
      <c r="G85" s="19" t="s">
        <v>1591</v>
      </c>
      <c r="H85" s="28">
        <v>525.17999999999995</v>
      </c>
      <c r="J85" s="19" t="s">
        <v>1103</v>
      </c>
      <c r="K85" s="28">
        <v>2</v>
      </c>
      <c r="L85" s="28">
        <v>291.81</v>
      </c>
      <c r="M85" s="28">
        <v>52.519999999999996</v>
      </c>
      <c r="N85" s="28">
        <v>344.33</v>
      </c>
      <c r="R85"/>
      <c r="S85"/>
      <c r="T85"/>
      <c r="U85"/>
      <c r="V85"/>
      <c r="X85"/>
      <c r="Y85"/>
      <c r="Z85"/>
      <c r="AA85"/>
      <c r="AB85"/>
      <c r="AD85" s="19" t="s">
        <v>2276</v>
      </c>
      <c r="AE85" s="28">
        <v>1</v>
      </c>
      <c r="AF85" s="28">
        <v>598.73</v>
      </c>
      <c r="AG85" s="28">
        <v>107.77</v>
      </c>
      <c r="AH85" s="28">
        <v>706.5</v>
      </c>
      <c r="AI85"/>
      <c r="AJ85" s="19" t="s">
        <v>1197</v>
      </c>
      <c r="AK85" s="28">
        <v>1</v>
      </c>
      <c r="AL85" s="28">
        <v>10</v>
      </c>
      <c r="AM85" s="28">
        <v>1.8</v>
      </c>
      <c r="AN85" s="28">
        <v>11.8</v>
      </c>
      <c r="BN85"/>
      <c r="BO85"/>
      <c r="BQ85"/>
      <c r="BR85"/>
      <c r="BZ85" s="19">
        <v>949</v>
      </c>
      <c r="CA85" s="28">
        <v>2</v>
      </c>
    </row>
    <row r="86" spans="4:79" ht="15">
      <c r="D86" s="19" t="s">
        <v>1898</v>
      </c>
      <c r="E86" s="28">
        <v>1</v>
      </c>
      <c r="G86" s="19" t="s">
        <v>1605</v>
      </c>
      <c r="H86" s="28">
        <v>100</v>
      </c>
      <c r="J86" s="19" t="s">
        <v>1158</v>
      </c>
      <c r="K86" s="28">
        <v>5</v>
      </c>
      <c r="L86" s="28">
        <v>8149.15</v>
      </c>
      <c r="M86" s="28">
        <v>1466.8500000000001</v>
      </c>
      <c r="N86" s="28">
        <v>9616</v>
      </c>
      <c r="R86"/>
      <c r="S86"/>
      <c r="T86"/>
      <c r="U86"/>
      <c r="V86"/>
      <c r="X86"/>
      <c r="Y86"/>
      <c r="Z86"/>
      <c r="AA86"/>
      <c r="AB86"/>
      <c r="AD86" s="19" t="s">
        <v>2275</v>
      </c>
      <c r="AE86" s="28">
        <v>1</v>
      </c>
      <c r="AF86" s="28">
        <v>10</v>
      </c>
      <c r="AG86" s="28">
        <v>1.8</v>
      </c>
      <c r="AH86" s="28">
        <v>11.8</v>
      </c>
      <c r="AI86"/>
      <c r="AJ86" s="19" t="s">
        <v>1169</v>
      </c>
      <c r="AK86" s="28">
        <v>1</v>
      </c>
      <c r="AL86" s="28">
        <v>24.58</v>
      </c>
      <c r="AM86" s="28">
        <v>4.42</v>
      </c>
      <c r="AN86" s="28">
        <v>29</v>
      </c>
      <c r="BN86"/>
      <c r="BO86"/>
      <c r="BQ86"/>
      <c r="BR86"/>
      <c r="BZ86" s="19">
        <v>950</v>
      </c>
      <c r="CA86" s="28">
        <v>1</v>
      </c>
    </row>
    <row r="87" spans="4:79" ht="15">
      <c r="D87" s="19" t="s">
        <v>1899</v>
      </c>
      <c r="E87" s="28">
        <v>1</v>
      </c>
      <c r="G87" s="19" t="s">
        <v>1607</v>
      </c>
      <c r="H87" s="28">
        <v>100</v>
      </c>
      <c r="J87" s="19" t="s">
        <v>1124</v>
      </c>
      <c r="K87" s="28">
        <v>2</v>
      </c>
      <c r="L87" s="28">
        <v>118.9</v>
      </c>
      <c r="M87" s="28">
        <v>21.4</v>
      </c>
      <c r="N87" s="28">
        <v>140.30000000000001</v>
      </c>
      <c r="R87"/>
      <c r="S87"/>
      <c r="T87"/>
      <c r="U87"/>
      <c r="V87"/>
      <c r="X87"/>
      <c r="Y87"/>
      <c r="Z87"/>
      <c r="AA87"/>
      <c r="AB87"/>
      <c r="AD87" s="19" t="s">
        <v>2270</v>
      </c>
      <c r="AE87" s="28">
        <v>1</v>
      </c>
      <c r="AF87" s="28">
        <v>24.58</v>
      </c>
      <c r="AG87" s="28">
        <v>4.42</v>
      </c>
      <c r="AH87" s="28">
        <v>29</v>
      </c>
      <c r="AI87"/>
      <c r="AJ87" s="19" t="s">
        <v>1166</v>
      </c>
      <c r="AK87" s="28">
        <v>1</v>
      </c>
      <c r="AL87" s="28">
        <v>39.729999999999997</v>
      </c>
      <c r="AM87" s="28">
        <v>7.15</v>
      </c>
      <c r="AN87" s="28">
        <v>46.88</v>
      </c>
      <c r="BN87"/>
      <c r="BO87"/>
      <c r="BQ87"/>
      <c r="BR87"/>
      <c r="BZ87" s="19">
        <v>951</v>
      </c>
      <c r="CA87" s="28">
        <v>1</v>
      </c>
    </row>
    <row r="88" spans="4:79" ht="15">
      <c r="D88" s="19" t="s">
        <v>1900</v>
      </c>
      <c r="E88" s="28">
        <v>1</v>
      </c>
      <c r="G88" s="19" t="s">
        <v>1622</v>
      </c>
      <c r="H88" s="28">
        <v>1400</v>
      </c>
      <c r="J88" s="19" t="s">
        <v>1167</v>
      </c>
      <c r="K88" s="28">
        <v>2</v>
      </c>
      <c r="L88" s="28">
        <v>64.31</v>
      </c>
      <c r="M88" s="28">
        <v>11.57</v>
      </c>
      <c r="N88" s="28">
        <v>75.88</v>
      </c>
      <c r="R88"/>
      <c r="S88"/>
      <c r="T88"/>
      <c r="U88"/>
      <c r="V88"/>
      <c r="X88"/>
      <c r="Y88"/>
      <c r="Z88"/>
      <c r="AA88"/>
      <c r="AB88"/>
      <c r="AD88" s="19" t="s">
        <v>2269</v>
      </c>
      <c r="AE88" s="28">
        <v>1</v>
      </c>
      <c r="AF88" s="28">
        <v>39.729999999999997</v>
      </c>
      <c r="AG88" s="28">
        <v>7.15</v>
      </c>
      <c r="AH88" s="28">
        <v>46.88</v>
      </c>
      <c r="AI88"/>
      <c r="AJ88" s="19" t="s">
        <v>1164</v>
      </c>
      <c r="AK88" s="28">
        <v>1</v>
      </c>
      <c r="AL88" s="28">
        <v>545.08000000000004</v>
      </c>
      <c r="AM88" s="28">
        <v>98.12</v>
      </c>
      <c r="AN88" s="28">
        <v>643.20000000000005</v>
      </c>
      <c r="BN88"/>
      <c r="BO88"/>
      <c r="BQ88"/>
      <c r="BR88"/>
      <c r="BZ88" s="19">
        <v>952</v>
      </c>
      <c r="CA88" s="28">
        <v>1</v>
      </c>
    </row>
    <row r="89" spans="4:79" ht="15">
      <c r="D89" s="19" t="s">
        <v>1901</v>
      </c>
      <c r="E89" s="28">
        <v>1</v>
      </c>
      <c r="G89" s="19" t="s">
        <v>1624</v>
      </c>
      <c r="H89" s="28">
        <v>1400</v>
      </c>
      <c r="J89" s="19" t="s">
        <v>1133</v>
      </c>
      <c r="K89" s="28">
        <v>2</v>
      </c>
      <c r="L89" s="28">
        <v>19.670000000000002</v>
      </c>
      <c r="M89" s="28">
        <v>3.53</v>
      </c>
      <c r="N89" s="28">
        <v>23.2</v>
      </c>
      <c r="R89"/>
      <c r="S89"/>
      <c r="T89"/>
      <c r="U89"/>
      <c r="V89"/>
      <c r="X89"/>
      <c r="Y89"/>
      <c r="Z89"/>
      <c r="AA89"/>
      <c r="AB89"/>
      <c r="AD89" s="19" t="s">
        <v>2268</v>
      </c>
      <c r="AE89" s="28">
        <v>1</v>
      </c>
      <c r="AF89" s="28">
        <v>545.08000000000004</v>
      </c>
      <c r="AG89" s="28">
        <v>98.12</v>
      </c>
      <c r="AH89" s="28">
        <v>643.20000000000005</v>
      </c>
      <c r="AI89"/>
      <c r="AJ89" s="19" t="s">
        <v>1162</v>
      </c>
      <c r="AK89" s="28">
        <v>1</v>
      </c>
      <c r="AL89" s="28">
        <v>889.65</v>
      </c>
      <c r="AM89" s="28">
        <v>160.13999999999999</v>
      </c>
      <c r="AN89" s="28">
        <v>1049.79</v>
      </c>
      <c r="BN89"/>
      <c r="BO89"/>
      <c r="BQ89"/>
      <c r="BR89"/>
      <c r="BZ89" s="19">
        <v>953</v>
      </c>
      <c r="CA89" s="28">
        <v>1</v>
      </c>
    </row>
    <row r="90" spans="4:79" ht="15">
      <c r="D90" s="19" t="s">
        <v>1902</v>
      </c>
      <c r="E90" s="28">
        <v>1</v>
      </c>
      <c r="G90" s="19" t="s">
        <v>1628</v>
      </c>
      <c r="H90" s="28">
        <v>2400</v>
      </c>
      <c r="J90" s="19" t="s">
        <v>1198</v>
      </c>
      <c r="K90" s="28">
        <v>3</v>
      </c>
      <c r="L90" s="28">
        <v>952.2</v>
      </c>
      <c r="M90" s="28">
        <v>171.39999999999998</v>
      </c>
      <c r="N90" s="28">
        <v>1123.5999999999999</v>
      </c>
      <c r="R90"/>
      <c r="S90"/>
      <c r="T90"/>
      <c r="U90"/>
      <c r="V90"/>
      <c r="X90"/>
      <c r="Y90"/>
      <c r="Z90"/>
      <c r="AA90"/>
      <c r="AB90"/>
      <c r="AD90" s="19" t="s">
        <v>2267</v>
      </c>
      <c r="AE90" s="28">
        <v>1</v>
      </c>
      <c r="AF90" s="28">
        <v>889.65</v>
      </c>
      <c r="AG90" s="28">
        <v>160.13999999999999</v>
      </c>
      <c r="AH90" s="28">
        <v>1049.79</v>
      </c>
      <c r="AI90"/>
      <c r="AJ90" s="19" t="s">
        <v>1160</v>
      </c>
      <c r="AK90" s="28">
        <v>1</v>
      </c>
      <c r="AL90" s="28">
        <v>460.17</v>
      </c>
      <c r="AM90" s="28">
        <v>82.83</v>
      </c>
      <c r="AN90" s="28">
        <v>543</v>
      </c>
      <c r="BN90"/>
      <c r="BO90"/>
      <c r="BQ90"/>
      <c r="BR90"/>
      <c r="BZ90" s="19">
        <v>954</v>
      </c>
      <c r="CA90" s="28">
        <v>1</v>
      </c>
    </row>
    <row r="91" spans="4:79" ht="15">
      <c r="D91" s="19" t="s">
        <v>1903</v>
      </c>
      <c r="E91" s="28">
        <v>1</v>
      </c>
      <c r="G91" s="19" t="s">
        <v>1630</v>
      </c>
      <c r="H91" s="28">
        <v>800</v>
      </c>
      <c r="J91" s="19" t="s">
        <v>1205</v>
      </c>
      <c r="K91" s="28">
        <v>2</v>
      </c>
      <c r="L91" s="28">
        <v>501.27</v>
      </c>
      <c r="M91" s="28">
        <v>90.22999999999999</v>
      </c>
      <c r="N91" s="28">
        <v>591.5</v>
      </c>
      <c r="R91"/>
      <c r="S91"/>
      <c r="T91"/>
      <c r="U91"/>
      <c r="V91"/>
      <c r="X91"/>
      <c r="Y91"/>
      <c r="Z91"/>
      <c r="AA91"/>
      <c r="AB91"/>
      <c r="AD91" s="19" t="s">
        <v>2256</v>
      </c>
      <c r="AE91" s="28">
        <v>1</v>
      </c>
      <c r="AF91" s="28">
        <v>460.17</v>
      </c>
      <c r="AG91" s="28">
        <v>82.83</v>
      </c>
      <c r="AH91" s="28">
        <v>543</v>
      </c>
      <c r="AJ91" s="19" t="s">
        <v>1157</v>
      </c>
      <c r="AK91" s="28">
        <v>1</v>
      </c>
      <c r="AL91" s="28">
        <v>757.54</v>
      </c>
      <c r="AM91" s="28">
        <v>136.36000000000001</v>
      </c>
      <c r="AN91" s="28">
        <v>893.9</v>
      </c>
      <c r="BN91"/>
      <c r="BO91"/>
      <c r="BQ91"/>
      <c r="BR91"/>
      <c r="BZ91" s="19">
        <v>955</v>
      </c>
      <c r="CA91" s="28">
        <v>2</v>
      </c>
    </row>
    <row r="92" spans="4:79" ht="15">
      <c r="D92" s="19" t="s">
        <v>1904</v>
      </c>
      <c r="E92" s="28">
        <v>1</v>
      </c>
      <c r="G92" s="19" t="s">
        <v>1632</v>
      </c>
      <c r="H92" s="28">
        <v>800</v>
      </c>
      <c r="J92" s="19" t="s">
        <v>1216</v>
      </c>
      <c r="K92" s="28">
        <v>2</v>
      </c>
      <c r="L92" s="28">
        <v>213.22</v>
      </c>
      <c r="M92" s="28">
        <v>38.380000000000003</v>
      </c>
      <c r="N92" s="28">
        <v>251.60000000000002</v>
      </c>
      <c r="R92"/>
      <c r="S92"/>
      <c r="T92"/>
      <c r="U92"/>
      <c r="V92"/>
      <c r="X92"/>
      <c r="Y92"/>
      <c r="Z92"/>
      <c r="AA92"/>
      <c r="AB92"/>
      <c r="AD92" s="19" t="s">
        <v>2255</v>
      </c>
      <c r="AE92" s="28">
        <v>1</v>
      </c>
      <c r="AF92" s="28">
        <v>757.54</v>
      </c>
      <c r="AG92" s="28">
        <v>136.36000000000001</v>
      </c>
      <c r="AH92" s="28">
        <v>893.9</v>
      </c>
      <c r="AJ92" s="19" t="s">
        <v>1155</v>
      </c>
      <c r="AK92" s="28">
        <v>1</v>
      </c>
      <c r="AL92" s="28">
        <v>182.75</v>
      </c>
      <c r="AM92" s="28">
        <v>32.89</v>
      </c>
      <c r="AN92" s="28">
        <v>215.64</v>
      </c>
      <c r="BN92"/>
      <c r="BO92"/>
      <c r="BQ92"/>
      <c r="BR92"/>
      <c r="BZ92" s="19">
        <v>956</v>
      </c>
      <c r="CA92" s="28">
        <v>1</v>
      </c>
    </row>
    <row r="93" spans="4:79" ht="15">
      <c r="D93" s="19" t="s">
        <v>1905</v>
      </c>
      <c r="E93" s="28">
        <v>1</v>
      </c>
      <c r="G93" s="19" t="s">
        <v>1634</v>
      </c>
      <c r="H93" s="28">
        <v>800</v>
      </c>
      <c r="J93" s="19" t="s">
        <v>52</v>
      </c>
      <c r="K93" s="28">
        <v>457</v>
      </c>
      <c r="L93" s="28">
        <v>361701.78999999969</v>
      </c>
      <c r="M93" s="28">
        <v>65106.270000000004</v>
      </c>
      <c r="N93" s="28">
        <v>426808.06000000017</v>
      </c>
      <c r="R93"/>
      <c r="S93"/>
      <c r="T93"/>
      <c r="U93"/>
      <c r="V93"/>
      <c r="X93"/>
      <c r="Y93"/>
      <c r="Z93"/>
      <c r="AA93"/>
      <c r="AB93"/>
      <c r="AD93" s="19" t="s">
        <v>2252</v>
      </c>
      <c r="AE93" s="28">
        <v>1</v>
      </c>
      <c r="AF93" s="28">
        <v>182.75</v>
      </c>
      <c r="AG93" s="28">
        <v>32.89</v>
      </c>
      <c r="AH93" s="28">
        <v>215.64</v>
      </c>
      <c r="AJ93" s="19" t="s">
        <v>1152</v>
      </c>
      <c r="AK93" s="28">
        <v>1</v>
      </c>
      <c r="AL93" s="28">
        <v>109.06</v>
      </c>
      <c r="AM93" s="28">
        <v>19.63</v>
      </c>
      <c r="AN93" s="28">
        <v>128.69</v>
      </c>
      <c r="BN93"/>
      <c r="BO93"/>
      <c r="BQ93"/>
      <c r="BR93"/>
      <c r="BZ93" s="19">
        <v>957</v>
      </c>
      <c r="CA93" s="28">
        <v>1</v>
      </c>
    </row>
    <row r="94" spans="4:79" ht="15">
      <c r="D94" s="19" t="s">
        <v>1906</v>
      </c>
      <c r="E94" s="28">
        <v>1</v>
      </c>
      <c r="G94" s="19" t="s">
        <v>1636</v>
      </c>
      <c r="H94" s="28">
        <v>2200</v>
      </c>
      <c r="R94"/>
      <c r="S94"/>
      <c r="T94"/>
      <c r="U94"/>
      <c r="V94"/>
      <c r="X94"/>
      <c r="Y94"/>
      <c r="Z94"/>
      <c r="AA94"/>
      <c r="AB94"/>
      <c r="AD94" s="19" t="s">
        <v>2251</v>
      </c>
      <c r="AE94" s="28">
        <v>1</v>
      </c>
      <c r="AF94" s="28">
        <v>109.06</v>
      </c>
      <c r="AG94" s="28">
        <v>19.63</v>
      </c>
      <c r="AH94" s="28">
        <v>128.69</v>
      </c>
      <c r="AJ94" s="19" t="s">
        <v>1150</v>
      </c>
      <c r="AK94" s="28">
        <v>1</v>
      </c>
      <c r="AL94" s="28">
        <v>41.47</v>
      </c>
      <c r="AM94" s="28">
        <v>7.47</v>
      </c>
      <c r="AN94" s="28">
        <v>48.94</v>
      </c>
      <c r="BN94"/>
      <c r="BO94"/>
      <c r="BQ94"/>
      <c r="BR94"/>
      <c r="BZ94" s="19">
        <v>958</v>
      </c>
      <c r="CA94" s="28">
        <v>1</v>
      </c>
    </row>
    <row r="95" spans="4:79" ht="15">
      <c r="D95" s="19" t="s">
        <v>1907</v>
      </c>
      <c r="E95" s="28">
        <v>1</v>
      </c>
      <c r="G95" s="19" t="s">
        <v>1644</v>
      </c>
      <c r="H95" s="28">
        <v>600</v>
      </c>
      <c r="R95"/>
      <c r="S95"/>
      <c r="T95"/>
      <c r="U95"/>
      <c r="V95"/>
      <c r="X95"/>
      <c r="Y95"/>
      <c r="Z95"/>
      <c r="AA95"/>
      <c r="AB95"/>
      <c r="AD95" s="19" t="s">
        <v>2246</v>
      </c>
      <c r="AE95" s="28">
        <v>1</v>
      </c>
      <c r="AF95" s="28">
        <v>41.47</v>
      </c>
      <c r="AG95" s="28">
        <v>7.47</v>
      </c>
      <c r="AH95" s="28">
        <v>48.94</v>
      </c>
      <c r="AJ95" s="19" t="s">
        <v>1147</v>
      </c>
      <c r="AK95" s="28">
        <v>1</v>
      </c>
      <c r="AL95" s="28">
        <v>66.45</v>
      </c>
      <c r="AM95" s="28">
        <v>11.96</v>
      </c>
      <c r="AN95" s="28">
        <v>78.41</v>
      </c>
      <c r="BN95"/>
      <c r="BO95"/>
      <c r="BQ95"/>
      <c r="BR95"/>
      <c r="BZ95" s="19">
        <v>959</v>
      </c>
      <c r="CA95" s="28">
        <v>1</v>
      </c>
    </row>
    <row r="96" spans="4:79" ht="15">
      <c r="D96" s="19" t="s">
        <v>1908</v>
      </c>
      <c r="E96" s="28">
        <v>1</v>
      </c>
      <c r="G96" s="19" t="s">
        <v>1646</v>
      </c>
      <c r="H96" s="28">
        <v>660</v>
      </c>
      <c r="R96"/>
      <c r="S96"/>
      <c r="T96"/>
      <c r="U96"/>
      <c r="V96"/>
      <c r="X96"/>
      <c r="Y96"/>
      <c r="Z96"/>
      <c r="AA96"/>
      <c r="AB96"/>
      <c r="AD96" s="19" t="s">
        <v>2245</v>
      </c>
      <c r="AE96" s="28">
        <v>1</v>
      </c>
      <c r="AF96" s="28">
        <v>66.45</v>
      </c>
      <c r="AG96" s="28">
        <v>11.96</v>
      </c>
      <c r="AH96" s="28">
        <v>78.41</v>
      </c>
      <c r="AJ96" s="19" t="s">
        <v>1145</v>
      </c>
      <c r="AK96" s="28">
        <v>1</v>
      </c>
      <c r="AL96" s="28">
        <v>43</v>
      </c>
      <c r="AM96" s="28">
        <v>7.74</v>
      </c>
      <c r="AN96" s="28">
        <v>50.74</v>
      </c>
      <c r="BN96"/>
      <c r="BO96"/>
      <c r="BQ96"/>
      <c r="BR96"/>
      <c r="BZ96" s="19">
        <v>960</v>
      </c>
      <c r="CA96" s="28">
        <v>1</v>
      </c>
    </row>
    <row r="97" spans="4:79" ht="15">
      <c r="D97" s="19" t="s">
        <v>1909</v>
      </c>
      <c r="E97" s="28">
        <v>1</v>
      </c>
      <c r="G97" s="19" t="s">
        <v>1650</v>
      </c>
      <c r="H97" s="28">
        <v>1000</v>
      </c>
      <c r="R97"/>
      <c r="S97"/>
      <c r="T97"/>
      <c r="U97"/>
      <c r="V97"/>
      <c r="X97"/>
      <c r="Y97"/>
      <c r="Z97"/>
      <c r="AA97"/>
      <c r="AB97"/>
      <c r="AD97" s="19" t="s">
        <v>2244</v>
      </c>
      <c r="AE97" s="28">
        <v>1</v>
      </c>
      <c r="AF97" s="28">
        <v>43</v>
      </c>
      <c r="AG97" s="28">
        <v>7.74</v>
      </c>
      <c r="AH97" s="28">
        <v>50.74</v>
      </c>
      <c r="AJ97" s="19" t="s">
        <v>1142</v>
      </c>
      <c r="AK97" s="28">
        <v>1</v>
      </c>
      <c r="AL97" s="28">
        <v>59.66</v>
      </c>
      <c r="AM97" s="28">
        <v>10.74</v>
      </c>
      <c r="AN97" s="28">
        <v>70.400000000000006</v>
      </c>
      <c r="BN97"/>
      <c r="BO97"/>
      <c r="BQ97"/>
      <c r="BR97"/>
      <c r="BZ97" s="19">
        <v>961</v>
      </c>
      <c r="CA97" s="28">
        <v>1</v>
      </c>
    </row>
    <row r="98" spans="4:79" ht="15">
      <c r="D98" s="19" t="s">
        <v>1910</v>
      </c>
      <c r="E98" s="28">
        <v>1</v>
      </c>
      <c r="G98" s="19" t="s">
        <v>1656</v>
      </c>
      <c r="H98" s="28">
        <v>1400</v>
      </c>
      <c r="R98"/>
      <c r="S98"/>
      <c r="T98"/>
      <c r="U98"/>
      <c r="V98"/>
      <c r="X98"/>
      <c r="Y98"/>
      <c r="Z98"/>
      <c r="AA98"/>
      <c r="AB98"/>
      <c r="AD98" s="19" t="s">
        <v>2243</v>
      </c>
      <c r="AE98" s="28">
        <v>1</v>
      </c>
      <c r="AF98" s="28">
        <v>59.66</v>
      </c>
      <c r="AG98" s="28">
        <v>10.74</v>
      </c>
      <c r="AH98" s="28">
        <v>70.400000000000006</v>
      </c>
      <c r="AJ98" s="19" t="s">
        <v>1140</v>
      </c>
      <c r="AK98" s="28">
        <v>1</v>
      </c>
      <c r="AL98" s="28">
        <v>59.15</v>
      </c>
      <c r="AM98" s="28">
        <v>10.65</v>
      </c>
      <c r="AN98" s="28">
        <v>69.8</v>
      </c>
      <c r="BN98"/>
      <c r="BO98"/>
      <c r="BQ98"/>
      <c r="BR98"/>
      <c r="BZ98" s="19">
        <v>962</v>
      </c>
      <c r="CA98" s="28">
        <v>1</v>
      </c>
    </row>
    <row r="99" spans="4:79" ht="15">
      <c r="D99" s="19" t="s">
        <v>1911</v>
      </c>
      <c r="E99" s="28">
        <v>1</v>
      </c>
      <c r="G99" s="19" t="s">
        <v>1660</v>
      </c>
      <c r="H99" s="28">
        <v>1400</v>
      </c>
      <c r="R99"/>
      <c r="S99"/>
      <c r="T99"/>
      <c r="U99"/>
      <c r="V99"/>
      <c r="X99"/>
      <c r="Y99"/>
      <c r="Z99"/>
      <c r="AA99"/>
      <c r="AB99"/>
      <c r="AD99" s="19" t="s">
        <v>2231</v>
      </c>
      <c r="AE99" s="28">
        <v>1</v>
      </c>
      <c r="AF99" s="28">
        <v>59.15</v>
      </c>
      <c r="AG99" s="28">
        <v>10.65</v>
      </c>
      <c r="AH99" s="28">
        <v>69.8</v>
      </c>
      <c r="AJ99" s="19" t="s">
        <v>1137</v>
      </c>
      <c r="AK99" s="28">
        <v>1</v>
      </c>
      <c r="AL99" s="28">
        <v>113.39</v>
      </c>
      <c r="AM99" s="28">
        <v>20.41</v>
      </c>
      <c r="AN99" s="28">
        <v>133.80000000000001</v>
      </c>
      <c r="BN99"/>
      <c r="BO99"/>
      <c r="BQ99"/>
      <c r="BR99"/>
      <c r="BZ99" s="19">
        <v>963</v>
      </c>
      <c r="CA99" s="28">
        <v>1</v>
      </c>
    </row>
    <row r="100" spans="4:79" ht="15">
      <c r="D100" s="19" t="s">
        <v>1912</v>
      </c>
      <c r="E100" s="28">
        <v>1</v>
      </c>
      <c r="G100" s="19" t="s">
        <v>1668</v>
      </c>
      <c r="H100" s="28">
        <v>1230</v>
      </c>
      <c r="R100"/>
      <c r="S100"/>
      <c r="T100"/>
      <c r="U100"/>
      <c r="V100"/>
      <c r="X100"/>
      <c r="Y100"/>
      <c r="Z100"/>
      <c r="AA100"/>
      <c r="AB100"/>
      <c r="AD100" s="19" t="s">
        <v>2230</v>
      </c>
      <c r="AE100" s="28">
        <v>1</v>
      </c>
      <c r="AF100" s="28">
        <v>113.39</v>
      </c>
      <c r="AG100" s="28">
        <v>20.41</v>
      </c>
      <c r="AH100" s="28">
        <v>133.80000000000001</v>
      </c>
      <c r="AJ100" s="19" t="s">
        <v>1052</v>
      </c>
      <c r="AK100" s="28">
        <v>1</v>
      </c>
      <c r="AL100" s="28">
        <v>1.02</v>
      </c>
      <c r="AM100" s="28">
        <v>0.18</v>
      </c>
      <c r="AN100" s="28">
        <v>1.2</v>
      </c>
      <c r="BN100"/>
      <c r="BO100"/>
      <c r="BQ100"/>
      <c r="BR100"/>
      <c r="BZ100" s="19">
        <v>964</v>
      </c>
      <c r="CA100" s="28">
        <v>1</v>
      </c>
    </row>
    <row r="101" spans="4:79" ht="15">
      <c r="D101" s="19" t="s">
        <v>1913</v>
      </c>
      <c r="E101" s="28">
        <v>1</v>
      </c>
      <c r="G101" s="19" t="s">
        <v>1670</v>
      </c>
      <c r="H101" s="28">
        <v>720</v>
      </c>
      <c r="R101"/>
      <c r="S101"/>
      <c r="T101"/>
      <c r="U101"/>
      <c r="V101"/>
      <c r="X101"/>
      <c r="Y101"/>
      <c r="Z101"/>
      <c r="AA101"/>
      <c r="AB101"/>
      <c r="AD101" s="19" t="s">
        <v>2198</v>
      </c>
      <c r="AE101" s="28">
        <v>1</v>
      </c>
      <c r="AF101" s="28">
        <v>1.02</v>
      </c>
      <c r="AG101" s="28">
        <v>0.18</v>
      </c>
      <c r="AH101" s="28">
        <v>1.2</v>
      </c>
      <c r="AJ101" s="19" t="s">
        <v>1049</v>
      </c>
      <c r="AK101" s="28">
        <v>1</v>
      </c>
      <c r="AL101" s="28">
        <v>1.44</v>
      </c>
      <c r="AM101" s="28">
        <v>0.26</v>
      </c>
      <c r="AN101" s="28">
        <v>1.7</v>
      </c>
      <c r="BN101"/>
      <c r="BO101"/>
      <c r="BQ101"/>
      <c r="BR101"/>
      <c r="BZ101" s="19">
        <v>965</v>
      </c>
      <c r="CA101" s="28">
        <v>1</v>
      </c>
    </row>
    <row r="102" spans="4:79" ht="15">
      <c r="D102" s="19" t="s">
        <v>1914</v>
      </c>
      <c r="E102" s="28">
        <v>1</v>
      </c>
      <c r="G102" s="19" t="s">
        <v>1672</v>
      </c>
      <c r="H102" s="28">
        <v>720</v>
      </c>
      <c r="R102"/>
      <c r="S102"/>
      <c r="T102"/>
      <c r="U102"/>
      <c r="V102"/>
      <c r="X102"/>
      <c r="Y102"/>
      <c r="Z102"/>
      <c r="AA102"/>
      <c r="AB102"/>
      <c r="AD102" s="19" t="s">
        <v>2197</v>
      </c>
      <c r="AE102" s="28">
        <v>1</v>
      </c>
      <c r="AF102" s="28">
        <v>1.44</v>
      </c>
      <c r="AG102" s="28">
        <v>0.26</v>
      </c>
      <c r="AH102" s="28">
        <v>1.7</v>
      </c>
      <c r="AJ102" s="19" t="s">
        <v>1047</v>
      </c>
      <c r="AK102" s="28">
        <v>1</v>
      </c>
      <c r="AL102" s="28">
        <v>338.9</v>
      </c>
      <c r="AM102" s="28">
        <v>61</v>
      </c>
      <c r="AN102" s="28">
        <v>399.9</v>
      </c>
      <c r="BN102"/>
      <c r="BO102"/>
      <c r="BQ102"/>
      <c r="BR102"/>
      <c r="BZ102" s="19">
        <v>966</v>
      </c>
      <c r="CA102" s="28">
        <v>1</v>
      </c>
    </row>
    <row r="103" spans="4:79" ht="15">
      <c r="D103" s="19" t="s">
        <v>1915</v>
      </c>
      <c r="E103" s="28">
        <v>1</v>
      </c>
      <c r="G103" s="19" t="s">
        <v>1674</v>
      </c>
      <c r="H103" s="28">
        <v>209.66</v>
      </c>
      <c r="R103"/>
      <c r="S103"/>
      <c r="T103"/>
      <c r="U103"/>
      <c r="V103"/>
      <c r="X103"/>
      <c r="Y103"/>
      <c r="Z103"/>
      <c r="AA103"/>
      <c r="AB103"/>
      <c r="AD103" s="19" t="s">
        <v>2196</v>
      </c>
      <c r="AE103" s="28">
        <v>1</v>
      </c>
      <c r="AF103" s="28">
        <v>338.9</v>
      </c>
      <c r="AG103" s="28">
        <v>61</v>
      </c>
      <c r="AH103" s="28">
        <v>399.9</v>
      </c>
      <c r="AJ103" s="19" t="s">
        <v>1045</v>
      </c>
      <c r="AK103" s="28">
        <v>1</v>
      </c>
      <c r="AL103" s="28">
        <v>530.16999999999996</v>
      </c>
      <c r="AM103" s="28">
        <v>95.43</v>
      </c>
      <c r="AN103" s="28">
        <v>625.6</v>
      </c>
      <c r="BN103"/>
      <c r="BO103"/>
      <c r="BQ103"/>
      <c r="BR103"/>
      <c r="BZ103" s="19">
        <v>967</v>
      </c>
      <c r="CA103" s="28">
        <v>1</v>
      </c>
    </row>
    <row r="104" spans="4:79" ht="15">
      <c r="D104" s="19" t="s">
        <v>1916</v>
      </c>
      <c r="E104" s="28">
        <v>1</v>
      </c>
      <c r="G104" s="19" t="s">
        <v>1687</v>
      </c>
      <c r="H104" s="28">
        <v>976.5</v>
      </c>
      <c r="R104"/>
      <c r="S104"/>
      <c r="T104"/>
      <c r="U104"/>
      <c r="V104"/>
      <c r="X104"/>
      <c r="Y104"/>
      <c r="Z104"/>
      <c r="AA104"/>
      <c r="AB104"/>
      <c r="AD104" s="19" t="s">
        <v>2195</v>
      </c>
      <c r="AE104" s="28">
        <v>1</v>
      </c>
      <c r="AF104" s="28">
        <v>530.16999999999996</v>
      </c>
      <c r="AG104" s="28">
        <v>95.43</v>
      </c>
      <c r="AH104" s="28">
        <v>625.6</v>
      </c>
      <c r="AJ104" s="19" t="s">
        <v>1042</v>
      </c>
      <c r="AK104" s="28">
        <v>1</v>
      </c>
      <c r="AL104" s="28">
        <v>15</v>
      </c>
      <c r="AM104" s="28">
        <v>2.7</v>
      </c>
      <c r="AN104" s="28">
        <v>17.7</v>
      </c>
      <c r="BN104"/>
      <c r="BO104"/>
      <c r="BQ104"/>
      <c r="BR104"/>
      <c r="BZ104" s="19">
        <v>968</v>
      </c>
      <c r="CA104" s="28">
        <v>1</v>
      </c>
    </row>
    <row r="105" spans="4:79" ht="15">
      <c r="D105" s="19" t="s">
        <v>1917</v>
      </c>
      <c r="E105" s="28">
        <v>1</v>
      </c>
      <c r="G105" s="19" t="s">
        <v>1689</v>
      </c>
      <c r="H105" s="28">
        <v>970</v>
      </c>
      <c r="R105"/>
      <c r="S105"/>
      <c r="T105"/>
      <c r="U105"/>
      <c r="V105"/>
      <c r="X105"/>
      <c r="Y105"/>
      <c r="Z105"/>
      <c r="AA105"/>
      <c r="AB105"/>
      <c r="AD105" s="19" t="s">
        <v>2194</v>
      </c>
      <c r="AE105" s="28">
        <v>1</v>
      </c>
      <c r="AF105" s="28">
        <v>15</v>
      </c>
      <c r="AG105" s="28">
        <v>2.7</v>
      </c>
      <c r="AH105" s="28">
        <v>17.7</v>
      </c>
      <c r="AJ105" s="19" t="s">
        <v>1040</v>
      </c>
      <c r="AK105" s="28">
        <v>1</v>
      </c>
      <c r="AL105" s="28">
        <v>947.12</v>
      </c>
      <c r="AM105" s="28">
        <v>170.48</v>
      </c>
      <c r="AN105" s="28">
        <v>1117.5999999999999</v>
      </c>
      <c r="BN105"/>
      <c r="BO105"/>
      <c r="BQ105"/>
      <c r="BR105"/>
      <c r="BZ105" s="19">
        <v>969</v>
      </c>
      <c r="CA105" s="28">
        <v>1</v>
      </c>
    </row>
    <row r="106" spans="4:79" ht="15">
      <c r="D106" s="19" t="s">
        <v>1918</v>
      </c>
      <c r="E106" s="28">
        <v>1</v>
      </c>
      <c r="G106" s="19" t="s">
        <v>1691</v>
      </c>
      <c r="H106" s="28">
        <v>44.97</v>
      </c>
      <c r="R106"/>
      <c r="S106"/>
      <c r="T106"/>
      <c r="U106"/>
      <c r="V106"/>
      <c r="X106"/>
      <c r="Y106"/>
      <c r="Z106"/>
      <c r="AA106"/>
      <c r="AB106"/>
      <c r="AD106" s="19" t="s">
        <v>2191</v>
      </c>
      <c r="AE106" s="28">
        <v>1</v>
      </c>
      <c r="AF106" s="28">
        <v>947.12</v>
      </c>
      <c r="AG106" s="28">
        <v>170.48</v>
      </c>
      <c r="AH106" s="28">
        <v>1117.5999999999999</v>
      </c>
      <c r="AJ106" s="19" t="s">
        <v>1037</v>
      </c>
      <c r="AK106" s="28">
        <v>1</v>
      </c>
      <c r="AL106" s="28">
        <v>1599.66</v>
      </c>
      <c r="AM106" s="28">
        <v>287.94</v>
      </c>
      <c r="AN106" s="28">
        <v>1887.6</v>
      </c>
      <c r="BN106"/>
      <c r="BO106"/>
      <c r="BQ106"/>
      <c r="BR106"/>
      <c r="BZ106" s="19">
        <v>970</v>
      </c>
      <c r="CA106" s="28">
        <v>1</v>
      </c>
    </row>
    <row r="107" spans="4:79" ht="15">
      <c r="D107" s="19" t="s">
        <v>1919</v>
      </c>
      <c r="E107" s="28">
        <v>1</v>
      </c>
      <c r="G107" s="19" t="s">
        <v>1693</v>
      </c>
      <c r="H107" s="28">
        <v>210</v>
      </c>
      <c r="R107"/>
      <c r="S107"/>
      <c r="T107"/>
      <c r="U107"/>
      <c r="V107"/>
      <c r="X107"/>
      <c r="Y107"/>
      <c r="Z107"/>
      <c r="AA107"/>
      <c r="AB107"/>
      <c r="AD107" s="19" t="s">
        <v>2190</v>
      </c>
      <c r="AE107" s="28">
        <v>1</v>
      </c>
      <c r="AF107" s="28">
        <v>1599.66</v>
      </c>
      <c r="AG107" s="28">
        <v>287.94</v>
      </c>
      <c r="AH107" s="28">
        <v>1887.6</v>
      </c>
      <c r="AJ107" s="19" t="s">
        <v>955</v>
      </c>
      <c r="AK107" s="28">
        <v>1</v>
      </c>
      <c r="AL107" s="28">
        <v>511.53</v>
      </c>
      <c r="AM107" s="28">
        <v>92.07</v>
      </c>
      <c r="AN107" s="28">
        <v>603.6</v>
      </c>
      <c r="BN107"/>
      <c r="BO107"/>
      <c r="BQ107"/>
      <c r="BR107"/>
      <c r="BZ107" s="19">
        <v>971</v>
      </c>
      <c r="CA107" s="28">
        <v>1</v>
      </c>
    </row>
    <row r="108" spans="4:79" ht="15">
      <c r="D108" s="19" t="s">
        <v>1920</v>
      </c>
      <c r="E108" s="28">
        <v>1</v>
      </c>
      <c r="G108" s="19" t="s">
        <v>1695</v>
      </c>
      <c r="H108" s="28">
        <v>2551.0300000000002</v>
      </c>
      <c r="R108"/>
      <c r="S108"/>
      <c r="T108"/>
      <c r="U108"/>
      <c r="V108"/>
      <c r="X108"/>
      <c r="Y108"/>
      <c r="Z108"/>
      <c r="AA108"/>
      <c r="AB108"/>
      <c r="AD108" s="19" t="s">
        <v>2177</v>
      </c>
      <c r="AE108" s="28">
        <v>1</v>
      </c>
      <c r="AF108" s="28">
        <v>511.53</v>
      </c>
      <c r="AG108" s="28">
        <v>92.07</v>
      </c>
      <c r="AH108" s="28">
        <v>603.6</v>
      </c>
      <c r="AJ108" s="19" t="s">
        <v>953</v>
      </c>
      <c r="AK108" s="28">
        <v>1</v>
      </c>
      <c r="AL108" s="28">
        <v>518.80999999999995</v>
      </c>
      <c r="AM108" s="28">
        <v>93.39</v>
      </c>
      <c r="AN108" s="28">
        <v>612.20000000000005</v>
      </c>
      <c r="BN108"/>
      <c r="BO108"/>
      <c r="BQ108"/>
      <c r="BR108"/>
      <c r="BZ108" s="19">
        <v>972</v>
      </c>
      <c r="CA108" s="28">
        <v>1</v>
      </c>
    </row>
    <row r="109" spans="4:79" ht="15">
      <c r="D109" s="19" t="s">
        <v>1921</v>
      </c>
      <c r="E109" s="28">
        <v>1</v>
      </c>
      <c r="G109" s="19" t="s">
        <v>1697</v>
      </c>
      <c r="H109" s="28">
        <v>1594.55</v>
      </c>
      <c r="R109"/>
      <c r="S109"/>
      <c r="T109"/>
      <c r="U109"/>
      <c r="V109"/>
      <c r="X109"/>
      <c r="Y109"/>
      <c r="Z109"/>
      <c r="AA109"/>
      <c r="AB109"/>
      <c r="AD109" s="19" t="s">
        <v>2176</v>
      </c>
      <c r="AE109" s="28">
        <v>1</v>
      </c>
      <c r="AF109" s="28">
        <v>518.80999999999995</v>
      </c>
      <c r="AG109" s="28">
        <v>93.39</v>
      </c>
      <c r="AH109" s="28">
        <v>612.20000000000005</v>
      </c>
      <c r="AJ109" s="19" t="s">
        <v>951</v>
      </c>
      <c r="AK109" s="28">
        <v>1</v>
      </c>
      <c r="AL109" s="28">
        <v>61.02</v>
      </c>
      <c r="AM109" s="28">
        <v>10.98</v>
      </c>
      <c r="AN109" s="28">
        <v>72</v>
      </c>
      <c r="BN109"/>
      <c r="BO109"/>
      <c r="BQ109"/>
      <c r="BR109"/>
      <c r="BZ109" s="19">
        <v>973</v>
      </c>
      <c r="CA109" s="28">
        <v>1</v>
      </c>
    </row>
    <row r="110" spans="4:79" ht="15">
      <c r="D110" s="19" t="s">
        <v>1922</v>
      </c>
      <c r="E110" s="28">
        <v>1</v>
      </c>
      <c r="G110" s="19" t="s">
        <v>1699</v>
      </c>
      <c r="H110" s="28">
        <v>83.53</v>
      </c>
      <c r="R110"/>
      <c r="S110"/>
      <c r="T110"/>
      <c r="U110"/>
      <c r="V110"/>
      <c r="X110"/>
      <c r="Y110"/>
      <c r="Z110"/>
      <c r="AA110"/>
      <c r="AB110"/>
      <c r="AD110" s="19" t="s">
        <v>2169</v>
      </c>
      <c r="AE110" s="28">
        <v>1</v>
      </c>
      <c r="AF110" s="28">
        <v>61.02</v>
      </c>
      <c r="AG110" s="28">
        <v>10.98</v>
      </c>
      <c r="AH110" s="28">
        <v>72</v>
      </c>
      <c r="AJ110" s="19" t="s">
        <v>948</v>
      </c>
      <c r="AK110" s="28">
        <v>1</v>
      </c>
      <c r="AL110" s="28">
        <v>109.83</v>
      </c>
      <c r="AM110" s="28">
        <v>19.77</v>
      </c>
      <c r="AN110" s="28">
        <v>129.6</v>
      </c>
      <c r="BN110"/>
      <c r="BO110"/>
      <c r="BQ110"/>
      <c r="BR110"/>
      <c r="BZ110" s="19">
        <v>974</v>
      </c>
      <c r="CA110" s="28">
        <v>1</v>
      </c>
    </row>
    <row r="111" spans="4:79" ht="15">
      <c r="D111" s="19" t="s">
        <v>1923</v>
      </c>
      <c r="E111" s="28">
        <v>1</v>
      </c>
      <c r="G111" s="19" t="s">
        <v>1701</v>
      </c>
      <c r="H111" s="28">
        <v>4737.62</v>
      </c>
      <c r="R111"/>
      <c r="S111"/>
      <c r="T111"/>
      <c r="U111"/>
      <c r="V111"/>
      <c r="AD111" s="19" t="s">
        <v>2168</v>
      </c>
      <c r="AE111" s="28">
        <v>1</v>
      </c>
      <c r="AF111" s="28">
        <v>109.83</v>
      </c>
      <c r="AG111" s="28">
        <v>19.77</v>
      </c>
      <c r="AH111" s="28">
        <v>129.6</v>
      </c>
      <c r="AJ111" s="19" t="s">
        <v>925</v>
      </c>
      <c r="AK111" s="28">
        <v>1</v>
      </c>
      <c r="AL111" s="28">
        <v>12.2</v>
      </c>
      <c r="AM111" s="28">
        <v>2.2000000000000002</v>
      </c>
      <c r="AN111" s="28">
        <v>14.4</v>
      </c>
      <c r="BN111"/>
      <c r="BO111"/>
      <c r="BQ111"/>
      <c r="BR111"/>
      <c r="BZ111" s="19">
        <v>975</v>
      </c>
      <c r="CA111" s="28">
        <v>1</v>
      </c>
    </row>
    <row r="112" spans="4:79" ht="15">
      <c r="D112" s="19" t="s">
        <v>1924</v>
      </c>
      <c r="E112" s="28">
        <v>1</v>
      </c>
      <c r="G112" s="19" t="s">
        <v>1703</v>
      </c>
      <c r="H112" s="28">
        <v>2961.31</v>
      </c>
      <c r="R112"/>
      <c r="S112"/>
      <c r="T112"/>
      <c r="U112"/>
      <c r="V112"/>
      <c r="AD112" s="19" t="s">
        <v>2151</v>
      </c>
      <c r="AE112" s="28">
        <v>1</v>
      </c>
      <c r="AF112" s="28">
        <v>12.2</v>
      </c>
      <c r="AG112" s="28">
        <v>2.2000000000000002</v>
      </c>
      <c r="AH112" s="28">
        <v>14.4</v>
      </c>
      <c r="AJ112" s="19" t="s">
        <v>922</v>
      </c>
      <c r="AK112" s="28">
        <v>1</v>
      </c>
      <c r="AL112" s="28">
        <v>19.41</v>
      </c>
      <c r="AM112" s="28">
        <v>3.49</v>
      </c>
      <c r="AN112" s="28">
        <v>22.9</v>
      </c>
      <c r="BN112"/>
      <c r="BO112"/>
      <c r="BQ112"/>
      <c r="BR112"/>
      <c r="BZ112" s="19">
        <v>976</v>
      </c>
      <c r="CA112" s="28">
        <v>1</v>
      </c>
    </row>
    <row r="113" spans="4:79" ht="15">
      <c r="D113" s="19" t="s">
        <v>1925</v>
      </c>
      <c r="E113" s="28">
        <v>1</v>
      </c>
      <c r="G113" s="19" t="s">
        <v>1705</v>
      </c>
      <c r="H113" s="28">
        <v>390</v>
      </c>
      <c r="R113"/>
      <c r="S113"/>
      <c r="T113"/>
      <c r="U113"/>
      <c r="V113"/>
      <c r="AD113" s="19" t="s">
        <v>2150</v>
      </c>
      <c r="AE113" s="28">
        <v>1</v>
      </c>
      <c r="AF113" s="28">
        <v>19.41</v>
      </c>
      <c r="AG113" s="28">
        <v>3.49</v>
      </c>
      <c r="AH113" s="28">
        <v>22.9</v>
      </c>
      <c r="AJ113" s="19" t="s">
        <v>920</v>
      </c>
      <c r="AK113" s="28">
        <v>1</v>
      </c>
      <c r="AL113" s="28">
        <v>238.98</v>
      </c>
      <c r="AM113" s="28">
        <v>43.02</v>
      </c>
      <c r="AN113" s="28">
        <v>282</v>
      </c>
      <c r="BN113"/>
      <c r="BO113"/>
      <c r="BQ113"/>
      <c r="BR113"/>
      <c r="BZ113" s="19">
        <v>977</v>
      </c>
      <c r="CA113" s="28">
        <v>1</v>
      </c>
    </row>
    <row r="114" spans="4:79" ht="15">
      <c r="D114" s="19" t="s">
        <v>1926</v>
      </c>
      <c r="E114" s="28">
        <v>1</v>
      </c>
      <c r="G114" s="19" t="s">
        <v>1718</v>
      </c>
      <c r="H114" s="28">
        <v>450</v>
      </c>
      <c r="R114"/>
      <c r="S114"/>
      <c r="T114"/>
      <c r="U114"/>
      <c r="V114"/>
      <c r="AD114" s="19" t="s">
        <v>2145</v>
      </c>
      <c r="AE114" s="28">
        <v>1</v>
      </c>
      <c r="AF114" s="28">
        <v>238.98</v>
      </c>
      <c r="AG114" s="28">
        <v>43.02</v>
      </c>
      <c r="AH114" s="28">
        <v>282</v>
      </c>
      <c r="AJ114" s="19" t="s">
        <v>918</v>
      </c>
      <c r="AK114" s="28">
        <v>1</v>
      </c>
      <c r="AL114" s="28">
        <v>281.61</v>
      </c>
      <c r="AM114" s="28">
        <v>50.69</v>
      </c>
      <c r="AN114" s="28">
        <v>332.3</v>
      </c>
      <c r="BN114"/>
      <c r="BO114"/>
      <c r="BQ114"/>
      <c r="BR114"/>
      <c r="BZ114" s="19">
        <v>978</v>
      </c>
      <c r="CA114" s="28">
        <v>1</v>
      </c>
    </row>
    <row r="115" spans="4:79" ht="15">
      <c r="D115" s="19" t="s">
        <v>1927</v>
      </c>
      <c r="E115" s="28">
        <v>1</v>
      </c>
      <c r="G115" s="19" t="s">
        <v>1720</v>
      </c>
      <c r="H115" s="28">
        <v>920</v>
      </c>
      <c r="R115"/>
      <c r="S115"/>
      <c r="T115"/>
      <c r="U115"/>
      <c r="V115"/>
      <c r="AD115" s="19" t="s">
        <v>2144</v>
      </c>
      <c r="AE115" s="28">
        <v>1</v>
      </c>
      <c r="AF115" s="28">
        <v>281.61</v>
      </c>
      <c r="AG115" s="28">
        <v>50.69</v>
      </c>
      <c r="AH115" s="28">
        <v>332.3</v>
      </c>
      <c r="AJ115" s="19" t="s">
        <v>916</v>
      </c>
      <c r="AK115" s="28">
        <v>1</v>
      </c>
      <c r="AL115" s="28">
        <v>660</v>
      </c>
      <c r="AM115" s="28">
        <v>118.8</v>
      </c>
      <c r="AN115" s="28">
        <v>778.8</v>
      </c>
      <c r="BN115"/>
      <c r="BO115"/>
      <c r="BQ115"/>
      <c r="BR115"/>
      <c r="BZ115" s="19">
        <v>979</v>
      </c>
      <c r="CA115" s="28">
        <v>1</v>
      </c>
    </row>
    <row r="116" spans="4:79" ht="15">
      <c r="D116" s="19" t="s">
        <v>1928</v>
      </c>
      <c r="E116" s="28">
        <v>1</v>
      </c>
      <c r="G116" s="19" t="s">
        <v>1726</v>
      </c>
      <c r="H116" s="28">
        <v>100</v>
      </c>
      <c r="R116"/>
      <c r="S116"/>
      <c r="T116"/>
      <c r="U116"/>
      <c r="V116"/>
      <c r="AD116" s="19" t="s">
        <v>2143</v>
      </c>
      <c r="AE116" s="28">
        <v>1</v>
      </c>
      <c r="AF116" s="28">
        <v>660</v>
      </c>
      <c r="AG116" s="28">
        <v>118.8</v>
      </c>
      <c r="AH116" s="28">
        <v>778.8</v>
      </c>
      <c r="AJ116" s="19" t="s">
        <v>914</v>
      </c>
      <c r="AK116" s="28">
        <v>1</v>
      </c>
      <c r="AL116" s="28">
        <v>600</v>
      </c>
      <c r="AM116" s="28">
        <v>108</v>
      </c>
      <c r="AN116" s="28">
        <v>708</v>
      </c>
      <c r="BN116"/>
      <c r="BO116"/>
      <c r="BQ116"/>
      <c r="BR116"/>
      <c r="BZ116" s="19">
        <v>980</v>
      </c>
      <c r="CA116" s="28">
        <v>1</v>
      </c>
    </row>
    <row r="117" spans="4:79" ht="15">
      <c r="D117" s="19" t="s">
        <v>1929</v>
      </c>
      <c r="E117" s="28">
        <v>1</v>
      </c>
      <c r="G117" s="19" t="s">
        <v>1728</v>
      </c>
      <c r="H117" s="28">
        <v>1800</v>
      </c>
      <c r="R117"/>
      <c r="S117"/>
      <c r="T117"/>
      <c r="U117"/>
      <c r="V117"/>
      <c r="AD117" s="19" t="s">
        <v>2142</v>
      </c>
      <c r="AE117" s="28">
        <v>1</v>
      </c>
      <c r="AF117" s="28">
        <v>600</v>
      </c>
      <c r="AG117" s="28">
        <v>108</v>
      </c>
      <c r="AH117" s="28">
        <v>708</v>
      </c>
      <c r="AJ117" s="19" t="s">
        <v>912</v>
      </c>
      <c r="AK117" s="28">
        <v>1</v>
      </c>
      <c r="AL117" s="28">
        <v>65</v>
      </c>
      <c r="AM117" s="28">
        <v>11.7</v>
      </c>
      <c r="AN117" s="28">
        <v>76.7</v>
      </c>
      <c r="BN117"/>
      <c r="BO117"/>
      <c r="BQ117"/>
      <c r="BR117"/>
      <c r="BZ117" s="19">
        <v>981</v>
      </c>
      <c r="CA117" s="28">
        <v>1</v>
      </c>
    </row>
    <row r="118" spans="4:79" ht="15">
      <c r="D118" s="19" t="s">
        <v>1930</v>
      </c>
      <c r="E118" s="28">
        <v>1</v>
      </c>
      <c r="G118" s="19" t="s">
        <v>1730</v>
      </c>
      <c r="H118" s="28">
        <v>800</v>
      </c>
      <c r="R118"/>
      <c r="S118"/>
      <c r="T118"/>
      <c r="U118"/>
      <c r="V118"/>
      <c r="AD118" s="19" t="s">
        <v>2139</v>
      </c>
      <c r="AE118" s="28">
        <v>1</v>
      </c>
      <c r="AF118" s="28">
        <v>65</v>
      </c>
      <c r="AG118" s="28">
        <v>11.7</v>
      </c>
      <c r="AH118" s="28">
        <v>76.7</v>
      </c>
      <c r="AJ118" s="19" t="s">
        <v>910</v>
      </c>
      <c r="AK118" s="28">
        <v>1</v>
      </c>
      <c r="AL118" s="28">
        <v>32.880000000000003</v>
      </c>
      <c r="AM118" s="28">
        <v>5.92</v>
      </c>
      <c r="AN118" s="28">
        <v>38.799999999999997</v>
      </c>
      <c r="BN118"/>
      <c r="BO118"/>
      <c r="BQ118"/>
      <c r="BR118"/>
      <c r="BZ118" s="19">
        <v>982</v>
      </c>
      <c r="CA118" s="28">
        <v>1</v>
      </c>
    </row>
    <row r="119" spans="4:79" ht="15">
      <c r="D119" s="19" t="s">
        <v>1931</v>
      </c>
      <c r="E119" s="28">
        <v>1</v>
      </c>
      <c r="G119" s="19" t="s">
        <v>1732</v>
      </c>
      <c r="H119" s="28">
        <v>800</v>
      </c>
      <c r="R119"/>
      <c r="S119"/>
      <c r="T119"/>
      <c r="U119"/>
      <c r="V119"/>
      <c r="AD119" s="19" t="s">
        <v>2141</v>
      </c>
      <c r="AE119" s="28">
        <v>1</v>
      </c>
      <c r="AF119" s="28">
        <v>32.880000000000003</v>
      </c>
      <c r="AG119" s="28">
        <v>5.92</v>
      </c>
      <c r="AH119" s="28">
        <v>38.799999999999997</v>
      </c>
      <c r="AJ119" s="19" t="s">
        <v>907</v>
      </c>
      <c r="AK119" s="28">
        <v>1</v>
      </c>
      <c r="AL119" s="28">
        <v>46.78</v>
      </c>
      <c r="AM119" s="28">
        <v>8.42</v>
      </c>
      <c r="AN119" s="28">
        <v>55.2</v>
      </c>
      <c r="BN119"/>
      <c r="BO119"/>
      <c r="BQ119"/>
      <c r="BR119"/>
      <c r="BZ119" s="19">
        <v>983</v>
      </c>
      <c r="CA119" s="28">
        <v>1</v>
      </c>
    </row>
    <row r="120" spans="4:79" ht="15">
      <c r="D120" s="19" t="s">
        <v>1932</v>
      </c>
      <c r="E120" s="28">
        <v>1</v>
      </c>
      <c r="G120" s="19" t="s">
        <v>1734</v>
      </c>
      <c r="H120" s="28">
        <v>800</v>
      </c>
      <c r="R120"/>
      <c r="S120"/>
      <c r="T120"/>
      <c r="U120"/>
      <c r="V120"/>
      <c r="AD120" s="19" t="s">
        <v>2140</v>
      </c>
      <c r="AE120" s="28">
        <v>1</v>
      </c>
      <c r="AF120" s="28">
        <v>46.78</v>
      </c>
      <c r="AG120" s="28">
        <v>8.42</v>
      </c>
      <c r="AH120" s="28">
        <v>55.2</v>
      </c>
      <c r="AJ120" s="19" t="s">
        <v>905</v>
      </c>
      <c r="AK120" s="28">
        <v>1</v>
      </c>
      <c r="AL120" s="28">
        <v>5.07</v>
      </c>
      <c r="AM120" s="28">
        <v>0.91</v>
      </c>
      <c r="AN120" s="28">
        <v>5.98</v>
      </c>
      <c r="BN120"/>
      <c r="BO120"/>
      <c r="BQ120"/>
      <c r="BR120"/>
      <c r="BZ120" s="19">
        <v>984</v>
      </c>
      <c r="CA120" s="28">
        <v>1</v>
      </c>
    </row>
    <row r="121" spans="4:79" ht="15">
      <c r="D121" s="19" t="s">
        <v>1933</v>
      </c>
      <c r="E121" s="28">
        <v>1</v>
      </c>
      <c r="G121" s="19" t="s">
        <v>1736</v>
      </c>
      <c r="H121" s="28">
        <v>2000</v>
      </c>
      <c r="R121"/>
      <c r="S121"/>
      <c r="T121"/>
      <c r="U121"/>
      <c r="V121"/>
      <c r="AD121" s="19" t="s">
        <v>2107</v>
      </c>
      <c r="AE121" s="28">
        <v>1</v>
      </c>
      <c r="AF121" s="28">
        <v>5.07</v>
      </c>
      <c r="AG121" s="28">
        <v>0.91</v>
      </c>
      <c r="AH121" s="28">
        <v>5.98</v>
      </c>
      <c r="AJ121" s="19" t="s">
        <v>903</v>
      </c>
      <c r="AK121" s="28">
        <v>1</v>
      </c>
      <c r="AL121" s="28">
        <v>5.99</v>
      </c>
      <c r="AM121" s="28">
        <v>1.08</v>
      </c>
      <c r="AN121" s="28">
        <v>7.07</v>
      </c>
      <c r="BN121"/>
      <c r="BO121"/>
      <c r="BQ121"/>
      <c r="BR121"/>
      <c r="BZ121" s="19">
        <v>985</v>
      </c>
      <c r="CA121" s="28">
        <v>1</v>
      </c>
    </row>
    <row r="122" spans="4:79" ht="15">
      <c r="D122" s="19" t="s">
        <v>1934</v>
      </c>
      <c r="E122" s="28">
        <v>1</v>
      </c>
      <c r="G122" s="19" t="s">
        <v>1738</v>
      </c>
      <c r="H122" s="28">
        <v>1200</v>
      </c>
      <c r="R122"/>
      <c r="S122"/>
      <c r="T122"/>
      <c r="U122"/>
      <c r="V122"/>
      <c r="AD122" s="19" t="s">
        <v>2106</v>
      </c>
      <c r="AE122" s="28">
        <v>1</v>
      </c>
      <c r="AF122" s="28">
        <v>5.99</v>
      </c>
      <c r="AG122" s="28">
        <v>1.08</v>
      </c>
      <c r="AH122" s="28">
        <v>7.07</v>
      </c>
      <c r="AJ122" s="19" t="s">
        <v>901</v>
      </c>
      <c r="AK122" s="28">
        <v>1</v>
      </c>
      <c r="AL122" s="28">
        <v>126.8</v>
      </c>
      <c r="AM122" s="28">
        <v>22.82</v>
      </c>
      <c r="AN122" s="28">
        <v>149.62</v>
      </c>
      <c r="BN122"/>
      <c r="BO122"/>
      <c r="BQ122"/>
      <c r="BR122"/>
      <c r="BZ122" s="19">
        <v>990</v>
      </c>
      <c r="CA122" s="28">
        <v>1</v>
      </c>
    </row>
    <row r="123" spans="4:79" ht="15">
      <c r="D123" s="19" t="s">
        <v>1935</v>
      </c>
      <c r="E123" s="28">
        <v>1</v>
      </c>
      <c r="G123" s="19" t="s">
        <v>1740</v>
      </c>
      <c r="H123" s="28">
        <v>5200</v>
      </c>
      <c r="R123"/>
      <c r="S123"/>
      <c r="T123"/>
      <c r="U123"/>
      <c r="V123"/>
      <c r="AD123" s="19" t="s">
        <v>2105</v>
      </c>
      <c r="AE123" s="28">
        <v>1</v>
      </c>
      <c r="AF123" s="28">
        <v>126.8</v>
      </c>
      <c r="AG123" s="28">
        <v>22.82</v>
      </c>
      <c r="AH123" s="28">
        <v>149.62</v>
      </c>
      <c r="AJ123" s="19" t="s">
        <v>899</v>
      </c>
      <c r="AK123" s="28">
        <v>1</v>
      </c>
      <c r="AL123" s="28">
        <v>149.69</v>
      </c>
      <c r="AM123" s="28">
        <v>26.94</v>
      </c>
      <c r="AN123" s="28">
        <v>176.63</v>
      </c>
      <c r="BN123"/>
      <c r="BO123"/>
      <c r="BQ123"/>
      <c r="BR123"/>
      <c r="BZ123" s="19">
        <v>992</v>
      </c>
      <c r="CA123" s="28">
        <v>2</v>
      </c>
    </row>
    <row r="124" spans="4:79" ht="15">
      <c r="D124" s="19" t="s">
        <v>1936</v>
      </c>
      <c r="E124" s="28">
        <v>1</v>
      </c>
      <c r="G124" s="19" t="s">
        <v>1745</v>
      </c>
      <c r="H124" s="28">
        <v>450</v>
      </c>
      <c r="R124"/>
      <c r="S124"/>
      <c r="T124"/>
      <c r="U124"/>
      <c r="V124"/>
      <c r="AD124" s="19" t="s">
        <v>2104</v>
      </c>
      <c r="AE124" s="28">
        <v>1</v>
      </c>
      <c r="AF124" s="28">
        <v>149.69</v>
      </c>
      <c r="AG124" s="28">
        <v>26.94</v>
      </c>
      <c r="AH124" s="28">
        <v>176.63</v>
      </c>
      <c r="AJ124" s="19" t="s">
        <v>897</v>
      </c>
      <c r="AK124" s="28">
        <v>1</v>
      </c>
      <c r="AL124" s="28">
        <v>126.8</v>
      </c>
      <c r="AM124" s="28">
        <v>22.82</v>
      </c>
      <c r="AN124" s="28">
        <v>149.62</v>
      </c>
      <c r="BN124"/>
      <c r="BO124"/>
      <c r="BQ124"/>
      <c r="BR124"/>
      <c r="BZ124" s="19">
        <v>993</v>
      </c>
      <c r="CA124" s="28">
        <v>3</v>
      </c>
    </row>
    <row r="125" spans="4:79" ht="15">
      <c r="D125" s="19" t="s">
        <v>1937</v>
      </c>
      <c r="E125" s="28">
        <v>1</v>
      </c>
      <c r="G125" s="19" t="s">
        <v>1747</v>
      </c>
      <c r="H125" s="28">
        <v>3400</v>
      </c>
      <c r="R125"/>
      <c r="S125"/>
      <c r="T125"/>
      <c r="U125"/>
      <c r="V125"/>
      <c r="AD125" s="19" t="s">
        <v>2103</v>
      </c>
      <c r="AE125" s="28">
        <v>1</v>
      </c>
      <c r="AF125" s="28">
        <v>126.8</v>
      </c>
      <c r="AG125" s="28">
        <v>22.82</v>
      </c>
      <c r="AH125" s="28">
        <v>149.62</v>
      </c>
      <c r="AJ125" s="19" t="s">
        <v>895</v>
      </c>
      <c r="AK125" s="28">
        <v>1</v>
      </c>
      <c r="AL125" s="28">
        <v>149.69</v>
      </c>
      <c r="AM125" s="28">
        <v>26.94</v>
      </c>
      <c r="AN125" s="28">
        <v>176.63</v>
      </c>
      <c r="BN125"/>
      <c r="BO125"/>
      <c r="BQ125"/>
      <c r="BR125"/>
      <c r="BZ125" s="19" t="s">
        <v>1226</v>
      </c>
      <c r="CA125" s="28">
        <v>24</v>
      </c>
    </row>
    <row r="126" spans="4:79" ht="15">
      <c r="D126" s="19" t="s">
        <v>1938</v>
      </c>
      <c r="E126" s="28">
        <v>1</v>
      </c>
      <c r="G126" s="19" t="s">
        <v>1752</v>
      </c>
      <c r="H126" s="28">
        <v>3400</v>
      </c>
      <c r="R126"/>
      <c r="S126"/>
      <c r="T126"/>
      <c r="U126"/>
      <c r="V126"/>
      <c r="AD126" s="19" t="s">
        <v>2102</v>
      </c>
      <c r="AE126" s="28">
        <v>1</v>
      </c>
      <c r="AF126" s="28">
        <v>149.69</v>
      </c>
      <c r="AG126" s="28">
        <v>26.94</v>
      </c>
      <c r="AH126" s="28">
        <v>176.63</v>
      </c>
      <c r="AJ126" s="19" t="s">
        <v>893</v>
      </c>
      <c r="AK126" s="28">
        <v>1</v>
      </c>
      <c r="AL126" s="28">
        <v>248.53</v>
      </c>
      <c r="AM126" s="28">
        <v>44.73</v>
      </c>
      <c r="AN126" s="28">
        <v>293.26</v>
      </c>
      <c r="BN126"/>
      <c r="BO126"/>
      <c r="BQ126"/>
      <c r="BR126"/>
      <c r="BZ126" s="19" t="s">
        <v>1223</v>
      </c>
      <c r="CA126" s="28">
        <v>21</v>
      </c>
    </row>
    <row r="127" spans="4:79" ht="15">
      <c r="D127" s="19" t="s">
        <v>1939</v>
      </c>
      <c r="E127" s="28">
        <v>1</v>
      </c>
      <c r="G127" s="19" t="s">
        <v>1756</v>
      </c>
      <c r="H127" s="28">
        <v>32.5</v>
      </c>
      <c r="R127"/>
      <c r="S127"/>
      <c r="T127"/>
      <c r="U127"/>
      <c r="V127"/>
      <c r="AD127" s="19" t="s">
        <v>2101</v>
      </c>
      <c r="AE127" s="28">
        <v>1</v>
      </c>
      <c r="AF127" s="28">
        <v>248.53</v>
      </c>
      <c r="AG127" s="28">
        <v>44.73</v>
      </c>
      <c r="AH127" s="28">
        <v>293.26</v>
      </c>
      <c r="AJ127" s="19" t="s">
        <v>891</v>
      </c>
      <c r="AK127" s="28">
        <v>1</v>
      </c>
      <c r="AL127" s="28">
        <v>293.38</v>
      </c>
      <c r="AM127" s="28">
        <v>52.81</v>
      </c>
      <c r="AN127" s="28">
        <v>346.19</v>
      </c>
      <c r="BN127"/>
      <c r="BO127"/>
      <c r="BQ127"/>
      <c r="BR127"/>
      <c r="BZ127" s="19" t="s">
        <v>1237</v>
      </c>
      <c r="CA127" s="28">
        <v>4</v>
      </c>
    </row>
    <row r="128" spans="4:79" ht="15">
      <c r="D128" s="19" t="s">
        <v>1940</v>
      </c>
      <c r="E128" s="28">
        <v>1</v>
      </c>
      <c r="G128" s="19" t="s">
        <v>1774</v>
      </c>
      <c r="H128" s="28">
        <v>100</v>
      </c>
      <c r="R128"/>
      <c r="S128"/>
      <c r="T128"/>
      <c r="U128"/>
      <c r="V128"/>
      <c r="AD128" s="19" t="s">
        <v>2100</v>
      </c>
      <c r="AE128" s="28">
        <v>1</v>
      </c>
      <c r="AF128" s="28">
        <v>293.38</v>
      </c>
      <c r="AG128" s="28">
        <v>52.81</v>
      </c>
      <c r="AH128" s="28">
        <v>346.19</v>
      </c>
      <c r="AJ128" s="19" t="s">
        <v>889</v>
      </c>
      <c r="AK128" s="28">
        <v>1</v>
      </c>
      <c r="AL128" s="28">
        <v>18.09</v>
      </c>
      <c r="AM128" s="28">
        <v>3.26</v>
      </c>
      <c r="AN128" s="28">
        <v>21.35</v>
      </c>
      <c r="BN128"/>
      <c r="BO128"/>
      <c r="BQ128"/>
      <c r="BR128"/>
      <c r="BZ128" s="19" t="s">
        <v>1247</v>
      </c>
      <c r="CA128" s="28">
        <v>5</v>
      </c>
    </row>
    <row r="129" spans="4:79" ht="15">
      <c r="D129" s="19" t="s">
        <v>1941</v>
      </c>
      <c r="E129" s="28">
        <v>1</v>
      </c>
      <c r="G129" s="19" t="s">
        <v>1787</v>
      </c>
      <c r="H129" s="28">
        <v>109.06</v>
      </c>
      <c r="R129"/>
      <c r="S129"/>
      <c r="T129"/>
      <c r="U129"/>
      <c r="V129"/>
      <c r="AD129" s="19" t="s">
        <v>2099</v>
      </c>
      <c r="AE129" s="28">
        <v>1</v>
      </c>
      <c r="AF129" s="28">
        <v>18.09</v>
      </c>
      <c r="AG129" s="28">
        <v>3.26</v>
      </c>
      <c r="AH129" s="28">
        <v>21.35</v>
      </c>
      <c r="AJ129" s="19" t="s">
        <v>887</v>
      </c>
      <c r="AK129" s="28">
        <v>1</v>
      </c>
      <c r="AL129" s="28">
        <v>21.01</v>
      </c>
      <c r="AM129" s="28">
        <v>3.78</v>
      </c>
      <c r="AN129" s="28">
        <v>24.79</v>
      </c>
      <c r="BN129"/>
      <c r="BO129"/>
      <c r="BQ129"/>
      <c r="BR129"/>
      <c r="BZ129" s="19" t="s">
        <v>1230</v>
      </c>
      <c r="CA129" s="28">
        <v>3</v>
      </c>
    </row>
    <row r="130" spans="4:79" ht="15">
      <c r="D130" s="19" t="s">
        <v>1942</v>
      </c>
      <c r="E130" s="28">
        <v>1</v>
      </c>
      <c r="G130" s="19" t="s">
        <v>1790</v>
      </c>
      <c r="H130" s="28">
        <v>182.75</v>
      </c>
      <c r="R130"/>
      <c r="S130"/>
      <c r="T130"/>
      <c r="U130"/>
      <c r="V130"/>
      <c r="AD130" s="19" t="s">
        <v>2098</v>
      </c>
      <c r="AE130" s="28">
        <v>1</v>
      </c>
      <c r="AF130" s="28">
        <v>21.01</v>
      </c>
      <c r="AG130" s="28">
        <v>3.78</v>
      </c>
      <c r="AH130" s="28">
        <v>24.79</v>
      </c>
      <c r="AJ130" s="19" t="s">
        <v>885</v>
      </c>
      <c r="AK130" s="28">
        <v>1</v>
      </c>
      <c r="AL130" s="28">
        <v>452.31</v>
      </c>
      <c r="AM130" s="28">
        <v>81.41</v>
      </c>
      <c r="AN130" s="28">
        <v>533.72</v>
      </c>
      <c r="BN130"/>
      <c r="BO130"/>
      <c r="BQ130"/>
      <c r="BR130"/>
      <c r="BZ130" s="19" t="s">
        <v>1234</v>
      </c>
      <c r="CA130" s="28">
        <v>8</v>
      </c>
    </row>
    <row r="131" spans="4:79" ht="15">
      <c r="D131" s="19" t="s">
        <v>1943</v>
      </c>
      <c r="E131" s="28">
        <v>1</v>
      </c>
      <c r="G131" s="19" t="s">
        <v>1797</v>
      </c>
      <c r="H131" s="28">
        <v>1000</v>
      </c>
      <c r="R131"/>
      <c r="S131"/>
      <c r="T131"/>
      <c r="U131"/>
      <c r="V131"/>
      <c r="AD131" s="19" t="s">
        <v>2097</v>
      </c>
      <c r="AE131" s="28">
        <v>1</v>
      </c>
      <c r="AF131" s="28">
        <v>452.31</v>
      </c>
      <c r="AG131" s="28">
        <v>81.41</v>
      </c>
      <c r="AH131" s="28">
        <v>533.72</v>
      </c>
      <c r="AJ131" s="19" t="s">
        <v>883</v>
      </c>
      <c r="AK131" s="28">
        <v>1</v>
      </c>
      <c r="AL131" s="28">
        <v>525.17999999999995</v>
      </c>
      <c r="AM131" s="28">
        <v>94.53</v>
      </c>
      <c r="AN131" s="28">
        <v>619.71</v>
      </c>
      <c r="BN131"/>
      <c r="BO131"/>
      <c r="BQ131"/>
      <c r="BR131"/>
      <c r="BZ131" s="19" t="s">
        <v>1240</v>
      </c>
      <c r="CA131" s="28">
        <v>6</v>
      </c>
    </row>
    <row r="132" spans="4:79" ht="15">
      <c r="D132" s="19" t="s">
        <v>1944</v>
      </c>
      <c r="E132" s="28">
        <v>1</v>
      </c>
      <c r="G132" s="19" t="s">
        <v>1800</v>
      </c>
      <c r="H132" s="28">
        <v>1500</v>
      </c>
      <c r="R132"/>
      <c r="S132"/>
      <c r="T132"/>
      <c r="U132"/>
      <c r="V132"/>
      <c r="AD132" s="19" t="s">
        <v>2096</v>
      </c>
      <c r="AE132" s="28">
        <v>1</v>
      </c>
      <c r="AF132" s="28">
        <v>525.17999999999995</v>
      </c>
      <c r="AG132" s="28">
        <v>94.53</v>
      </c>
      <c r="AH132" s="28">
        <v>619.71</v>
      </c>
      <c r="AJ132" s="19" t="s">
        <v>881</v>
      </c>
      <c r="AK132" s="28">
        <v>1</v>
      </c>
      <c r="AL132" s="28">
        <v>452.31</v>
      </c>
      <c r="AM132" s="28">
        <v>81.41</v>
      </c>
      <c r="AN132" s="28">
        <v>533.72</v>
      </c>
      <c r="BN132"/>
      <c r="BO132"/>
      <c r="BQ132"/>
      <c r="BR132"/>
      <c r="BZ132" s="19" t="s">
        <v>1251</v>
      </c>
      <c r="CA132" s="28">
        <v>3</v>
      </c>
    </row>
    <row r="133" spans="4:79" ht="15">
      <c r="D133" s="19" t="s">
        <v>1945</v>
      </c>
      <c r="E133" s="28">
        <v>1</v>
      </c>
      <c r="G133" s="19" t="s">
        <v>1833</v>
      </c>
      <c r="H133" s="28">
        <v>3400</v>
      </c>
      <c r="R133"/>
      <c r="S133"/>
      <c r="T133"/>
      <c r="U133"/>
      <c r="V133"/>
      <c r="AD133" s="19" t="s">
        <v>2095</v>
      </c>
      <c r="AE133" s="28">
        <v>1</v>
      </c>
      <c r="AF133" s="28">
        <v>452.31</v>
      </c>
      <c r="AG133" s="28">
        <v>81.41</v>
      </c>
      <c r="AH133" s="28">
        <v>533.72</v>
      </c>
      <c r="AJ133" s="19" t="s">
        <v>879</v>
      </c>
      <c r="AK133" s="28">
        <v>1</v>
      </c>
      <c r="AL133" s="28">
        <v>525.17999999999995</v>
      </c>
      <c r="AM133" s="28">
        <v>94.53</v>
      </c>
      <c r="AN133" s="28">
        <v>619.71</v>
      </c>
      <c r="BN133"/>
      <c r="BO133"/>
      <c r="BQ133"/>
      <c r="BR133"/>
      <c r="BZ133" s="19" t="s">
        <v>52</v>
      </c>
      <c r="CA133" s="28">
        <v>457</v>
      </c>
    </row>
    <row r="134" spans="4:79" ht="15">
      <c r="D134" s="19" t="s">
        <v>1946</v>
      </c>
      <c r="E134" s="28">
        <v>1</v>
      </c>
      <c r="G134" s="19" t="s">
        <v>1838</v>
      </c>
      <c r="H134" s="28">
        <v>450</v>
      </c>
      <c r="R134"/>
      <c r="S134"/>
      <c r="T134"/>
      <c r="U134"/>
      <c r="V134"/>
      <c r="AD134" s="19" t="s">
        <v>2094</v>
      </c>
      <c r="AE134" s="28">
        <v>1</v>
      </c>
      <c r="AF134" s="28">
        <v>525.17999999999995</v>
      </c>
      <c r="AG134" s="28">
        <v>94.53</v>
      </c>
      <c r="AH134" s="28">
        <v>619.71</v>
      </c>
      <c r="AJ134" s="19" t="s">
        <v>877</v>
      </c>
      <c r="AK134" s="28">
        <v>1</v>
      </c>
      <c r="AL134" s="28">
        <v>886.52</v>
      </c>
      <c r="AM134" s="28">
        <v>159.57</v>
      </c>
      <c r="AN134" s="28">
        <v>1046.0899999999999</v>
      </c>
      <c r="BN134"/>
      <c r="BO134"/>
      <c r="BQ134"/>
      <c r="BR134"/>
    </row>
    <row r="135" spans="4:79" ht="15">
      <c r="D135" s="19" t="s">
        <v>1947</v>
      </c>
      <c r="E135" s="28">
        <v>1</v>
      </c>
      <c r="G135" s="19" t="s">
        <v>1840</v>
      </c>
      <c r="H135" s="28">
        <v>3700</v>
      </c>
      <c r="R135"/>
      <c r="S135"/>
      <c r="T135"/>
      <c r="U135"/>
      <c r="V135"/>
      <c r="AD135" s="19" t="s">
        <v>2093</v>
      </c>
      <c r="AE135" s="28">
        <v>1</v>
      </c>
      <c r="AF135" s="28">
        <v>886.52</v>
      </c>
      <c r="AG135" s="28">
        <v>159.57</v>
      </c>
      <c r="AH135" s="28">
        <v>1046.0899999999999</v>
      </c>
      <c r="AJ135" s="19" t="s">
        <v>875</v>
      </c>
      <c r="AK135" s="28">
        <v>1</v>
      </c>
      <c r="AL135" s="28">
        <v>1029.3599999999999</v>
      </c>
      <c r="AM135" s="28">
        <v>185.28</v>
      </c>
      <c r="AN135" s="28">
        <v>1214.6400000000001</v>
      </c>
      <c r="BN135"/>
      <c r="BO135"/>
      <c r="BQ135"/>
      <c r="BR135"/>
    </row>
    <row r="136" spans="4:79" ht="15">
      <c r="D136" s="19" t="s">
        <v>1948</v>
      </c>
      <c r="E136" s="28">
        <v>1</v>
      </c>
      <c r="G136" s="19" t="s">
        <v>52</v>
      </c>
      <c r="H136" s="28">
        <v>361701.7899999998</v>
      </c>
      <c r="R136"/>
      <c r="S136"/>
      <c r="T136"/>
      <c r="U136"/>
      <c r="V136"/>
      <c r="AD136" s="19" t="s">
        <v>2092</v>
      </c>
      <c r="AE136" s="28">
        <v>1</v>
      </c>
      <c r="AF136" s="28">
        <v>1029.3599999999999</v>
      </c>
      <c r="AG136" s="28">
        <v>185.28</v>
      </c>
      <c r="AH136" s="28">
        <v>1214.6400000000001</v>
      </c>
      <c r="AJ136" s="19" t="s">
        <v>873</v>
      </c>
      <c r="AK136" s="28">
        <v>1</v>
      </c>
      <c r="AL136" s="28">
        <v>20.99</v>
      </c>
      <c r="AM136" s="28">
        <v>3.78</v>
      </c>
      <c r="AN136" s="28">
        <v>24.77</v>
      </c>
      <c r="BN136"/>
      <c r="BO136"/>
      <c r="BQ136"/>
      <c r="BR136"/>
    </row>
    <row r="137" spans="4:79" ht="15">
      <c r="D137" s="19" t="s">
        <v>1949</v>
      </c>
      <c r="E137" s="28">
        <v>1</v>
      </c>
      <c r="R137"/>
      <c r="S137"/>
      <c r="T137"/>
      <c r="U137"/>
      <c r="V137"/>
      <c r="AD137" s="19" t="s">
        <v>2091</v>
      </c>
      <c r="AE137" s="28">
        <v>1</v>
      </c>
      <c r="AF137" s="28">
        <v>20.99</v>
      </c>
      <c r="AG137" s="28">
        <v>3.78</v>
      </c>
      <c r="AH137" s="28">
        <v>24.77</v>
      </c>
      <c r="AJ137" s="19" t="s">
        <v>871</v>
      </c>
      <c r="AK137" s="28">
        <v>1</v>
      </c>
      <c r="AL137" s="28">
        <v>24.11</v>
      </c>
      <c r="AM137" s="28">
        <v>4.34</v>
      </c>
      <c r="AN137" s="28">
        <v>28.45</v>
      </c>
      <c r="BN137"/>
      <c r="BO137"/>
      <c r="BQ137"/>
      <c r="BR137"/>
    </row>
    <row r="138" spans="4:79" ht="15">
      <c r="D138" s="19" t="s">
        <v>1950</v>
      </c>
      <c r="E138" s="28">
        <v>1</v>
      </c>
      <c r="R138"/>
      <c r="S138"/>
      <c r="T138"/>
      <c r="U138"/>
      <c r="V138"/>
      <c r="AD138" s="19" t="s">
        <v>2090</v>
      </c>
      <c r="AE138" s="28">
        <v>1</v>
      </c>
      <c r="AF138" s="28">
        <v>24.11</v>
      </c>
      <c r="AG138" s="28">
        <v>4.34</v>
      </c>
      <c r="AH138" s="28">
        <v>28.45</v>
      </c>
      <c r="AJ138" s="19" t="s">
        <v>869</v>
      </c>
      <c r="AK138" s="28">
        <v>1</v>
      </c>
      <c r="AL138" s="28">
        <v>524.72</v>
      </c>
      <c r="AM138" s="28">
        <v>94.45</v>
      </c>
      <c r="AN138" s="28">
        <v>619.16999999999996</v>
      </c>
      <c r="BN138"/>
      <c r="BO138"/>
      <c r="BQ138"/>
      <c r="BR138"/>
    </row>
    <row r="139" spans="4:79" ht="15">
      <c r="D139" s="19" t="s">
        <v>1951</v>
      </c>
      <c r="E139" s="28">
        <v>1</v>
      </c>
      <c r="R139"/>
      <c r="S139"/>
      <c r="T139"/>
      <c r="U139"/>
      <c r="V139"/>
      <c r="AD139" s="19" t="s">
        <v>2089</v>
      </c>
      <c r="AE139" s="28">
        <v>1</v>
      </c>
      <c r="AF139" s="28">
        <v>524.72</v>
      </c>
      <c r="AG139" s="28">
        <v>94.45</v>
      </c>
      <c r="AH139" s="28">
        <v>619.16999999999996</v>
      </c>
      <c r="AJ139" s="19" t="s">
        <v>867</v>
      </c>
      <c r="AK139" s="28">
        <v>1</v>
      </c>
      <c r="AL139" s="28">
        <v>602.70000000000005</v>
      </c>
      <c r="AM139" s="28">
        <v>108.49</v>
      </c>
      <c r="AN139" s="28">
        <v>711.19</v>
      </c>
      <c r="BN139"/>
      <c r="BO139"/>
      <c r="BQ139"/>
      <c r="BR139"/>
    </row>
    <row r="140" spans="4:79" ht="15">
      <c r="D140" s="19" t="s">
        <v>1952</v>
      </c>
      <c r="E140" s="28">
        <v>1</v>
      </c>
      <c r="R140"/>
      <c r="S140"/>
      <c r="T140"/>
      <c r="U140"/>
      <c r="V140"/>
      <c r="AD140" s="19" t="s">
        <v>2088</v>
      </c>
      <c r="AE140" s="28">
        <v>1</v>
      </c>
      <c r="AF140" s="28">
        <v>602.70000000000005</v>
      </c>
      <c r="AG140" s="28">
        <v>108.49</v>
      </c>
      <c r="AH140" s="28">
        <v>711.19</v>
      </c>
      <c r="AJ140" s="19" t="s">
        <v>865</v>
      </c>
      <c r="AK140" s="28">
        <v>1</v>
      </c>
      <c r="AL140" s="28">
        <v>524.72</v>
      </c>
      <c r="AM140" s="28">
        <v>94.45</v>
      </c>
      <c r="AN140" s="28">
        <v>619.16999999999996</v>
      </c>
      <c r="BN140"/>
      <c r="BO140"/>
      <c r="BQ140"/>
      <c r="BR140"/>
    </row>
    <row r="141" spans="4:79" ht="15">
      <c r="D141" s="19" t="s">
        <v>1953</v>
      </c>
      <c r="E141" s="28">
        <v>1</v>
      </c>
      <c r="R141"/>
      <c r="S141"/>
      <c r="T141"/>
      <c r="U141"/>
      <c r="V141"/>
      <c r="AD141" s="19" t="s">
        <v>2087</v>
      </c>
      <c r="AE141" s="28">
        <v>1</v>
      </c>
      <c r="AF141" s="28">
        <v>524.72</v>
      </c>
      <c r="AG141" s="28">
        <v>94.45</v>
      </c>
      <c r="AH141" s="28">
        <v>619.16999999999996</v>
      </c>
      <c r="AJ141" s="19" t="s">
        <v>863</v>
      </c>
      <c r="AK141" s="28">
        <v>1</v>
      </c>
      <c r="AL141" s="28">
        <v>602.70000000000005</v>
      </c>
      <c r="AM141" s="28">
        <v>108.49</v>
      </c>
      <c r="AN141" s="28">
        <v>711.19</v>
      </c>
      <c r="BN141"/>
      <c r="BO141"/>
      <c r="BQ141"/>
      <c r="BR141"/>
    </row>
    <row r="142" spans="4:79" ht="15">
      <c r="D142" s="19" t="s">
        <v>1954</v>
      </c>
      <c r="E142" s="28">
        <v>1</v>
      </c>
      <c r="R142"/>
      <c r="S142"/>
      <c r="T142"/>
      <c r="U142"/>
      <c r="V142"/>
      <c r="AD142" s="19" t="s">
        <v>2086</v>
      </c>
      <c r="AE142" s="28">
        <v>1</v>
      </c>
      <c r="AF142" s="28">
        <v>602.70000000000005</v>
      </c>
      <c r="AG142" s="28">
        <v>108.49</v>
      </c>
      <c r="AH142" s="28">
        <v>711.19</v>
      </c>
      <c r="AJ142" s="19" t="s">
        <v>861</v>
      </c>
      <c r="AK142" s="28">
        <v>1</v>
      </c>
      <c r="AL142" s="28">
        <v>1028.46</v>
      </c>
      <c r="AM142" s="28">
        <v>185.12</v>
      </c>
      <c r="AN142" s="28">
        <v>1213.58</v>
      </c>
      <c r="BN142"/>
      <c r="BO142"/>
      <c r="BQ142"/>
      <c r="BR142"/>
    </row>
    <row r="143" spans="4:79" ht="15">
      <c r="D143" s="19" t="s">
        <v>1955</v>
      </c>
      <c r="E143" s="28">
        <v>1</v>
      </c>
      <c r="R143"/>
      <c r="S143"/>
      <c r="T143"/>
      <c r="U143"/>
      <c r="V143"/>
      <c r="AD143" s="19" t="s">
        <v>2085</v>
      </c>
      <c r="AE143" s="28">
        <v>1</v>
      </c>
      <c r="AF143" s="28">
        <v>1028.46</v>
      </c>
      <c r="AG143" s="28">
        <v>185.12</v>
      </c>
      <c r="AH143" s="28">
        <v>1213.58</v>
      </c>
      <c r="AJ143" s="19" t="s">
        <v>859</v>
      </c>
      <c r="AK143" s="28">
        <v>1</v>
      </c>
      <c r="AL143" s="28">
        <v>1181.29</v>
      </c>
      <c r="AM143" s="28">
        <v>212.63</v>
      </c>
      <c r="AN143" s="28">
        <v>1393.92</v>
      </c>
      <c r="BN143"/>
      <c r="BO143"/>
      <c r="BQ143"/>
      <c r="BR143"/>
    </row>
    <row r="144" spans="4:79" ht="15">
      <c r="D144" s="19" t="s">
        <v>1956</v>
      </c>
      <c r="E144" s="28">
        <v>1</v>
      </c>
      <c r="R144"/>
      <c r="S144"/>
      <c r="T144"/>
      <c r="U144"/>
      <c r="V144"/>
      <c r="AD144" s="19" t="s">
        <v>2084</v>
      </c>
      <c r="AE144" s="28">
        <v>1</v>
      </c>
      <c r="AF144" s="28">
        <v>1181.29</v>
      </c>
      <c r="AG144" s="28">
        <v>212.63</v>
      </c>
      <c r="AH144" s="28">
        <v>1393.92</v>
      </c>
      <c r="AJ144" s="19" t="s">
        <v>756</v>
      </c>
      <c r="AK144" s="28">
        <v>1</v>
      </c>
      <c r="AL144" s="28">
        <v>95.97</v>
      </c>
      <c r="AM144" s="28">
        <v>17.27</v>
      </c>
      <c r="AN144" s="28">
        <v>113.24</v>
      </c>
      <c r="BN144"/>
      <c r="BO144"/>
      <c r="BQ144"/>
      <c r="BR144"/>
    </row>
    <row r="145" spans="4:70" ht="15">
      <c r="D145" s="19" t="s">
        <v>1957</v>
      </c>
      <c r="E145" s="28">
        <v>1</v>
      </c>
      <c r="R145"/>
      <c r="S145"/>
      <c r="T145"/>
      <c r="U145"/>
      <c r="V145"/>
      <c r="AD145" s="19" t="s">
        <v>2075</v>
      </c>
      <c r="AE145" s="28">
        <v>1</v>
      </c>
      <c r="AF145" s="28">
        <v>95.97</v>
      </c>
      <c r="AG145" s="28">
        <v>17.27</v>
      </c>
      <c r="AH145" s="28">
        <v>113.24</v>
      </c>
      <c r="AJ145" s="19" t="s">
        <v>753</v>
      </c>
      <c r="AK145" s="28">
        <v>1</v>
      </c>
      <c r="AL145" s="28">
        <v>96.1</v>
      </c>
      <c r="AM145" s="28">
        <v>17.3</v>
      </c>
      <c r="AN145" s="28">
        <v>113.4</v>
      </c>
      <c r="BN145"/>
      <c r="BO145"/>
      <c r="BQ145"/>
      <c r="BR145"/>
    </row>
    <row r="146" spans="4:70" ht="15">
      <c r="D146" s="19" t="s">
        <v>1958</v>
      </c>
      <c r="E146" s="28">
        <v>1</v>
      </c>
      <c r="R146"/>
      <c r="S146"/>
      <c r="T146"/>
      <c r="U146"/>
      <c r="V146"/>
      <c r="AD146" s="19" t="s">
        <v>2074</v>
      </c>
      <c r="AE146" s="28">
        <v>1</v>
      </c>
      <c r="AF146" s="28">
        <v>96.1</v>
      </c>
      <c r="AG146" s="28">
        <v>17.3</v>
      </c>
      <c r="AH146" s="28">
        <v>113.4</v>
      </c>
      <c r="AJ146" s="19" t="s">
        <v>751</v>
      </c>
      <c r="AK146" s="28">
        <v>1</v>
      </c>
      <c r="AL146" s="28">
        <v>824.87</v>
      </c>
      <c r="AM146" s="28">
        <v>148.47999999999999</v>
      </c>
      <c r="AN146" s="28">
        <v>973.35</v>
      </c>
      <c r="BN146"/>
      <c r="BO146"/>
      <c r="BQ146"/>
      <c r="BR146"/>
    </row>
    <row r="147" spans="4:70" ht="15">
      <c r="D147" s="19" t="s">
        <v>1959</v>
      </c>
      <c r="E147" s="28">
        <v>1</v>
      </c>
      <c r="R147"/>
      <c r="S147"/>
      <c r="T147"/>
      <c r="U147"/>
      <c r="V147"/>
      <c r="AD147" s="19" t="s">
        <v>2071</v>
      </c>
      <c r="AE147" s="28">
        <v>1</v>
      </c>
      <c r="AF147" s="28">
        <v>824.87</v>
      </c>
      <c r="AG147" s="28">
        <v>148.47999999999999</v>
      </c>
      <c r="AH147" s="28">
        <v>973.35</v>
      </c>
      <c r="AJ147" s="19" t="s">
        <v>748</v>
      </c>
      <c r="AK147" s="28">
        <v>1</v>
      </c>
      <c r="AL147" s="28">
        <v>1346.2</v>
      </c>
      <c r="AM147" s="28">
        <v>242.32</v>
      </c>
      <c r="AN147" s="28">
        <v>1588.52</v>
      </c>
      <c r="BN147"/>
      <c r="BO147"/>
      <c r="BQ147"/>
      <c r="BR147"/>
    </row>
    <row r="148" spans="4:70" ht="15">
      <c r="D148" s="19" t="s">
        <v>1960</v>
      </c>
      <c r="E148" s="28">
        <v>1</v>
      </c>
      <c r="R148"/>
      <c r="S148"/>
      <c r="T148"/>
      <c r="U148"/>
      <c r="V148"/>
      <c r="AD148" s="19" t="s">
        <v>2070</v>
      </c>
      <c r="AE148" s="28">
        <v>1</v>
      </c>
      <c r="AF148" s="28">
        <v>1346.2</v>
      </c>
      <c r="AG148" s="28">
        <v>242.32</v>
      </c>
      <c r="AH148" s="28">
        <v>1588.52</v>
      </c>
      <c r="AJ148" s="19" t="s">
        <v>746</v>
      </c>
      <c r="AK148" s="28">
        <v>1</v>
      </c>
      <c r="AL148" s="28">
        <v>133.47</v>
      </c>
      <c r="AM148" s="28">
        <v>24.03</v>
      </c>
      <c r="AN148" s="28">
        <v>157.5</v>
      </c>
      <c r="BN148"/>
      <c r="BO148"/>
      <c r="BQ148"/>
      <c r="BR148"/>
    </row>
    <row r="149" spans="4:70" ht="15">
      <c r="D149" s="19" t="s">
        <v>1961</v>
      </c>
      <c r="E149" s="28">
        <v>1</v>
      </c>
      <c r="R149"/>
      <c r="S149"/>
      <c r="T149"/>
      <c r="U149"/>
      <c r="V149"/>
      <c r="AD149" s="19" t="s">
        <v>2069</v>
      </c>
      <c r="AE149" s="28">
        <v>1</v>
      </c>
      <c r="AF149" s="28">
        <v>133.47</v>
      </c>
      <c r="AG149" s="28">
        <v>24.03</v>
      </c>
      <c r="AH149" s="28">
        <v>157.5</v>
      </c>
      <c r="AJ149" s="19" t="s">
        <v>743</v>
      </c>
      <c r="AK149" s="28">
        <v>1</v>
      </c>
      <c r="AL149" s="28">
        <v>240.25</v>
      </c>
      <c r="AM149" s="28">
        <v>43.25</v>
      </c>
      <c r="AN149" s="28">
        <v>283.5</v>
      </c>
      <c r="BN149"/>
      <c r="BO149"/>
      <c r="BQ149"/>
      <c r="BR149"/>
    </row>
    <row r="150" spans="4:70" ht="15">
      <c r="D150" s="19" t="s">
        <v>1962</v>
      </c>
      <c r="E150" s="28">
        <v>1</v>
      </c>
      <c r="R150"/>
      <c r="S150"/>
      <c r="T150"/>
      <c r="U150"/>
      <c r="V150"/>
      <c r="AD150" s="19" t="s">
        <v>2068</v>
      </c>
      <c r="AE150" s="28">
        <v>1</v>
      </c>
      <c r="AF150" s="28">
        <v>240.25</v>
      </c>
      <c r="AG150" s="28">
        <v>43.25</v>
      </c>
      <c r="AH150" s="28">
        <v>283.5</v>
      </c>
      <c r="AJ150" s="19" t="s">
        <v>741</v>
      </c>
      <c r="AK150" s="28">
        <v>1</v>
      </c>
      <c r="AL150" s="28">
        <v>19.07</v>
      </c>
      <c r="AM150" s="28">
        <v>3.43</v>
      </c>
      <c r="AN150" s="28">
        <v>22.5</v>
      </c>
      <c r="BN150"/>
      <c r="BO150"/>
      <c r="BQ150"/>
      <c r="BR150"/>
    </row>
    <row r="151" spans="4:70" ht="15">
      <c r="D151" s="19" t="s">
        <v>1963</v>
      </c>
      <c r="E151" s="28">
        <v>1</v>
      </c>
      <c r="R151"/>
      <c r="S151"/>
      <c r="T151"/>
      <c r="U151"/>
      <c r="V151"/>
      <c r="AD151" s="19" t="s">
        <v>2067</v>
      </c>
      <c r="AE151" s="28">
        <v>1</v>
      </c>
      <c r="AF151" s="28">
        <v>19.07</v>
      </c>
      <c r="AG151" s="28">
        <v>3.43</v>
      </c>
      <c r="AH151" s="28">
        <v>22.5</v>
      </c>
      <c r="AJ151" s="19" t="s">
        <v>738</v>
      </c>
      <c r="AK151" s="28">
        <v>1</v>
      </c>
      <c r="AL151" s="28">
        <v>34.32</v>
      </c>
      <c r="AM151" s="28">
        <v>6.18</v>
      </c>
      <c r="AN151" s="28">
        <v>40.5</v>
      </c>
      <c r="BN151"/>
      <c r="BO151"/>
      <c r="BQ151"/>
      <c r="BR151"/>
    </row>
    <row r="152" spans="4:70" ht="15">
      <c r="D152" s="19" t="s">
        <v>1964</v>
      </c>
      <c r="E152" s="28">
        <v>1</v>
      </c>
      <c r="R152"/>
      <c r="S152"/>
      <c r="T152"/>
      <c r="U152"/>
      <c r="V152"/>
      <c r="AD152" s="19" t="s">
        <v>2066</v>
      </c>
      <c r="AE152" s="28">
        <v>1</v>
      </c>
      <c r="AF152" s="28">
        <v>34.32</v>
      </c>
      <c r="AG152" s="28">
        <v>6.18</v>
      </c>
      <c r="AH152" s="28">
        <v>40.5</v>
      </c>
      <c r="AJ152" s="19" t="s">
        <v>687</v>
      </c>
      <c r="AK152" s="28">
        <v>1</v>
      </c>
      <c r="AL152" s="28">
        <v>4611.78</v>
      </c>
      <c r="AM152" s="28">
        <v>830.12</v>
      </c>
      <c r="AN152" s="28">
        <v>5441.9</v>
      </c>
      <c r="BN152"/>
      <c r="BO152"/>
      <c r="BQ152"/>
      <c r="BR152"/>
    </row>
    <row r="153" spans="4:70" ht="15">
      <c r="D153" s="19" t="s">
        <v>1965</v>
      </c>
      <c r="E153" s="28">
        <v>1</v>
      </c>
      <c r="R153"/>
      <c r="S153"/>
      <c r="T153"/>
      <c r="U153"/>
      <c r="V153"/>
      <c r="AD153" s="19" t="s">
        <v>2027</v>
      </c>
      <c r="AE153" s="28">
        <v>1</v>
      </c>
      <c r="AF153" s="28">
        <v>4611.78</v>
      </c>
      <c r="AG153" s="28">
        <v>830.12</v>
      </c>
      <c r="AH153" s="28">
        <v>5441.9</v>
      </c>
      <c r="AJ153" s="19" t="s">
        <v>685</v>
      </c>
      <c r="AK153" s="28">
        <v>1</v>
      </c>
      <c r="AL153" s="28">
        <v>5235.68</v>
      </c>
      <c r="AM153" s="28">
        <v>942.42</v>
      </c>
      <c r="AN153" s="28">
        <v>6178.1</v>
      </c>
      <c r="BN153"/>
      <c r="BO153"/>
      <c r="BQ153"/>
      <c r="BR153"/>
    </row>
    <row r="154" spans="4:70" ht="15">
      <c r="D154" s="19" t="s">
        <v>1966</v>
      </c>
      <c r="E154" s="28">
        <v>1</v>
      </c>
      <c r="R154"/>
      <c r="S154"/>
      <c r="T154"/>
      <c r="U154"/>
      <c r="V154"/>
      <c r="AD154" s="19" t="s">
        <v>2026</v>
      </c>
      <c r="AE154" s="28">
        <v>1</v>
      </c>
      <c r="AF154" s="28">
        <v>5235.68</v>
      </c>
      <c r="AG154" s="28">
        <v>942.42</v>
      </c>
      <c r="AH154" s="28">
        <v>6178.1</v>
      </c>
      <c r="AJ154" s="19" t="s">
        <v>683</v>
      </c>
      <c r="AK154" s="28">
        <v>1</v>
      </c>
      <c r="AL154" s="28">
        <v>3100</v>
      </c>
      <c r="AM154" s="28">
        <v>558</v>
      </c>
      <c r="AN154" s="28">
        <v>3658</v>
      </c>
      <c r="BN154"/>
      <c r="BO154"/>
      <c r="BQ154"/>
      <c r="BR154"/>
    </row>
    <row r="155" spans="4:70" ht="15">
      <c r="D155" s="19" t="s">
        <v>1967</v>
      </c>
      <c r="E155" s="28">
        <v>1</v>
      </c>
      <c r="R155"/>
      <c r="S155"/>
      <c r="T155"/>
      <c r="U155"/>
      <c r="V155"/>
      <c r="AD155" s="19" t="s">
        <v>2025</v>
      </c>
      <c r="AE155" s="28">
        <v>1</v>
      </c>
      <c r="AF155" s="28">
        <v>3100</v>
      </c>
      <c r="AG155" s="28">
        <v>558</v>
      </c>
      <c r="AH155" s="28">
        <v>3658</v>
      </c>
      <c r="AJ155" s="19" t="s">
        <v>680</v>
      </c>
      <c r="AK155" s="28">
        <v>1</v>
      </c>
      <c r="AL155" s="28">
        <v>483.73</v>
      </c>
      <c r="AM155" s="28">
        <v>87.07</v>
      </c>
      <c r="AN155" s="28">
        <v>570.79999999999995</v>
      </c>
      <c r="BN155"/>
      <c r="BO155"/>
      <c r="BQ155"/>
      <c r="BR155"/>
    </row>
    <row r="156" spans="4:70" ht="15">
      <c r="D156" s="19" t="s">
        <v>1968</v>
      </c>
      <c r="E156" s="28">
        <v>1</v>
      </c>
      <c r="R156"/>
      <c r="S156"/>
      <c r="T156"/>
      <c r="U156"/>
      <c r="V156"/>
      <c r="AD156" s="19" t="s">
        <v>2024</v>
      </c>
      <c r="AE156" s="28">
        <v>1</v>
      </c>
      <c r="AF156" s="28">
        <v>483.73</v>
      </c>
      <c r="AG156" s="28">
        <v>87.07</v>
      </c>
      <c r="AH156" s="28">
        <v>570.79999999999995</v>
      </c>
      <c r="AJ156" s="19" t="s">
        <v>626</v>
      </c>
      <c r="AK156" s="28">
        <v>1</v>
      </c>
      <c r="AL156" s="28">
        <v>283.73</v>
      </c>
      <c r="AM156" s="28">
        <v>51.07</v>
      </c>
      <c r="AN156" s="28">
        <v>334.8</v>
      </c>
      <c r="BN156"/>
      <c r="BO156"/>
      <c r="BQ156"/>
      <c r="BR156"/>
    </row>
    <row r="157" spans="4:70" ht="15">
      <c r="D157" s="19" t="s">
        <v>1969</v>
      </c>
      <c r="E157" s="28">
        <v>1</v>
      </c>
      <c r="R157"/>
      <c r="S157"/>
      <c r="T157"/>
      <c r="U157"/>
      <c r="V157"/>
      <c r="AD157" s="19" t="s">
        <v>2021</v>
      </c>
      <c r="AE157" s="28">
        <v>1</v>
      </c>
      <c r="AF157" s="28">
        <v>283.73</v>
      </c>
      <c r="AG157" s="28">
        <v>51.07</v>
      </c>
      <c r="AH157" s="28">
        <v>334.8</v>
      </c>
      <c r="AJ157" s="19" t="s">
        <v>623</v>
      </c>
      <c r="AK157" s="28">
        <v>1</v>
      </c>
      <c r="AL157" s="28">
        <v>370.08</v>
      </c>
      <c r="AM157" s="28">
        <v>66.62</v>
      </c>
      <c r="AN157" s="28">
        <v>436.7</v>
      </c>
      <c r="BN157"/>
      <c r="BO157"/>
      <c r="BQ157"/>
      <c r="BR157"/>
    </row>
    <row r="158" spans="4:70" ht="15">
      <c r="D158" s="19" t="s">
        <v>1970</v>
      </c>
      <c r="E158" s="28">
        <v>1</v>
      </c>
      <c r="R158"/>
      <c r="S158"/>
      <c r="T158"/>
      <c r="U158"/>
      <c r="V158"/>
      <c r="AD158" s="19" t="s">
        <v>2020</v>
      </c>
      <c r="AE158" s="28">
        <v>1</v>
      </c>
      <c r="AF158" s="28">
        <v>370.08</v>
      </c>
      <c r="AG158" s="28">
        <v>66.62</v>
      </c>
      <c r="AH158" s="28">
        <v>436.7</v>
      </c>
      <c r="AJ158" s="19" t="s">
        <v>621</v>
      </c>
      <c r="AK158" s="28">
        <v>1</v>
      </c>
      <c r="AL158" s="28">
        <v>35.549999999999997</v>
      </c>
      <c r="AM158" s="28">
        <v>6.4</v>
      </c>
      <c r="AN158" s="28">
        <v>41.95</v>
      </c>
      <c r="BN158"/>
      <c r="BO158"/>
      <c r="BQ158"/>
      <c r="BR158"/>
    </row>
    <row r="159" spans="4:70" ht="15">
      <c r="D159" s="19" t="s">
        <v>1971</v>
      </c>
      <c r="E159" s="28">
        <v>1</v>
      </c>
      <c r="R159"/>
      <c r="S159"/>
      <c r="T159"/>
      <c r="U159"/>
      <c r="V159"/>
      <c r="AD159" s="19" t="s">
        <v>2019</v>
      </c>
      <c r="AE159" s="28">
        <v>1</v>
      </c>
      <c r="AF159" s="28">
        <v>35.549999999999997</v>
      </c>
      <c r="AG159" s="28">
        <v>6.4</v>
      </c>
      <c r="AH159" s="28">
        <v>41.95</v>
      </c>
      <c r="AJ159" s="19" t="s">
        <v>619</v>
      </c>
      <c r="AK159" s="28">
        <v>1</v>
      </c>
      <c r="AL159" s="28">
        <v>4.83</v>
      </c>
      <c r="AM159" s="28">
        <v>0.87</v>
      </c>
      <c r="AN159" s="28">
        <v>5.7</v>
      </c>
      <c r="BN159"/>
      <c r="BO159"/>
      <c r="BQ159"/>
      <c r="BR159"/>
    </row>
    <row r="160" spans="4:70" ht="15">
      <c r="D160" s="19" t="s">
        <v>1972</v>
      </c>
      <c r="E160" s="28">
        <v>1</v>
      </c>
      <c r="R160"/>
      <c r="S160"/>
      <c r="T160"/>
      <c r="U160"/>
      <c r="V160"/>
      <c r="AD160" s="19" t="s">
        <v>2018</v>
      </c>
      <c r="AE160" s="28">
        <v>1</v>
      </c>
      <c r="AF160" s="28">
        <v>4.83</v>
      </c>
      <c r="AG160" s="28">
        <v>0.87</v>
      </c>
      <c r="AH160" s="28">
        <v>5.7</v>
      </c>
      <c r="AJ160" s="19" t="s">
        <v>616</v>
      </c>
      <c r="AK160" s="28">
        <v>1</v>
      </c>
      <c r="AL160" s="28">
        <v>32.5</v>
      </c>
      <c r="AM160" s="28">
        <v>5.85</v>
      </c>
      <c r="AN160" s="28">
        <v>38.35</v>
      </c>
      <c r="BN160"/>
      <c r="BO160"/>
      <c r="BQ160"/>
      <c r="BR160"/>
    </row>
    <row r="161" spans="4:70" ht="15">
      <c r="D161" s="19" t="s">
        <v>1973</v>
      </c>
      <c r="E161" s="28">
        <v>1</v>
      </c>
      <c r="R161"/>
      <c r="S161"/>
      <c r="T161"/>
      <c r="U161"/>
      <c r="V161"/>
      <c r="AD161" s="19" t="s">
        <v>2017</v>
      </c>
      <c r="AE161" s="28">
        <v>1</v>
      </c>
      <c r="AF161" s="28">
        <v>32.5</v>
      </c>
      <c r="AG161" s="28">
        <v>5.85</v>
      </c>
      <c r="AH161" s="28">
        <v>38.35</v>
      </c>
      <c r="AJ161" s="19" t="s">
        <v>614</v>
      </c>
      <c r="AK161" s="28">
        <v>1</v>
      </c>
      <c r="AL161" s="28">
        <v>279.66000000000003</v>
      </c>
      <c r="AM161" s="28">
        <v>50.34</v>
      </c>
      <c r="AN161" s="28">
        <v>330</v>
      </c>
      <c r="BN161"/>
      <c r="BO161"/>
      <c r="BQ161"/>
      <c r="BR161"/>
    </row>
    <row r="162" spans="4:70" ht="15">
      <c r="D162" s="19" t="s">
        <v>1974</v>
      </c>
      <c r="E162" s="28">
        <v>1</v>
      </c>
      <c r="R162"/>
      <c r="S162"/>
      <c r="T162"/>
      <c r="U162"/>
      <c r="V162"/>
      <c r="AD162" s="19" t="s">
        <v>2016</v>
      </c>
      <c r="AE162" s="28">
        <v>1</v>
      </c>
      <c r="AF162" s="28">
        <v>279.66000000000003</v>
      </c>
      <c r="AG162" s="28">
        <v>50.34</v>
      </c>
      <c r="AH162" s="28">
        <v>330</v>
      </c>
      <c r="AJ162" s="19" t="s">
        <v>612</v>
      </c>
      <c r="AK162" s="28">
        <v>1</v>
      </c>
      <c r="AL162" s="28">
        <v>374.24</v>
      </c>
      <c r="AM162" s="28">
        <v>67.36</v>
      </c>
      <c r="AN162" s="28">
        <v>441.6</v>
      </c>
      <c r="BN162"/>
      <c r="BO162"/>
      <c r="BQ162"/>
      <c r="BR162"/>
    </row>
    <row r="163" spans="4:70" ht="15">
      <c r="D163" s="19" t="s">
        <v>1975</v>
      </c>
      <c r="E163" s="28">
        <v>1</v>
      </c>
      <c r="R163"/>
      <c r="S163"/>
      <c r="T163"/>
      <c r="U163"/>
      <c r="V163"/>
      <c r="AD163" s="19" t="s">
        <v>2015</v>
      </c>
      <c r="AE163" s="28">
        <v>1</v>
      </c>
      <c r="AF163" s="28">
        <v>374.24</v>
      </c>
      <c r="AG163" s="28">
        <v>67.36</v>
      </c>
      <c r="AH163" s="28">
        <v>441.6</v>
      </c>
      <c r="AJ163" s="19" t="s">
        <v>610</v>
      </c>
      <c r="AK163" s="28">
        <v>1</v>
      </c>
      <c r="AL163" s="28">
        <v>96.1</v>
      </c>
      <c r="AM163" s="28">
        <v>17.3</v>
      </c>
      <c r="AN163" s="28">
        <v>113.4</v>
      </c>
      <c r="BN163"/>
      <c r="BO163"/>
      <c r="BQ163"/>
      <c r="BR163"/>
    </row>
    <row r="164" spans="4:70" ht="15">
      <c r="D164" s="19" t="s">
        <v>1976</v>
      </c>
      <c r="E164" s="28">
        <v>1</v>
      </c>
      <c r="R164"/>
      <c r="S164"/>
      <c r="T164"/>
      <c r="U164"/>
      <c r="V164"/>
      <c r="AD164" s="19" t="s">
        <v>2012</v>
      </c>
      <c r="AE164" s="28">
        <v>1</v>
      </c>
      <c r="AF164" s="28">
        <v>96.1</v>
      </c>
      <c r="AG164" s="28">
        <v>17.3</v>
      </c>
      <c r="AH164" s="28">
        <v>113.4</v>
      </c>
      <c r="AJ164" s="19" t="s">
        <v>607</v>
      </c>
      <c r="AK164" s="28">
        <v>1</v>
      </c>
      <c r="AL164" s="28">
        <v>117.97</v>
      </c>
      <c r="AM164" s="28">
        <v>21.23</v>
      </c>
      <c r="AN164" s="28">
        <v>139.19999999999999</v>
      </c>
      <c r="BN164"/>
      <c r="BO164"/>
      <c r="BQ164"/>
      <c r="BR164"/>
    </row>
    <row r="165" spans="4:70" ht="15">
      <c r="D165" s="19" t="s">
        <v>1977</v>
      </c>
      <c r="E165" s="28">
        <v>1</v>
      </c>
      <c r="R165"/>
      <c r="S165"/>
      <c r="T165"/>
      <c r="U165"/>
      <c r="V165"/>
      <c r="AD165" s="19" t="s">
        <v>2011</v>
      </c>
      <c r="AE165" s="28">
        <v>1</v>
      </c>
      <c r="AF165" s="28">
        <v>117.97</v>
      </c>
      <c r="AG165" s="28">
        <v>21.23</v>
      </c>
      <c r="AH165" s="28">
        <v>139.19999999999999</v>
      </c>
      <c r="AJ165" s="19" t="s">
        <v>605</v>
      </c>
      <c r="AK165" s="28">
        <v>1</v>
      </c>
      <c r="AL165" s="28">
        <v>26.45</v>
      </c>
      <c r="AM165" s="28">
        <v>4.76</v>
      </c>
      <c r="AN165" s="28">
        <v>31.21</v>
      </c>
      <c r="BN165"/>
      <c r="BO165"/>
      <c r="BQ165"/>
      <c r="BR165"/>
    </row>
    <row r="166" spans="4:70" ht="15">
      <c r="D166" s="19" t="s">
        <v>1978</v>
      </c>
      <c r="E166" s="28">
        <v>1</v>
      </c>
      <c r="R166"/>
      <c r="S166"/>
      <c r="T166"/>
      <c r="U166"/>
      <c r="V166"/>
      <c r="AD166" s="19" t="s">
        <v>2010</v>
      </c>
      <c r="AE166" s="28">
        <v>1</v>
      </c>
      <c r="AF166" s="28">
        <v>26.45</v>
      </c>
      <c r="AG166" s="28">
        <v>4.76</v>
      </c>
      <c r="AH166" s="28">
        <v>31.21</v>
      </c>
      <c r="AJ166" s="19" t="s">
        <v>602</v>
      </c>
      <c r="AK166" s="28">
        <v>1</v>
      </c>
      <c r="AL166" s="28">
        <v>24.56</v>
      </c>
      <c r="AM166" s="28">
        <v>4.42</v>
      </c>
      <c r="AN166" s="28">
        <v>28.98</v>
      </c>
      <c r="BN166"/>
      <c r="BO166"/>
      <c r="BQ166"/>
      <c r="BR166"/>
    </row>
    <row r="167" spans="4:70" ht="15">
      <c r="D167" s="19" t="s">
        <v>1979</v>
      </c>
      <c r="E167" s="28">
        <v>1</v>
      </c>
      <c r="R167"/>
      <c r="S167"/>
      <c r="T167"/>
      <c r="U167"/>
      <c r="V167"/>
      <c r="AD167" s="19" t="s">
        <v>2009</v>
      </c>
      <c r="AE167" s="28">
        <v>1</v>
      </c>
      <c r="AF167" s="28">
        <v>24.56</v>
      </c>
      <c r="AG167" s="28">
        <v>4.42</v>
      </c>
      <c r="AH167" s="28">
        <v>28.98</v>
      </c>
      <c r="AJ167" s="19" t="s">
        <v>591</v>
      </c>
      <c r="AK167" s="28">
        <v>1</v>
      </c>
      <c r="AL167" s="28">
        <v>930</v>
      </c>
      <c r="AM167" s="28">
        <v>167.4</v>
      </c>
      <c r="AN167" s="28">
        <v>1097.4000000000001</v>
      </c>
      <c r="BN167"/>
      <c r="BO167"/>
      <c r="BQ167"/>
      <c r="BR167"/>
    </row>
    <row r="168" spans="4:70" ht="15">
      <c r="D168" s="19" t="s">
        <v>1980</v>
      </c>
      <c r="E168" s="28">
        <v>1</v>
      </c>
      <c r="R168"/>
      <c r="S168"/>
      <c r="T168"/>
      <c r="U168"/>
      <c r="V168"/>
      <c r="AD168" s="19" t="s">
        <v>1991</v>
      </c>
      <c r="AE168" s="28">
        <v>1</v>
      </c>
      <c r="AF168" s="28">
        <v>930</v>
      </c>
      <c r="AG168" s="28">
        <v>167.4</v>
      </c>
      <c r="AH168" s="28">
        <v>1097.4000000000001</v>
      </c>
      <c r="AJ168" s="19" t="s">
        <v>589</v>
      </c>
      <c r="AK168" s="28">
        <v>1</v>
      </c>
      <c r="AL168" s="28">
        <v>100</v>
      </c>
      <c r="AM168" s="28">
        <v>18</v>
      </c>
      <c r="AN168" s="28">
        <v>118</v>
      </c>
      <c r="BN168"/>
      <c r="BO168"/>
      <c r="BQ168"/>
      <c r="BR168"/>
    </row>
    <row r="169" spans="4:70" ht="15">
      <c r="D169" s="19" t="s">
        <v>1981</v>
      </c>
      <c r="E169" s="28">
        <v>1</v>
      </c>
      <c r="R169"/>
      <c r="S169"/>
      <c r="T169"/>
      <c r="U169"/>
      <c r="V169"/>
      <c r="AD169" s="19" t="s">
        <v>1990</v>
      </c>
      <c r="AE169" s="28">
        <v>1</v>
      </c>
      <c r="AF169" s="28">
        <v>100</v>
      </c>
      <c r="AG169" s="28">
        <v>18</v>
      </c>
      <c r="AH169" s="28">
        <v>118</v>
      </c>
      <c r="AJ169" s="19" t="s">
        <v>587</v>
      </c>
      <c r="AK169" s="28">
        <v>1</v>
      </c>
      <c r="AL169" s="28">
        <v>300</v>
      </c>
      <c r="AM169" s="28">
        <v>54</v>
      </c>
      <c r="AN169" s="28">
        <v>354</v>
      </c>
      <c r="BN169"/>
      <c r="BO169"/>
      <c r="BQ169"/>
      <c r="BR169"/>
    </row>
    <row r="170" spans="4:70" ht="15">
      <c r="D170" s="19" t="s">
        <v>1982</v>
      </c>
      <c r="E170" s="28">
        <v>1</v>
      </c>
      <c r="R170"/>
      <c r="S170"/>
      <c r="T170"/>
      <c r="U170"/>
      <c r="V170"/>
      <c r="AD170" s="19" t="s">
        <v>1989</v>
      </c>
      <c r="AE170" s="28">
        <v>1</v>
      </c>
      <c r="AF170" s="28">
        <v>300</v>
      </c>
      <c r="AG170" s="28">
        <v>54</v>
      </c>
      <c r="AH170" s="28">
        <v>354</v>
      </c>
      <c r="AJ170" s="19" t="s">
        <v>585</v>
      </c>
      <c r="AK170" s="28">
        <v>1</v>
      </c>
      <c r="AL170" s="28">
        <v>32</v>
      </c>
      <c r="AM170" s="28">
        <v>5.76</v>
      </c>
      <c r="AN170" s="28">
        <v>37.76</v>
      </c>
      <c r="BN170"/>
      <c r="BO170"/>
      <c r="BQ170"/>
      <c r="BR170"/>
    </row>
    <row r="171" spans="4:70" ht="15">
      <c r="D171" s="19" t="s">
        <v>1983</v>
      </c>
      <c r="E171" s="28">
        <v>1</v>
      </c>
      <c r="R171"/>
      <c r="S171"/>
      <c r="T171"/>
      <c r="U171"/>
      <c r="V171"/>
      <c r="AD171" s="19" t="s">
        <v>1988</v>
      </c>
      <c r="AE171" s="28">
        <v>1</v>
      </c>
      <c r="AF171" s="28">
        <v>32</v>
      </c>
      <c r="AG171" s="28">
        <v>5.76</v>
      </c>
      <c r="AH171" s="28">
        <v>37.76</v>
      </c>
      <c r="AJ171" s="19" t="s">
        <v>583</v>
      </c>
      <c r="AK171" s="28">
        <v>1</v>
      </c>
      <c r="AL171" s="28">
        <v>2021.19</v>
      </c>
      <c r="AM171" s="28">
        <v>363.81</v>
      </c>
      <c r="AN171" s="28">
        <v>2385</v>
      </c>
      <c r="BN171"/>
      <c r="BO171"/>
      <c r="BQ171"/>
      <c r="BR171"/>
    </row>
    <row r="172" spans="4:70" ht="15">
      <c r="D172" s="19" t="s">
        <v>1984</v>
      </c>
      <c r="E172" s="28">
        <v>1</v>
      </c>
      <c r="R172"/>
      <c r="S172"/>
      <c r="T172"/>
      <c r="U172"/>
      <c r="V172"/>
      <c r="AD172" s="19" t="s">
        <v>1987</v>
      </c>
      <c r="AE172" s="28">
        <v>1</v>
      </c>
      <c r="AF172" s="28">
        <v>2021.19</v>
      </c>
      <c r="AG172" s="28">
        <v>363.81</v>
      </c>
      <c r="AH172" s="28">
        <v>2385</v>
      </c>
      <c r="AJ172" s="19" t="s">
        <v>581</v>
      </c>
      <c r="AK172" s="28">
        <v>1</v>
      </c>
      <c r="AL172" s="28">
        <v>1885.17</v>
      </c>
      <c r="AM172" s="28">
        <v>339.33</v>
      </c>
      <c r="AN172" s="28">
        <v>2224.5</v>
      </c>
      <c r="BN172"/>
      <c r="BO172"/>
      <c r="BQ172"/>
      <c r="BR172"/>
    </row>
    <row r="173" spans="4:70" ht="15">
      <c r="D173" s="19" t="s">
        <v>1985</v>
      </c>
      <c r="E173" s="28">
        <v>1</v>
      </c>
      <c r="R173"/>
      <c r="S173"/>
      <c r="T173"/>
      <c r="U173"/>
      <c r="V173"/>
      <c r="AD173" s="19" t="s">
        <v>1986</v>
      </c>
      <c r="AE173" s="28">
        <v>1</v>
      </c>
      <c r="AF173" s="28">
        <v>1885.17</v>
      </c>
      <c r="AG173" s="28">
        <v>339.33</v>
      </c>
      <c r="AH173" s="28">
        <v>2224.5</v>
      </c>
      <c r="AJ173" s="19" t="s">
        <v>579</v>
      </c>
      <c r="AK173" s="28">
        <v>1</v>
      </c>
      <c r="AL173" s="28">
        <v>222.71</v>
      </c>
      <c r="AM173" s="28">
        <v>40.090000000000003</v>
      </c>
      <c r="AN173" s="28">
        <v>262.8</v>
      </c>
      <c r="BN173"/>
      <c r="BO173"/>
      <c r="BQ173"/>
      <c r="BR173"/>
    </row>
    <row r="174" spans="4:70" ht="15">
      <c r="D174" s="19" t="s">
        <v>1986</v>
      </c>
      <c r="E174" s="28">
        <v>1</v>
      </c>
      <c r="R174"/>
      <c r="S174"/>
      <c r="T174"/>
      <c r="U174"/>
      <c r="V174"/>
      <c r="AD174" s="19" t="s">
        <v>1979</v>
      </c>
      <c r="AE174" s="28">
        <v>1</v>
      </c>
      <c r="AF174" s="28">
        <v>222.71</v>
      </c>
      <c r="AG174" s="28">
        <v>40.090000000000003</v>
      </c>
      <c r="AH174" s="28">
        <v>262.8</v>
      </c>
      <c r="AJ174" s="19" t="s">
        <v>577</v>
      </c>
      <c r="AK174" s="28">
        <v>1</v>
      </c>
      <c r="AL174" s="28">
        <v>272.2</v>
      </c>
      <c r="AM174" s="28">
        <v>49</v>
      </c>
      <c r="AN174" s="28">
        <v>321.2</v>
      </c>
      <c r="BN174"/>
      <c r="BO174"/>
      <c r="BQ174"/>
      <c r="BR174"/>
    </row>
    <row r="175" spans="4:70" ht="15">
      <c r="D175" s="19" t="s">
        <v>1987</v>
      </c>
      <c r="E175" s="28">
        <v>1</v>
      </c>
      <c r="R175"/>
      <c r="S175"/>
      <c r="T175"/>
      <c r="U175"/>
      <c r="V175"/>
      <c r="AD175" s="19" t="s">
        <v>1978</v>
      </c>
      <c r="AE175" s="28">
        <v>1</v>
      </c>
      <c r="AF175" s="28">
        <v>272.2</v>
      </c>
      <c r="AG175" s="28">
        <v>49</v>
      </c>
      <c r="AH175" s="28">
        <v>321.2</v>
      </c>
      <c r="AJ175" s="19" t="s">
        <v>575</v>
      </c>
      <c r="AK175" s="28">
        <v>1</v>
      </c>
      <c r="AL175" s="28">
        <v>614.24</v>
      </c>
      <c r="AM175" s="28">
        <v>110.56</v>
      </c>
      <c r="AN175" s="28">
        <v>724.8</v>
      </c>
      <c r="BN175"/>
      <c r="BO175"/>
      <c r="BQ175"/>
      <c r="BR175"/>
    </row>
    <row r="176" spans="4:70" ht="15">
      <c r="D176" s="19" t="s">
        <v>1988</v>
      </c>
      <c r="E176" s="28">
        <v>1</v>
      </c>
      <c r="R176"/>
      <c r="S176"/>
      <c r="T176"/>
      <c r="U176"/>
      <c r="V176"/>
      <c r="AD176" s="19" t="s">
        <v>1977</v>
      </c>
      <c r="AE176" s="28">
        <v>1</v>
      </c>
      <c r="AF176" s="28">
        <v>614.24</v>
      </c>
      <c r="AG176" s="28">
        <v>110.56</v>
      </c>
      <c r="AH176" s="28">
        <v>724.8</v>
      </c>
      <c r="AJ176" s="19" t="s">
        <v>572</v>
      </c>
      <c r="AK176" s="28">
        <v>1</v>
      </c>
      <c r="AL176" s="28">
        <v>799.58</v>
      </c>
      <c r="AM176" s="28">
        <v>143.91999999999999</v>
      </c>
      <c r="AN176" s="28">
        <v>943.5</v>
      </c>
      <c r="BN176"/>
      <c r="BO176"/>
      <c r="BQ176"/>
      <c r="BR176"/>
    </row>
    <row r="177" spans="4:70" ht="15">
      <c r="D177" s="19" t="s">
        <v>1989</v>
      </c>
      <c r="E177" s="28">
        <v>1</v>
      </c>
      <c r="R177"/>
      <c r="S177"/>
      <c r="T177"/>
      <c r="U177"/>
      <c r="V177"/>
      <c r="AD177" s="19" t="s">
        <v>1976</v>
      </c>
      <c r="AE177" s="28">
        <v>1</v>
      </c>
      <c r="AF177" s="28">
        <v>799.58</v>
      </c>
      <c r="AG177" s="28">
        <v>143.91999999999999</v>
      </c>
      <c r="AH177" s="28">
        <v>943.5</v>
      </c>
      <c r="AJ177" s="19" t="s">
        <v>570</v>
      </c>
      <c r="AK177" s="28">
        <v>1</v>
      </c>
      <c r="AL177" s="28">
        <v>3</v>
      </c>
      <c r="AM177" s="28">
        <v>0.54</v>
      </c>
      <c r="AN177" s="28">
        <v>3.54</v>
      </c>
      <c r="BN177"/>
      <c r="BO177"/>
      <c r="BQ177"/>
      <c r="BR177"/>
    </row>
    <row r="178" spans="4:70" ht="15">
      <c r="D178" s="19" t="s">
        <v>1990</v>
      </c>
      <c r="E178" s="28">
        <v>1</v>
      </c>
      <c r="R178"/>
      <c r="S178"/>
      <c r="T178"/>
      <c r="U178"/>
      <c r="V178"/>
      <c r="AD178" s="19" t="s">
        <v>1962</v>
      </c>
      <c r="AE178" s="28">
        <v>1</v>
      </c>
      <c r="AF178" s="28">
        <v>3</v>
      </c>
      <c r="AG178" s="28">
        <v>0.54</v>
      </c>
      <c r="AH178" s="28">
        <v>3.54</v>
      </c>
      <c r="AJ178" s="19" t="s">
        <v>567</v>
      </c>
      <c r="AK178" s="28">
        <v>1</v>
      </c>
      <c r="AL178" s="28">
        <v>3.48</v>
      </c>
      <c r="AM178" s="28">
        <v>0.63</v>
      </c>
      <c r="AN178" s="28">
        <v>4.1100000000000003</v>
      </c>
      <c r="BN178"/>
      <c r="BO178"/>
      <c r="BQ178"/>
      <c r="BR178"/>
    </row>
    <row r="179" spans="4:70" ht="15">
      <c r="D179" s="19" t="s">
        <v>1991</v>
      </c>
      <c r="E179" s="28">
        <v>1</v>
      </c>
      <c r="R179"/>
      <c r="S179"/>
      <c r="T179"/>
      <c r="U179"/>
      <c r="V179"/>
      <c r="AD179" s="19" t="s">
        <v>1961</v>
      </c>
      <c r="AE179" s="28">
        <v>1</v>
      </c>
      <c r="AF179" s="28">
        <v>3.48</v>
      </c>
      <c r="AG179" s="28">
        <v>0.63</v>
      </c>
      <c r="AH179" s="28">
        <v>4.1100000000000003</v>
      </c>
      <c r="AJ179" s="19" t="s">
        <v>565</v>
      </c>
      <c r="AK179" s="28">
        <v>1</v>
      </c>
      <c r="AL179" s="28">
        <v>7.98</v>
      </c>
      <c r="AM179" s="28">
        <v>1.44</v>
      </c>
      <c r="AN179" s="28">
        <v>9.42</v>
      </c>
      <c r="BN179"/>
      <c r="BO179"/>
      <c r="BQ179"/>
      <c r="BR179"/>
    </row>
    <row r="180" spans="4:70" ht="15">
      <c r="D180" s="19" t="s">
        <v>1992</v>
      </c>
      <c r="E180" s="28">
        <v>1</v>
      </c>
      <c r="AD180" s="19" t="s">
        <v>1952</v>
      </c>
      <c r="AE180" s="28">
        <v>1</v>
      </c>
      <c r="AF180" s="28">
        <v>7.98</v>
      </c>
      <c r="AG180" s="28">
        <v>1.44</v>
      </c>
      <c r="AH180" s="28">
        <v>9.42</v>
      </c>
      <c r="AJ180" s="19" t="s">
        <v>563</v>
      </c>
      <c r="AK180" s="28">
        <v>1</v>
      </c>
      <c r="AL180" s="28">
        <v>8.93</v>
      </c>
      <c r="AM180" s="28">
        <v>1.61</v>
      </c>
      <c r="AN180" s="28">
        <v>10.54</v>
      </c>
      <c r="BN180"/>
      <c r="BO180"/>
      <c r="BQ180"/>
      <c r="BR180"/>
    </row>
    <row r="181" spans="4:70" ht="15">
      <c r="D181" s="19" t="s">
        <v>1993</v>
      </c>
      <c r="E181" s="28">
        <v>1</v>
      </c>
      <c r="AD181" s="19" t="s">
        <v>1951</v>
      </c>
      <c r="AE181" s="28">
        <v>1</v>
      </c>
      <c r="AF181" s="28">
        <v>8.93</v>
      </c>
      <c r="AG181" s="28">
        <v>1.61</v>
      </c>
      <c r="AH181" s="28">
        <v>10.54</v>
      </c>
      <c r="AJ181" s="19" t="s">
        <v>560</v>
      </c>
      <c r="AK181" s="28">
        <v>1</v>
      </c>
      <c r="AL181" s="28">
        <v>20</v>
      </c>
      <c r="AM181" s="28">
        <v>3.6</v>
      </c>
      <c r="AN181" s="28">
        <v>23.6</v>
      </c>
      <c r="BN181"/>
      <c r="BO181"/>
      <c r="BQ181"/>
      <c r="BR181"/>
    </row>
    <row r="182" spans="4:70" ht="15">
      <c r="D182" s="19" t="s">
        <v>1994</v>
      </c>
      <c r="E182" s="28">
        <v>1</v>
      </c>
      <c r="AD182" s="19" t="s">
        <v>1950</v>
      </c>
      <c r="AE182" s="28">
        <v>1</v>
      </c>
      <c r="AF182" s="28">
        <v>20</v>
      </c>
      <c r="AG182" s="28">
        <v>3.6</v>
      </c>
      <c r="AH182" s="28">
        <v>23.6</v>
      </c>
      <c r="AJ182" s="19" t="s">
        <v>558</v>
      </c>
      <c r="AK182" s="28">
        <v>1</v>
      </c>
      <c r="AL182" s="28">
        <v>165.5</v>
      </c>
      <c r="AM182" s="28">
        <v>29.79</v>
      </c>
      <c r="AN182" s="28">
        <v>195.29</v>
      </c>
      <c r="BN182"/>
      <c r="BO182"/>
      <c r="BQ182"/>
      <c r="BR182"/>
    </row>
    <row r="183" spans="4:70" ht="15">
      <c r="D183" s="19" t="s">
        <v>1995</v>
      </c>
      <c r="E183" s="28">
        <v>1</v>
      </c>
      <c r="AD183" s="19" t="s">
        <v>1945</v>
      </c>
      <c r="AE183" s="28">
        <v>1</v>
      </c>
      <c r="AF183" s="28">
        <v>165.5</v>
      </c>
      <c r="AG183" s="28">
        <v>29.79</v>
      </c>
      <c r="AH183" s="28">
        <v>195.29</v>
      </c>
      <c r="AJ183" s="19" t="s">
        <v>556</v>
      </c>
      <c r="AK183" s="28">
        <v>1</v>
      </c>
      <c r="AL183" s="28">
        <v>275.32</v>
      </c>
      <c r="AM183" s="28">
        <v>49.56</v>
      </c>
      <c r="AN183" s="28">
        <v>324.88</v>
      </c>
      <c r="BN183"/>
      <c r="BO183"/>
      <c r="BQ183"/>
      <c r="BR183"/>
    </row>
    <row r="184" spans="4:70" ht="15">
      <c r="D184" s="19" t="s">
        <v>1996</v>
      </c>
      <c r="E184" s="28">
        <v>1</v>
      </c>
      <c r="AD184" s="19" t="s">
        <v>1944</v>
      </c>
      <c r="AE184" s="28">
        <v>1</v>
      </c>
      <c r="AF184" s="28">
        <v>275.32</v>
      </c>
      <c r="AG184" s="28">
        <v>49.56</v>
      </c>
      <c r="AH184" s="28">
        <v>324.88</v>
      </c>
      <c r="AJ184" s="19" t="s">
        <v>553</v>
      </c>
      <c r="AK184" s="28">
        <v>1</v>
      </c>
      <c r="AL184" s="28">
        <v>5</v>
      </c>
      <c r="AM184" s="28">
        <v>0.9</v>
      </c>
      <c r="AN184" s="28">
        <v>5.9</v>
      </c>
      <c r="BN184"/>
      <c r="BO184"/>
      <c r="BQ184"/>
      <c r="BR184"/>
    </row>
    <row r="185" spans="4:70" ht="15">
      <c r="D185" s="19" t="s">
        <v>1997</v>
      </c>
      <c r="E185" s="28">
        <v>1</v>
      </c>
      <c r="AD185" s="19" t="s">
        <v>1943</v>
      </c>
      <c r="AE185" s="28">
        <v>1</v>
      </c>
      <c r="AF185" s="28">
        <v>5</v>
      </c>
      <c r="AG185" s="28">
        <v>0.9</v>
      </c>
      <c r="AH185" s="28">
        <v>5.9</v>
      </c>
      <c r="AJ185" s="19" t="s">
        <v>551</v>
      </c>
      <c r="AK185" s="28">
        <v>1</v>
      </c>
      <c r="AL185" s="28">
        <v>33.47</v>
      </c>
      <c r="AM185" s="28">
        <v>6.03</v>
      </c>
      <c r="AN185" s="28">
        <v>39.5</v>
      </c>
      <c r="BN185"/>
      <c r="BO185"/>
      <c r="BQ185"/>
      <c r="BR185"/>
    </row>
    <row r="186" spans="4:70" ht="15">
      <c r="D186" s="19" t="s">
        <v>1998</v>
      </c>
      <c r="E186" s="28">
        <v>1</v>
      </c>
      <c r="AD186" s="19" t="s">
        <v>1936</v>
      </c>
      <c r="AE186" s="28">
        <v>1</v>
      </c>
      <c r="AF186" s="28">
        <v>33.47</v>
      </c>
      <c r="AG186" s="28">
        <v>6.03</v>
      </c>
      <c r="AH186" s="28">
        <v>39.5</v>
      </c>
      <c r="AJ186" s="19" t="s">
        <v>549</v>
      </c>
      <c r="AK186" s="28">
        <v>1</v>
      </c>
      <c r="AL186" s="28">
        <v>57.2</v>
      </c>
      <c r="AM186" s="28">
        <v>10.3</v>
      </c>
      <c r="AN186" s="28">
        <v>67.5</v>
      </c>
      <c r="BN186"/>
      <c r="BO186"/>
      <c r="BQ186"/>
      <c r="BR186"/>
    </row>
    <row r="187" spans="4:70" ht="15">
      <c r="D187" s="19" t="s">
        <v>1999</v>
      </c>
      <c r="E187" s="28">
        <v>1</v>
      </c>
      <c r="AD187" s="19" t="s">
        <v>1935</v>
      </c>
      <c r="AE187" s="28">
        <v>1</v>
      </c>
      <c r="AF187" s="28">
        <v>57.2</v>
      </c>
      <c r="AG187" s="28">
        <v>10.3</v>
      </c>
      <c r="AH187" s="28">
        <v>67.5</v>
      </c>
      <c r="AJ187" s="19" t="s">
        <v>546</v>
      </c>
      <c r="AK187" s="28">
        <v>1</v>
      </c>
      <c r="AL187" s="28">
        <v>423.73</v>
      </c>
      <c r="AM187" s="28">
        <v>76.27</v>
      </c>
      <c r="AN187" s="28">
        <v>500</v>
      </c>
      <c r="BN187"/>
      <c r="BO187"/>
      <c r="BQ187"/>
      <c r="BR187"/>
    </row>
    <row r="188" spans="4:70" ht="15">
      <c r="D188" s="19" t="s">
        <v>2000</v>
      </c>
      <c r="E188" s="28">
        <v>1</v>
      </c>
      <c r="AD188" s="19" t="s">
        <v>1934</v>
      </c>
      <c r="AE188" s="28">
        <v>1</v>
      </c>
      <c r="AF188" s="28">
        <v>423.73</v>
      </c>
      <c r="AG188" s="28">
        <v>76.27</v>
      </c>
      <c r="AH188" s="28">
        <v>500</v>
      </c>
      <c r="AJ188" s="19" t="s">
        <v>544</v>
      </c>
      <c r="AK188" s="28">
        <v>1</v>
      </c>
      <c r="AL188" s="28">
        <v>199.53</v>
      </c>
      <c r="AM188" s="28">
        <v>35.92</v>
      </c>
      <c r="AN188" s="28">
        <v>235.45</v>
      </c>
      <c r="BN188"/>
      <c r="BO188"/>
      <c r="BQ188"/>
      <c r="BR188"/>
    </row>
    <row r="189" spans="4:70" ht="15">
      <c r="D189" s="19" t="s">
        <v>2001</v>
      </c>
      <c r="E189" s="28">
        <v>1</v>
      </c>
      <c r="AD189" s="19" t="s">
        <v>1933</v>
      </c>
      <c r="AE189" s="28">
        <v>1</v>
      </c>
      <c r="AF189" s="28">
        <v>199.53</v>
      </c>
      <c r="AG189" s="28">
        <v>35.92</v>
      </c>
      <c r="AH189" s="28">
        <v>235.45</v>
      </c>
      <c r="AJ189" s="19" t="s">
        <v>542</v>
      </c>
      <c r="AK189" s="28">
        <v>1</v>
      </c>
      <c r="AL189" s="28">
        <v>223.36</v>
      </c>
      <c r="AM189" s="28">
        <v>40.21</v>
      </c>
      <c r="AN189" s="28">
        <v>263.57</v>
      </c>
      <c r="BN189"/>
      <c r="BO189"/>
      <c r="BQ189"/>
      <c r="BR189"/>
    </row>
    <row r="190" spans="4:70" ht="15">
      <c r="D190" s="19" t="s">
        <v>2002</v>
      </c>
      <c r="E190" s="28">
        <v>1</v>
      </c>
      <c r="AD190" s="19" t="s">
        <v>1932</v>
      </c>
      <c r="AE190" s="28">
        <v>1</v>
      </c>
      <c r="AF190" s="28">
        <v>223.36</v>
      </c>
      <c r="AG190" s="28">
        <v>40.21</v>
      </c>
      <c r="AH190" s="28">
        <v>263.57</v>
      </c>
      <c r="AJ190" s="19" t="s">
        <v>539</v>
      </c>
      <c r="AK190" s="28">
        <v>1</v>
      </c>
      <c r="AL190" s="28">
        <v>500</v>
      </c>
      <c r="AM190" s="28">
        <v>90</v>
      </c>
      <c r="AN190" s="28">
        <v>590</v>
      </c>
      <c r="BN190"/>
      <c r="BO190"/>
      <c r="BQ190"/>
      <c r="BR190"/>
    </row>
    <row r="191" spans="4:70" ht="15">
      <c r="D191" s="19" t="s">
        <v>2003</v>
      </c>
      <c r="E191" s="28">
        <v>1</v>
      </c>
      <c r="AD191" s="19" t="s">
        <v>1931</v>
      </c>
      <c r="AE191" s="28">
        <v>1</v>
      </c>
      <c r="AF191" s="28">
        <v>500</v>
      </c>
      <c r="AG191" s="28">
        <v>90</v>
      </c>
      <c r="AH191" s="28">
        <v>590</v>
      </c>
      <c r="AJ191" s="19" t="s">
        <v>537</v>
      </c>
      <c r="AK191" s="28">
        <v>1</v>
      </c>
      <c r="AL191" s="28">
        <v>199.53</v>
      </c>
      <c r="AM191" s="28">
        <v>35.92</v>
      </c>
      <c r="AN191" s="28">
        <v>235.45</v>
      </c>
      <c r="BN191"/>
      <c r="BO191"/>
      <c r="BQ191"/>
      <c r="BR191"/>
    </row>
    <row r="192" spans="4:70" ht="15">
      <c r="D192" s="19" t="s">
        <v>2004</v>
      </c>
      <c r="E192" s="28">
        <v>1</v>
      </c>
      <c r="AD192" s="19" t="s">
        <v>1930</v>
      </c>
      <c r="AE192" s="28">
        <v>1</v>
      </c>
      <c r="AF192" s="28">
        <v>199.53</v>
      </c>
      <c r="AG192" s="28">
        <v>35.92</v>
      </c>
      <c r="AH192" s="28">
        <v>235.45</v>
      </c>
      <c r="AJ192" s="19" t="s">
        <v>535</v>
      </c>
      <c r="AK192" s="28">
        <v>1</v>
      </c>
      <c r="AL192" s="28">
        <v>223.36</v>
      </c>
      <c r="AM192" s="28">
        <v>40.21</v>
      </c>
      <c r="AN192" s="28">
        <v>263.57</v>
      </c>
      <c r="BN192"/>
      <c r="BO192"/>
      <c r="BQ192"/>
      <c r="BR192"/>
    </row>
    <row r="193" spans="4:70" ht="15">
      <c r="D193" s="19" t="s">
        <v>2005</v>
      </c>
      <c r="E193" s="28">
        <v>1</v>
      </c>
      <c r="AD193" s="19" t="s">
        <v>1929</v>
      </c>
      <c r="AE193" s="28">
        <v>1</v>
      </c>
      <c r="AF193" s="28">
        <v>223.36</v>
      </c>
      <c r="AG193" s="28">
        <v>40.21</v>
      </c>
      <c r="AH193" s="28">
        <v>263.57</v>
      </c>
      <c r="AJ193" s="19" t="s">
        <v>532</v>
      </c>
      <c r="AK193" s="28">
        <v>1</v>
      </c>
      <c r="AL193" s="28">
        <v>500</v>
      </c>
      <c r="AM193" s="28">
        <v>90</v>
      </c>
      <c r="AN193" s="28">
        <v>590</v>
      </c>
      <c r="BN193"/>
      <c r="BO193"/>
      <c r="BQ193"/>
      <c r="BR193"/>
    </row>
    <row r="194" spans="4:70" ht="15">
      <c r="D194" s="19" t="s">
        <v>2006</v>
      </c>
      <c r="E194" s="28">
        <v>1</v>
      </c>
      <c r="AD194" s="19" t="s">
        <v>1928</v>
      </c>
      <c r="AE194" s="28">
        <v>1</v>
      </c>
      <c r="AF194" s="28">
        <v>500</v>
      </c>
      <c r="AG194" s="28">
        <v>90</v>
      </c>
      <c r="AH194" s="28">
        <v>590</v>
      </c>
      <c r="AJ194" s="19" t="s">
        <v>530</v>
      </c>
      <c r="AK194" s="28">
        <v>1</v>
      </c>
      <c r="AL194" s="28">
        <v>391.08</v>
      </c>
      <c r="AM194" s="28">
        <v>70.39</v>
      </c>
      <c r="AN194" s="28">
        <v>461.47</v>
      </c>
      <c r="BN194"/>
      <c r="BO194"/>
      <c r="BQ194"/>
      <c r="BR194"/>
    </row>
    <row r="195" spans="4:70" ht="15">
      <c r="D195" s="19" t="s">
        <v>2007</v>
      </c>
      <c r="E195" s="28">
        <v>1</v>
      </c>
      <c r="AD195" s="19" t="s">
        <v>1927</v>
      </c>
      <c r="AE195" s="28">
        <v>1</v>
      </c>
      <c r="AF195" s="28">
        <v>391.08</v>
      </c>
      <c r="AG195" s="28">
        <v>70.39</v>
      </c>
      <c r="AH195" s="28">
        <v>461.47</v>
      </c>
      <c r="AJ195" s="19" t="s">
        <v>528</v>
      </c>
      <c r="AK195" s="28">
        <v>1</v>
      </c>
      <c r="AL195" s="28">
        <v>437.8</v>
      </c>
      <c r="AM195" s="28">
        <v>78.8</v>
      </c>
      <c r="AN195" s="28">
        <v>516.6</v>
      </c>
      <c r="BN195"/>
      <c r="BO195"/>
      <c r="BQ195"/>
      <c r="BR195"/>
    </row>
    <row r="196" spans="4:70" ht="15">
      <c r="D196" s="19" t="s">
        <v>2008</v>
      </c>
      <c r="E196" s="28">
        <v>1</v>
      </c>
      <c r="AD196" s="19" t="s">
        <v>1926</v>
      </c>
      <c r="AE196" s="28">
        <v>1</v>
      </c>
      <c r="AF196" s="28">
        <v>437.8</v>
      </c>
      <c r="AG196" s="28">
        <v>78.8</v>
      </c>
      <c r="AH196" s="28">
        <v>516.6</v>
      </c>
      <c r="AJ196" s="19" t="s">
        <v>525</v>
      </c>
      <c r="AK196" s="28">
        <v>1</v>
      </c>
      <c r="AL196" s="28">
        <v>980</v>
      </c>
      <c r="AM196" s="28">
        <v>176.4</v>
      </c>
      <c r="AN196" s="28">
        <v>1156.4000000000001</v>
      </c>
      <c r="BN196"/>
      <c r="BO196"/>
      <c r="BQ196"/>
      <c r="BR196"/>
    </row>
    <row r="197" spans="4:70" ht="15">
      <c r="D197" s="19" t="s">
        <v>2009</v>
      </c>
      <c r="E197" s="28">
        <v>1</v>
      </c>
      <c r="AD197" s="19" t="s">
        <v>1925</v>
      </c>
      <c r="AE197" s="28">
        <v>1</v>
      </c>
      <c r="AF197" s="28">
        <v>980</v>
      </c>
      <c r="AG197" s="28">
        <v>176.4</v>
      </c>
      <c r="AH197" s="28">
        <v>1156.4000000000001</v>
      </c>
      <c r="AJ197" s="19" t="s">
        <v>398</v>
      </c>
      <c r="AK197" s="28">
        <v>1</v>
      </c>
      <c r="AL197" s="28">
        <v>60</v>
      </c>
      <c r="AM197" s="28">
        <v>10.8</v>
      </c>
      <c r="AN197" s="28">
        <v>70.8</v>
      </c>
      <c r="BN197"/>
      <c r="BO197"/>
      <c r="BQ197"/>
      <c r="BR197"/>
    </row>
    <row r="198" spans="4:70" ht="15">
      <c r="D198" s="19" t="s">
        <v>2010</v>
      </c>
      <c r="E198" s="28">
        <v>1</v>
      </c>
      <c r="AD198" s="19" t="s">
        <v>1921</v>
      </c>
      <c r="AE198" s="28">
        <v>1</v>
      </c>
      <c r="AF198" s="28">
        <v>60</v>
      </c>
      <c r="AG198" s="28">
        <v>10.8</v>
      </c>
      <c r="AH198" s="28">
        <v>70.8</v>
      </c>
      <c r="AJ198" s="19" t="s">
        <v>395</v>
      </c>
      <c r="AK198" s="28">
        <v>1</v>
      </c>
      <c r="AL198" s="28">
        <v>50.85</v>
      </c>
      <c r="AM198" s="28">
        <v>9.15</v>
      </c>
      <c r="AN198" s="28">
        <v>60</v>
      </c>
      <c r="BN198"/>
      <c r="BO198"/>
      <c r="BQ198"/>
      <c r="BR198"/>
    </row>
    <row r="199" spans="4:70" ht="15">
      <c r="D199" s="19" t="s">
        <v>2011</v>
      </c>
      <c r="E199" s="28">
        <v>1</v>
      </c>
      <c r="AD199" s="19" t="s">
        <v>1920</v>
      </c>
      <c r="AE199" s="28">
        <v>1</v>
      </c>
      <c r="AF199" s="28">
        <v>50.85</v>
      </c>
      <c r="AG199" s="28">
        <v>9.15</v>
      </c>
      <c r="AH199" s="28">
        <v>60</v>
      </c>
      <c r="AJ199" s="19" t="s">
        <v>1195</v>
      </c>
      <c r="AK199" s="28">
        <v>1</v>
      </c>
      <c r="AL199" s="28">
        <v>4569.66</v>
      </c>
      <c r="AM199" s="28">
        <v>822.54</v>
      </c>
      <c r="AN199" s="28">
        <v>5392.2</v>
      </c>
      <c r="BN199"/>
      <c r="BO199"/>
      <c r="BQ199"/>
      <c r="BR199"/>
    </row>
    <row r="200" spans="4:70" ht="15">
      <c r="D200" s="19" t="s">
        <v>2012</v>
      </c>
      <c r="E200" s="28">
        <v>1</v>
      </c>
      <c r="AD200" s="19" t="s">
        <v>2297</v>
      </c>
      <c r="AE200" s="28">
        <v>1</v>
      </c>
      <c r="AF200" s="28">
        <v>4569.66</v>
      </c>
      <c r="AG200" s="28">
        <v>822.54</v>
      </c>
      <c r="AH200" s="28">
        <v>5392.2</v>
      </c>
      <c r="AJ200" s="19" t="s">
        <v>1193</v>
      </c>
      <c r="AK200" s="28">
        <v>1</v>
      </c>
      <c r="AL200" s="28">
        <v>3425.85</v>
      </c>
      <c r="AM200" s="28">
        <v>616.65</v>
      </c>
      <c r="AN200" s="28">
        <v>4042.5</v>
      </c>
      <c r="BN200"/>
      <c r="BO200"/>
      <c r="BQ200"/>
      <c r="BR200"/>
    </row>
    <row r="201" spans="4:70" ht="15">
      <c r="D201" s="19" t="s">
        <v>2013</v>
      </c>
      <c r="E201" s="28">
        <v>1</v>
      </c>
      <c r="AD201" s="19" t="s">
        <v>2296</v>
      </c>
      <c r="AE201" s="28">
        <v>1</v>
      </c>
      <c r="AF201" s="28">
        <v>3425.85</v>
      </c>
      <c r="AG201" s="28">
        <v>616.65</v>
      </c>
      <c r="AH201" s="28">
        <v>4042.5</v>
      </c>
      <c r="AJ201" s="19" t="s">
        <v>1191</v>
      </c>
      <c r="AK201" s="28">
        <v>1</v>
      </c>
      <c r="AL201" s="28">
        <v>3700</v>
      </c>
      <c r="AM201" s="28">
        <v>666</v>
      </c>
      <c r="AN201" s="28">
        <v>4366</v>
      </c>
      <c r="BN201"/>
      <c r="BO201"/>
      <c r="BQ201"/>
      <c r="BR201"/>
    </row>
    <row r="202" spans="4:70" ht="15">
      <c r="D202" s="19" t="s">
        <v>2014</v>
      </c>
      <c r="E202" s="28">
        <v>1</v>
      </c>
      <c r="AD202" s="19" t="s">
        <v>2295</v>
      </c>
      <c r="AE202" s="28">
        <v>1</v>
      </c>
      <c r="AF202" s="28">
        <v>3700</v>
      </c>
      <c r="AG202" s="28">
        <v>666</v>
      </c>
      <c r="AH202" s="28">
        <v>4366</v>
      </c>
      <c r="AJ202" s="19" t="s">
        <v>1189</v>
      </c>
      <c r="AK202" s="28">
        <v>1</v>
      </c>
      <c r="AL202" s="28">
        <v>450</v>
      </c>
      <c r="AM202" s="28">
        <v>81</v>
      </c>
      <c r="AN202" s="28">
        <v>531</v>
      </c>
      <c r="BN202"/>
      <c r="BO202"/>
      <c r="BQ202"/>
      <c r="BR202"/>
    </row>
    <row r="203" spans="4:70" ht="15">
      <c r="D203" s="19" t="s">
        <v>2015</v>
      </c>
      <c r="E203" s="28">
        <v>1</v>
      </c>
      <c r="AD203" s="19" t="s">
        <v>2294</v>
      </c>
      <c r="AE203" s="28">
        <v>1</v>
      </c>
      <c r="AF203" s="28">
        <v>450</v>
      </c>
      <c r="AG203" s="28">
        <v>81</v>
      </c>
      <c r="AH203" s="28">
        <v>531</v>
      </c>
      <c r="AJ203" s="19" t="s">
        <v>1187</v>
      </c>
      <c r="AK203" s="28">
        <v>1</v>
      </c>
      <c r="AL203" s="28">
        <v>171</v>
      </c>
      <c r="AM203" s="28">
        <v>30.78</v>
      </c>
      <c r="AN203" s="28">
        <v>201.78</v>
      </c>
      <c r="BN203"/>
      <c r="BO203"/>
      <c r="BQ203"/>
      <c r="BR203"/>
    </row>
    <row r="204" spans="4:70" ht="15">
      <c r="D204" s="19" t="s">
        <v>2016</v>
      </c>
      <c r="E204" s="28">
        <v>1</v>
      </c>
      <c r="AD204" s="19" t="s">
        <v>2293</v>
      </c>
      <c r="AE204" s="28">
        <v>1</v>
      </c>
      <c r="AF204" s="28">
        <v>171</v>
      </c>
      <c r="AG204" s="28">
        <v>30.78</v>
      </c>
      <c r="AH204" s="28">
        <v>201.78</v>
      </c>
      <c r="AJ204" s="19" t="s">
        <v>1185</v>
      </c>
      <c r="AK204" s="28">
        <v>1</v>
      </c>
      <c r="AL204" s="28">
        <v>2158.64</v>
      </c>
      <c r="AM204" s="28">
        <v>388.56</v>
      </c>
      <c r="AN204" s="28">
        <v>2547.1999999999998</v>
      </c>
      <c r="BN204"/>
      <c r="BO204"/>
      <c r="BQ204"/>
      <c r="BR204"/>
    </row>
    <row r="205" spans="4:70" ht="15">
      <c r="D205" s="19" t="s">
        <v>2017</v>
      </c>
      <c r="E205" s="28">
        <v>1</v>
      </c>
      <c r="AD205" s="19" t="s">
        <v>2292</v>
      </c>
      <c r="AE205" s="28">
        <v>1</v>
      </c>
      <c r="AF205" s="28">
        <v>2158.64</v>
      </c>
      <c r="AG205" s="28">
        <v>388.56</v>
      </c>
      <c r="AH205" s="28">
        <v>2547.1999999999998</v>
      </c>
      <c r="AJ205" s="19" t="s">
        <v>1183</v>
      </c>
      <c r="AK205" s="28">
        <v>1</v>
      </c>
      <c r="AL205" s="28">
        <v>1590.93</v>
      </c>
      <c r="AM205" s="28">
        <v>286.37</v>
      </c>
      <c r="AN205" s="28">
        <v>1877.3</v>
      </c>
      <c r="BN205"/>
      <c r="BO205"/>
      <c r="BQ205"/>
      <c r="BR205"/>
    </row>
    <row r="206" spans="4:70" ht="15">
      <c r="D206" s="19" t="s">
        <v>2018</v>
      </c>
      <c r="E206" s="28">
        <v>1</v>
      </c>
      <c r="AD206" s="19" t="s">
        <v>2291</v>
      </c>
      <c r="AE206" s="28">
        <v>1</v>
      </c>
      <c r="AF206" s="28">
        <v>1590.93</v>
      </c>
      <c r="AG206" s="28">
        <v>286.37</v>
      </c>
      <c r="AH206" s="28">
        <v>1877.3</v>
      </c>
      <c r="AJ206" s="19" t="s">
        <v>1181</v>
      </c>
      <c r="AK206" s="28">
        <v>1</v>
      </c>
      <c r="AL206" s="28">
        <v>3400</v>
      </c>
      <c r="AM206" s="28">
        <v>612</v>
      </c>
      <c r="AN206" s="28">
        <v>4012</v>
      </c>
      <c r="BN206"/>
      <c r="BO206"/>
      <c r="BQ206"/>
      <c r="BR206"/>
    </row>
    <row r="207" spans="4:70" ht="15">
      <c r="D207" s="19" t="s">
        <v>2019</v>
      </c>
      <c r="E207" s="28">
        <v>1</v>
      </c>
      <c r="AD207" s="19" t="s">
        <v>2290</v>
      </c>
      <c r="AE207" s="28">
        <v>1</v>
      </c>
      <c r="AF207" s="28">
        <v>3400</v>
      </c>
      <c r="AG207" s="28">
        <v>612</v>
      </c>
      <c r="AH207" s="28">
        <v>4012</v>
      </c>
      <c r="AJ207" s="19" t="s">
        <v>1179</v>
      </c>
      <c r="AK207" s="28">
        <v>1</v>
      </c>
      <c r="AL207" s="28">
        <v>171</v>
      </c>
      <c r="AM207" s="28">
        <v>30.78</v>
      </c>
      <c r="AN207" s="28">
        <v>201.78</v>
      </c>
      <c r="BN207"/>
      <c r="BO207"/>
      <c r="BQ207"/>
      <c r="BR207"/>
    </row>
    <row r="208" spans="4:70" ht="15">
      <c r="D208" s="19" t="s">
        <v>2020</v>
      </c>
      <c r="E208" s="28">
        <v>1</v>
      </c>
      <c r="AD208" s="19" t="s">
        <v>2289</v>
      </c>
      <c r="AE208" s="28">
        <v>1</v>
      </c>
      <c r="AF208" s="28">
        <v>171</v>
      </c>
      <c r="AG208" s="28">
        <v>30.78</v>
      </c>
      <c r="AH208" s="28">
        <v>201.78</v>
      </c>
      <c r="AJ208" s="19" t="s">
        <v>1177</v>
      </c>
      <c r="AK208" s="28">
        <v>1</v>
      </c>
      <c r="AL208" s="28">
        <v>1439.87</v>
      </c>
      <c r="AM208" s="28">
        <v>259.18</v>
      </c>
      <c r="AN208" s="28">
        <v>1699.05</v>
      </c>
      <c r="BN208"/>
      <c r="BO208"/>
      <c r="BQ208"/>
      <c r="BR208"/>
    </row>
    <row r="209" spans="4:70" ht="15">
      <c r="D209" s="19" t="s">
        <v>2021</v>
      </c>
      <c r="E209" s="28">
        <v>1</v>
      </c>
      <c r="AD209" s="19" t="s">
        <v>2283</v>
      </c>
      <c r="AE209" s="28">
        <v>1</v>
      </c>
      <c r="AF209" s="28">
        <v>1439.87</v>
      </c>
      <c r="AG209" s="28">
        <v>259.18</v>
      </c>
      <c r="AH209" s="28">
        <v>1699.05</v>
      </c>
      <c r="AJ209" s="19" t="s">
        <v>1175</v>
      </c>
      <c r="AK209" s="28">
        <v>1</v>
      </c>
      <c r="AL209" s="28">
        <v>2919.83</v>
      </c>
      <c r="AM209" s="28">
        <v>525.57000000000005</v>
      </c>
      <c r="AN209" s="28">
        <v>3445.4</v>
      </c>
      <c r="BN209"/>
      <c r="BO209"/>
      <c r="BQ209"/>
      <c r="BR209"/>
    </row>
    <row r="210" spans="4:70" ht="15">
      <c r="D210" s="19" t="s">
        <v>2022</v>
      </c>
      <c r="E210" s="28">
        <v>1</v>
      </c>
      <c r="AD210" s="19" t="s">
        <v>2282</v>
      </c>
      <c r="AE210" s="28">
        <v>1</v>
      </c>
      <c r="AF210" s="28">
        <v>2919.83</v>
      </c>
      <c r="AG210" s="28">
        <v>525.57000000000005</v>
      </c>
      <c r="AH210" s="28">
        <v>3445.4</v>
      </c>
      <c r="AJ210" s="19" t="s">
        <v>1173</v>
      </c>
      <c r="AK210" s="28">
        <v>1</v>
      </c>
      <c r="AL210" s="28">
        <v>100</v>
      </c>
      <c r="AM210" s="28">
        <v>18</v>
      </c>
      <c r="AN210" s="28">
        <v>118</v>
      </c>
      <c r="BN210"/>
      <c r="BO210"/>
      <c r="BQ210"/>
      <c r="BR210"/>
    </row>
    <row r="211" spans="4:70" ht="15">
      <c r="D211" s="19" t="s">
        <v>2023</v>
      </c>
      <c r="E211" s="28">
        <v>1</v>
      </c>
      <c r="AD211" s="19" t="s">
        <v>2281</v>
      </c>
      <c r="AE211" s="28">
        <v>1</v>
      </c>
      <c r="AF211" s="28">
        <v>100</v>
      </c>
      <c r="AG211" s="28">
        <v>18</v>
      </c>
      <c r="AH211" s="28">
        <v>118</v>
      </c>
      <c r="AJ211" s="19" t="s">
        <v>1171</v>
      </c>
      <c r="AK211" s="28">
        <v>1</v>
      </c>
      <c r="AL211" s="28">
        <v>10</v>
      </c>
      <c r="AM211" s="28">
        <v>1.8</v>
      </c>
      <c r="AN211" s="28">
        <v>11.8</v>
      </c>
      <c r="BN211"/>
      <c r="BO211"/>
      <c r="BQ211"/>
      <c r="BR211"/>
    </row>
    <row r="212" spans="4:70" ht="15">
      <c r="D212" s="19" t="s">
        <v>2024</v>
      </c>
      <c r="E212" s="28">
        <v>1</v>
      </c>
      <c r="AD212" s="19" t="s">
        <v>2280</v>
      </c>
      <c r="AE212" s="28">
        <v>1</v>
      </c>
      <c r="AF212" s="28">
        <v>10</v>
      </c>
      <c r="AG212" s="28">
        <v>1.8</v>
      </c>
      <c r="AH212" s="28">
        <v>11.8</v>
      </c>
      <c r="AJ212" s="19" t="s">
        <v>1135</v>
      </c>
      <c r="AK212" s="28">
        <v>1</v>
      </c>
      <c r="AL212" s="28">
        <v>8.14</v>
      </c>
      <c r="AM212" s="28">
        <v>1.46</v>
      </c>
      <c r="AN212" s="28">
        <v>9.6</v>
      </c>
      <c r="BN212"/>
      <c r="BO212"/>
      <c r="BQ212"/>
      <c r="BR212"/>
    </row>
    <row r="213" spans="4:70" ht="15">
      <c r="D213" s="19" t="s">
        <v>2025</v>
      </c>
      <c r="E213" s="28">
        <v>1</v>
      </c>
      <c r="AD213" s="19" t="s">
        <v>2274</v>
      </c>
      <c r="AE213" s="28">
        <v>1</v>
      </c>
      <c r="AF213" s="28">
        <v>8.14</v>
      </c>
      <c r="AG213" s="28">
        <v>1.46</v>
      </c>
      <c r="AH213" s="28">
        <v>9.6</v>
      </c>
      <c r="AJ213" s="19" t="s">
        <v>1132</v>
      </c>
      <c r="AK213" s="28">
        <v>1</v>
      </c>
      <c r="AL213" s="28">
        <v>11.53</v>
      </c>
      <c r="AM213" s="28">
        <v>2.0699999999999998</v>
      </c>
      <c r="AN213" s="28">
        <v>13.6</v>
      </c>
      <c r="BN213"/>
      <c r="BO213"/>
      <c r="BQ213"/>
      <c r="BR213"/>
    </row>
    <row r="214" spans="4:70" ht="15">
      <c r="D214" s="19" t="s">
        <v>2026</v>
      </c>
      <c r="E214" s="28">
        <v>1</v>
      </c>
      <c r="AD214" s="19" t="s">
        <v>2273</v>
      </c>
      <c r="AE214" s="28">
        <v>1</v>
      </c>
      <c r="AF214" s="28">
        <v>11.53</v>
      </c>
      <c r="AG214" s="28">
        <v>2.0699999999999998</v>
      </c>
      <c r="AH214" s="28">
        <v>13.6</v>
      </c>
      <c r="AJ214" s="19" t="s">
        <v>1130</v>
      </c>
      <c r="AK214" s="28">
        <v>1</v>
      </c>
      <c r="AL214" s="28">
        <v>38.81</v>
      </c>
      <c r="AM214" s="28">
        <v>6.99</v>
      </c>
      <c r="AN214" s="28">
        <v>45.8</v>
      </c>
      <c r="BN214"/>
      <c r="BO214"/>
      <c r="BQ214"/>
      <c r="BR214"/>
    </row>
    <row r="215" spans="4:70" ht="15">
      <c r="D215" s="19" t="s">
        <v>2027</v>
      </c>
      <c r="E215" s="28">
        <v>1</v>
      </c>
      <c r="AD215" s="19" t="s">
        <v>2272</v>
      </c>
      <c r="AE215" s="28">
        <v>1</v>
      </c>
      <c r="AF215" s="28">
        <v>38.81</v>
      </c>
      <c r="AG215" s="28">
        <v>6.99</v>
      </c>
      <c r="AH215" s="28">
        <v>45.8</v>
      </c>
      <c r="AJ215" s="19" t="s">
        <v>1128</v>
      </c>
      <c r="AK215" s="28">
        <v>1</v>
      </c>
      <c r="AL215" s="28">
        <v>58.39</v>
      </c>
      <c r="AM215" s="28">
        <v>10.51</v>
      </c>
      <c r="AN215" s="28">
        <v>68.900000000000006</v>
      </c>
      <c r="BN215"/>
      <c r="BO215"/>
      <c r="BQ215"/>
      <c r="BR215"/>
    </row>
    <row r="216" spans="4:70" ht="15">
      <c r="D216" s="19" t="s">
        <v>2028</v>
      </c>
      <c r="E216" s="28">
        <v>1</v>
      </c>
      <c r="AD216" s="19" t="s">
        <v>2271</v>
      </c>
      <c r="AE216" s="28">
        <v>1</v>
      </c>
      <c r="AF216" s="28">
        <v>58.39</v>
      </c>
      <c r="AG216" s="28">
        <v>10.51</v>
      </c>
      <c r="AH216" s="28">
        <v>68.900000000000006</v>
      </c>
      <c r="AJ216" s="19" t="s">
        <v>1126</v>
      </c>
      <c r="AK216" s="28">
        <v>1</v>
      </c>
      <c r="AL216" s="28">
        <v>43.22</v>
      </c>
      <c r="AM216" s="28">
        <v>7.78</v>
      </c>
      <c r="AN216" s="28">
        <v>51</v>
      </c>
      <c r="BN216"/>
      <c r="BO216"/>
      <c r="BQ216"/>
      <c r="BR216"/>
    </row>
    <row r="217" spans="4:70" ht="15">
      <c r="D217" s="19" t="s">
        <v>2029</v>
      </c>
      <c r="E217" s="28">
        <v>1</v>
      </c>
      <c r="AD217" s="19" t="s">
        <v>2266</v>
      </c>
      <c r="AE217" s="28">
        <v>1</v>
      </c>
      <c r="AF217" s="28">
        <v>43.22</v>
      </c>
      <c r="AG217" s="28">
        <v>7.78</v>
      </c>
      <c r="AH217" s="28">
        <v>51</v>
      </c>
      <c r="AJ217" s="19" t="s">
        <v>1123</v>
      </c>
      <c r="AK217" s="28">
        <v>1</v>
      </c>
      <c r="AL217" s="28">
        <v>75.680000000000007</v>
      </c>
      <c r="AM217" s="28">
        <v>13.62</v>
      </c>
      <c r="AN217" s="28">
        <v>89.3</v>
      </c>
      <c r="BN217"/>
      <c r="BO217"/>
      <c r="BQ217"/>
      <c r="BR217"/>
    </row>
    <row r="218" spans="4:70" ht="15">
      <c r="D218" s="19" t="s">
        <v>2030</v>
      </c>
      <c r="E218" s="28">
        <v>1</v>
      </c>
      <c r="AD218" s="19" t="s">
        <v>2265</v>
      </c>
      <c r="AE218" s="28">
        <v>1</v>
      </c>
      <c r="AF218" s="28">
        <v>75.680000000000007</v>
      </c>
      <c r="AG218" s="28">
        <v>13.62</v>
      </c>
      <c r="AH218" s="28">
        <v>89.3</v>
      </c>
      <c r="AJ218" s="19" t="s">
        <v>1121</v>
      </c>
      <c r="AK218" s="28">
        <v>1</v>
      </c>
      <c r="AL218" s="28">
        <v>102.29</v>
      </c>
      <c r="AM218" s="28">
        <v>18.41</v>
      </c>
      <c r="AN218" s="28">
        <v>120.7</v>
      </c>
      <c r="BN218"/>
      <c r="BO218"/>
      <c r="BQ218"/>
      <c r="BR218"/>
    </row>
    <row r="219" spans="4:70" ht="15">
      <c r="D219" s="19" t="s">
        <v>2031</v>
      </c>
      <c r="E219" s="28">
        <v>1</v>
      </c>
      <c r="AD219" s="19" t="s">
        <v>2264</v>
      </c>
      <c r="AE219" s="28">
        <v>1</v>
      </c>
      <c r="AF219" s="28">
        <v>102.29</v>
      </c>
      <c r="AG219" s="28">
        <v>18.41</v>
      </c>
      <c r="AH219" s="28">
        <v>120.7</v>
      </c>
      <c r="AJ219" s="19" t="s">
        <v>1119</v>
      </c>
      <c r="AK219" s="28">
        <v>1</v>
      </c>
      <c r="AL219" s="28">
        <v>170.76</v>
      </c>
      <c r="AM219" s="28">
        <v>30.74</v>
      </c>
      <c r="AN219" s="28">
        <v>201.5</v>
      </c>
      <c r="BN219"/>
      <c r="BO219"/>
      <c r="BQ219"/>
      <c r="BR219"/>
    </row>
    <row r="220" spans="4:70" ht="15">
      <c r="D220" s="19" t="s">
        <v>2032</v>
      </c>
      <c r="E220" s="28">
        <v>1</v>
      </c>
      <c r="AD220" s="19" t="s">
        <v>2263</v>
      </c>
      <c r="AE220" s="28">
        <v>1</v>
      </c>
      <c r="AF220" s="28">
        <v>170.76</v>
      </c>
      <c r="AG220" s="28">
        <v>30.74</v>
      </c>
      <c r="AH220" s="28">
        <v>201.5</v>
      </c>
      <c r="AJ220" s="19" t="s">
        <v>1117</v>
      </c>
      <c r="AK220" s="28">
        <v>1</v>
      </c>
      <c r="AL220" s="28">
        <v>1759.92</v>
      </c>
      <c r="AM220" s="28">
        <v>316.77999999999997</v>
      </c>
      <c r="AN220" s="28">
        <v>2076.6999999999998</v>
      </c>
      <c r="BN220"/>
      <c r="BO220"/>
      <c r="BQ220"/>
      <c r="BR220"/>
    </row>
    <row r="221" spans="4:70" ht="15">
      <c r="D221" s="19" t="s">
        <v>2033</v>
      </c>
      <c r="E221" s="28">
        <v>1</v>
      </c>
      <c r="AD221" s="19" t="s">
        <v>2262</v>
      </c>
      <c r="AE221" s="28">
        <v>1</v>
      </c>
      <c r="AF221" s="28">
        <v>1759.92</v>
      </c>
      <c r="AG221" s="28">
        <v>316.77999999999997</v>
      </c>
      <c r="AH221" s="28">
        <v>2076.6999999999998</v>
      </c>
      <c r="AJ221" s="19" t="s">
        <v>1115</v>
      </c>
      <c r="AK221" s="28">
        <v>1</v>
      </c>
      <c r="AL221" s="28">
        <v>2915</v>
      </c>
      <c r="AM221" s="28">
        <v>524.70000000000005</v>
      </c>
      <c r="AN221" s="28">
        <v>3439.7</v>
      </c>
      <c r="BN221"/>
      <c r="BO221"/>
      <c r="BQ221"/>
      <c r="BR221"/>
    </row>
    <row r="222" spans="4:70" ht="15">
      <c r="D222" s="19" t="s">
        <v>2034</v>
      </c>
      <c r="E222" s="28">
        <v>1</v>
      </c>
      <c r="AD222" s="19" t="s">
        <v>2261</v>
      </c>
      <c r="AE222" s="28">
        <v>1</v>
      </c>
      <c r="AF222" s="28">
        <v>2915</v>
      </c>
      <c r="AG222" s="28">
        <v>524.70000000000005</v>
      </c>
      <c r="AH222" s="28">
        <v>3439.7</v>
      </c>
      <c r="AJ222" s="19" t="s">
        <v>1113</v>
      </c>
      <c r="AK222" s="28">
        <v>1</v>
      </c>
      <c r="AL222" s="28">
        <v>1500</v>
      </c>
      <c r="AM222" s="28">
        <v>270</v>
      </c>
      <c r="AN222" s="28">
        <v>1770</v>
      </c>
      <c r="BN222"/>
      <c r="BO222"/>
      <c r="BQ222"/>
      <c r="BR222"/>
    </row>
    <row r="223" spans="4:70" ht="15">
      <c r="D223" s="19" t="s">
        <v>2035</v>
      </c>
      <c r="E223" s="28">
        <v>1</v>
      </c>
      <c r="AD223" s="19" t="s">
        <v>2260</v>
      </c>
      <c r="AE223" s="28">
        <v>1</v>
      </c>
      <c r="AF223" s="28">
        <v>1500</v>
      </c>
      <c r="AG223" s="28">
        <v>270</v>
      </c>
      <c r="AH223" s="28">
        <v>1770</v>
      </c>
      <c r="AJ223" s="19" t="s">
        <v>1111</v>
      </c>
      <c r="AK223" s="28">
        <v>1</v>
      </c>
      <c r="AL223" s="28">
        <v>750</v>
      </c>
      <c r="AM223" s="28">
        <v>135</v>
      </c>
      <c r="AN223" s="28">
        <v>885</v>
      </c>
      <c r="BN223"/>
      <c r="BO223"/>
      <c r="BQ223"/>
      <c r="BR223"/>
    </row>
    <row r="224" spans="4:70" ht="15">
      <c r="D224" s="19" t="s">
        <v>2036</v>
      </c>
      <c r="E224" s="28">
        <v>1</v>
      </c>
      <c r="AD224" s="19" t="s">
        <v>2259</v>
      </c>
      <c r="AE224" s="28">
        <v>1</v>
      </c>
      <c r="AF224" s="28">
        <v>750</v>
      </c>
      <c r="AG224" s="28">
        <v>135</v>
      </c>
      <c r="AH224" s="28">
        <v>885</v>
      </c>
      <c r="AJ224" s="19" t="s">
        <v>1109</v>
      </c>
      <c r="AK224" s="28">
        <v>1</v>
      </c>
      <c r="AL224" s="28">
        <v>1000</v>
      </c>
      <c r="AM224" s="28">
        <v>180</v>
      </c>
      <c r="AN224" s="28">
        <v>1180</v>
      </c>
      <c r="BN224"/>
      <c r="BO224"/>
      <c r="BQ224"/>
      <c r="BR224"/>
    </row>
    <row r="225" spans="4:70" ht="15">
      <c r="D225" s="19" t="s">
        <v>2037</v>
      </c>
      <c r="E225" s="28">
        <v>1</v>
      </c>
      <c r="AD225" s="19" t="s">
        <v>2258</v>
      </c>
      <c r="AE225" s="28">
        <v>1</v>
      </c>
      <c r="AF225" s="28">
        <v>1000</v>
      </c>
      <c r="AG225" s="28">
        <v>180</v>
      </c>
      <c r="AH225" s="28">
        <v>1180</v>
      </c>
      <c r="AJ225" s="19" t="s">
        <v>1107</v>
      </c>
      <c r="AK225" s="28">
        <v>1</v>
      </c>
      <c r="AL225" s="28">
        <v>8.5</v>
      </c>
      <c r="AM225" s="28">
        <v>1.53</v>
      </c>
      <c r="AN225" s="28">
        <v>10.029999999999999</v>
      </c>
      <c r="BN225"/>
      <c r="BO225"/>
      <c r="BQ225"/>
      <c r="BR225"/>
    </row>
    <row r="226" spans="4:70" ht="15">
      <c r="D226" s="19" t="s">
        <v>2038</v>
      </c>
      <c r="E226" s="28">
        <v>1</v>
      </c>
      <c r="AD226" s="19" t="s">
        <v>2257</v>
      </c>
      <c r="AE226" s="28">
        <v>1</v>
      </c>
      <c r="AF226" s="28">
        <v>8.5</v>
      </c>
      <c r="AG226" s="28">
        <v>1.53</v>
      </c>
      <c r="AH226" s="28">
        <v>10.029999999999999</v>
      </c>
      <c r="AJ226" s="19" t="s">
        <v>1105</v>
      </c>
      <c r="AK226" s="28">
        <v>1</v>
      </c>
      <c r="AL226" s="28">
        <v>182.75</v>
      </c>
      <c r="AM226" s="28">
        <v>32.89</v>
      </c>
      <c r="AN226" s="28">
        <v>215.64</v>
      </c>
      <c r="BN226"/>
      <c r="BO226"/>
      <c r="BQ226"/>
      <c r="BR226"/>
    </row>
    <row r="227" spans="4:70" ht="15">
      <c r="D227" s="19" t="s">
        <v>2039</v>
      </c>
      <c r="E227" s="28">
        <v>1</v>
      </c>
      <c r="AD227" s="19" t="s">
        <v>2254</v>
      </c>
      <c r="AE227" s="28">
        <v>1</v>
      </c>
      <c r="AF227" s="28">
        <v>182.75</v>
      </c>
      <c r="AG227" s="28">
        <v>32.89</v>
      </c>
      <c r="AH227" s="28">
        <v>215.64</v>
      </c>
      <c r="AJ227" s="19" t="s">
        <v>1102</v>
      </c>
      <c r="AK227" s="28">
        <v>1</v>
      </c>
      <c r="AL227" s="28">
        <v>109.06</v>
      </c>
      <c r="AM227" s="28">
        <v>19.63</v>
      </c>
      <c r="AN227" s="28">
        <v>128.69</v>
      </c>
      <c r="BN227"/>
      <c r="BO227"/>
      <c r="BQ227"/>
      <c r="BR227"/>
    </row>
    <row r="228" spans="4:70" ht="15">
      <c r="D228" s="19" t="s">
        <v>2040</v>
      </c>
      <c r="E228" s="28">
        <v>1</v>
      </c>
      <c r="AD228" s="19" t="s">
        <v>2253</v>
      </c>
      <c r="AE228" s="28">
        <v>1</v>
      </c>
      <c r="AF228" s="28">
        <v>109.06</v>
      </c>
      <c r="AG228" s="28">
        <v>19.63</v>
      </c>
      <c r="AH228" s="28">
        <v>128.69</v>
      </c>
      <c r="AJ228" s="19" t="s">
        <v>1100</v>
      </c>
      <c r="AK228" s="28">
        <v>1</v>
      </c>
      <c r="AL228" s="28">
        <v>15.25</v>
      </c>
      <c r="AM228" s="28">
        <v>2.75</v>
      </c>
      <c r="AN228" s="28">
        <v>18</v>
      </c>
      <c r="BN228"/>
      <c r="BO228"/>
      <c r="BQ228"/>
      <c r="BR228"/>
    </row>
    <row r="229" spans="4:70" ht="15">
      <c r="D229" s="19" t="s">
        <v>2041</v>
      </c>
      <c r="E229" s="28">
        <v>1</v>
      </c>
      <c r="AD229" s="19" t="s">
        <v>2250</v>
      </c>
      <c r="AE229" s="28">
        <v>1</v>
      </c>
      <c r="AF229" s="28">
        <v>15.25</v>
      </c>
      <c r="AG229" s="28">
        <v>2.75</v>
      </c>
      <c r="AH229" s="28">
        <v>18</v>
      </c>
      <c r="AJ229" s="19" t="s">
        <v>1097</v>
      </c>
      <c r="AK229" s="28">
        <v>1</v>
      </c>
      <c r="AL229" s="28">
        <v>21.61</v>
      </c>
      <c r="AM229" s="28">
        <v>3.89</v>
      </c>
      <c r="AN229" s="28">
        <v>25.5</v>
      </c>
      <c r="BN229"/>
      <c r="BO229"/>
      <c r="BQ229"/>
      <c r="BR229"/>
    </row>
    <row r="230" spans="4:70" ht="15">
      <c r="D230" s="19" t="s">
        <v>2042</v>
      </c>
      <c r="E230" s="28">
        <v>1</v>
      </c>
      <c r="AD230" s="19" t="s">
        <v>2249</v>
      </c>
      <c r="AE230" s="28">
        <v>1</v>
      </c>
      <c r="AF230" s="28">
        <v>21.61</v>
      </c>
      <c r="AG230" s="28">
        <v>3.89</v>
      </c>
      <c r="AH230" s="28">
        <v>25.5</v>
      </c>
      <c r="AJ230" s="19" t="s">
        <v>1095</v>
      </c>
      <c r="AK230" s="28">
        <v>1</v>
      </c>
      <c r="AL230" s="28">
        <v>133.41999999999999</v>
      </c>
      <c r="AM230" s="28">
        <v>24.02</v>
      </c>
      <c r="AN230" s="28">
        <v>157.44</v>
      </c>
      <c r="BN230"/>
      <c r="BO230"/>
      <c r="BQ230"/>
      <c r="BR230"/>
    </row>
    <row r="231" spans="4:70" ht="15">
      <c r="D231" s="19" t="s">
        <v>2043</v>
      </c>
      <c r="E231" s="28">
        <v>1</v>
      </c>
      <c r="AD231" s="19" t="s">
        <v>2248</v>
      </c>
      <c r="AE231" s="28">
        <v>1</v>
      </c>
      <c r="AF231" s="28">
        <v>133.41999999999999</v>
      </c>
      <c r="AG231" s="28">
        <v>24.02</v>
      </c>
      <c r="AH231" s="28">
        <v>157.44</v>
      </c>
      <c r="AJ231" s="19" t="s">
        <v>1093</v>
      </c>
      <c r="AK231" s="28">
        <v>1</v>
      </c>
      <c r="AL231" s="28">
        <v>222.31</v>
      </c>
      <c r="AM231" s="28">
        <v>40.01</v>
      </c>
      <c r="AN231" s="28">
        <v>262.32</v>
      </c>
      <c r="BN231"/>
      <c r="BO231"/>
      <c r="BQ231"/>
      <c r="BR231"/>
    </row>
    <row r="232" spans="4:70" ht="15">
      <c r="D232" s="19" t="s">
        <v>2044</v>
      </c>
      <c r="E232" s="28">
        <v>1</v>
      </c>
      <c r="AD232" s="19" t="s">
        <v>2247</v>
      </c>
      <c r="AE232" s="28">
        <v>1</v>
      </c>
      <c r="AF232" s="28">
        <v>222.31</v>
      </c>
      <c r="AG232" s="28">
        <v>40.01</v>
      </c>
      <c r="AH232" s="28">
        <v>262.32</v>
      </c>
      <c r="AJ232" s="19" t="s">
        <v>1091</v>
      </c>
      <c r="AK232" s="28">
        <v>1</v>
      </c>
      <c r="AL232" s="28">
        <v>2033.08</v>
      </c>
      <c r="AM232" s="28">
        <v>365.96</v>
      </c>
      <c r="AN232" s="28">
        <v>2399.04</v>
      </c>
      <c r="BN232"/>
      <c r="BO232"/>
      <c r="BQ232"/>
      <c r="BR232"/>
    </row>
    <row r="233" spans="4:70" ht="15">
      <c r="D233" s="19" t="s">
        <v>2045</v>
      </c>
      <c r="E233" s="28">
        <v>1</v>
      </c>
      <c r="AD233" s="19" t="s">
        <v>2242</v>
      </c>
      <c r="AE233" s="28">
        <v>1</v>
      </c>
      <c r="AF233" s="28">
        <v>2033.08</v>
      </c>
      <c r="AG233" s="28">
        <v>365.96</v>
      </c>
      <c r="AH233" s="28">
        <v>2399.04</v>
      </c>
      <c r="AJ233" s="19" t="s">
        <v>1089</v>
      </c>
      <c r="AK233" s="28">
        <v>1</v>
      </c>
      <c r="AL233" s="28">
        <v>2836.25</v>
      </c>
      <c r="AM233" s="28">
        <v>510.52</v>
      </c>
      <c r="AN233" s="28">
        <v>3346.77</v>
      </c>
      <c r="BN233"/>
      <c r="BO233"/>
      <c r="BQ233"/>
      <c r="BR233"/>
    </row>
    <row r="234" spans="4:70" ht="15">
      <c r="D234" s="19" t="s">
        <v>2046</v>
      </c>
      <c r="E234" s="28">
        <v>1</v>
      </c>
      <c r="AD234" s="19" t="s">
        <v>2241</v>
      </c>
      <c r="AE234" s="28">
        <v>1</v>
      </c>
      <c r="AF234" s="28">
        <v>2836.25</v>
      </c>
      <c r="AG234" s="28">
        <v>510.52</v>
      </c>
      <c r="AH234" s="28">
        <v>3346.77</v>
      </c>
      <c r="AJ234" s="19" t="s">
        <v>1086</v>
      </c>
      <c r="AK234" s="28">
        <v>1</v>
      </c>
      <c r="AL234" s="28">
        <v>100</v>
      </c>
      <c r="AM234" s="28">
        <v>18</v>
      </c>
      <c r="AN234" s="28">
        <v>118</v>
      </c>
      <c r="BN234"/>
      <c r="BO234"/>
      <c r="BQ234"/>
      <c r="BR234"/>
    </row>
    <row r="235" spans="4:70" ht="15">
      <c r="D235" s="19" t="s">
        <v>2047</v>
      </c>
      <c r="E235" s="28">
        <v>1</v>
      </c>
      <c r="AD235" s="19" t="s">
        <v>2240</v>
      </c>
      <c r="AE235" s="28">
        <v>1</v>
      </c>
      <c r="AF235" s="28">
        <v>100</v>
      </c>
      <c r="AG235" s="28">
        <v>18</v>
      </c>
      <c r="AH235" s="28">
        <v>118</v>
      </c>
      <c r="AJ235" s="19" t="s">
        <v>1084</v>
      </c>
      <c r="AK235" s="28">
        <v>1</v>
      </c>
      <c r="AL235" s="28">
        <v>678.25</v>
      </c>
      <c r="AM235" s="28">
        <v>122.08</v>
      </c>
      <c r="AN235" s="28">
        <v>800.33</v>
      </c>
      <c r="BN235"/>
      <c r="BO235"/>
      <c r="BQ235"/>
      <c r="BR235"/>
    </row>
    <row r="236" spans="4:70" ht="15">
      <c r="D236" s="19" t="s">
        <v>2048</v>
      </c>
      <c r="E236" s="28">
        <v>1</v>
      </c>
      <c r="AD236" s="19" t="s">
        <v>2239</v>
      </c>
      <c r="AE236" s="28">
        <v>1</v>
      </c>
      <c r="AF236" s="28">
        <v>678.25</v>
      </c>
      <c r="AG236" s="28">
        <v>122.08</v>
      </c>
      <c r="AH236" s="28">
        <v>800.33</v>
      </c>
      <c r="AJ236" s="19" t="s">
        <v>1081</v>
      </c>
      <c r="AK236" s="28">
        <v>1</v>
      </c>
      <c r="AL236" s="28">
        <v>2</v>
      </c>
      <c r="AM236" s="28">
        <v>0.36</v>
      </c>
      <c r="AN236" s="28">
        <v>2.36</v>
      </c>
      <c r="BN236"/>
      <c r="BO236"/>
      <c r="BQ236"/>
      <c r="BR236"/>
    </row>
    <row r="237" spans="4:70" ht="15">
      <c r="D237" s="19" t="s">
        <v>2049</v>
      </c>
      <c r="E237" s="28">
        <v>1</v>
      </c>
      <c r="AD237" s="19" t="s">
        <v>2238</v>
      </c>
      <c r="AE237" s="28">
        <v>1</v>
      </c>
      <c r="AF237" s="28">
        <v>2</v>
      </c>
      <c r="AG237" s="28">
        <v>0.36</v>
      </c>
      <c r="AH237" s="28">
        <v>2.36</v>
      </c>
      <c r="AJ237" s="19" t="s">
        <v>1079</v>
      </c>
      <c r="AK237" s="28">
        <v>1</v>
      </c>
      <c r="AL237" s="28">
        <v>311.91000000000003</v>
      </c>
      <c r="AM237" s="28">
        <v>56.14</v>
      </c>
      <c r="AN237" s="28">
        <v>368.05</v>
      </c>
      <c r="BN237"/>
      <c r="BO237"/>
      <c r="BQ237"/>
      <c r="BR237"/>
    </row>
    <row r="238" spans="4:70" ht="15">
      <c r="D238" s="19" t="s">
        <v>2050</v>
      </c>
      <c r="E238" s="28">
        <v>1</v>
      </c>
      <c r="AD238" s="19" t="s">
        <v>2237</v>
      </c>
      <c r="AE238" s="28">
        <v>1</v>
      </c>
      <c r="AF238" s="28">
        <v>311.91000000000003</v>
      </c>
      <c r="AG238" s="28">
        <v>56.14</v>
      </c>
      <c r="AH238" s="28">
        <v>368.05</v>
      </c>
      <c r="AJ238" s="19" t="s">
        <v>1076</v>
      </c>
      <c r="AK238" s="28">
        <v>1</v>
      </c>
      <c r="AL238" s="28">
        <v>2</v>
      </c>
      <c r="AM238" s="28">
        <v>0.36</v>
      </c>
      <c r="AN238" s="28">
        <v>2.36</v>
      </c>
      <c r="BN238"/>
      <c r="BO238"/>
      <c r="BQ238"/>
      <c r="BR238"/>
    </row>
    <row r="239" spans="4:70" ht="15">
      <c r="D239" s="19" t="s">
        <v>2051</v>
      </c>
      <c r="E239" s="28">
        <v>1</v>
      </c>
      <c r="AD239" s="19" t="s">
        <v>2236</v>
      </c>
      <c r="AE239" s="28">
        <v>1</v>
      </c>
      <c r="AF239" s="28">
        <v>2</v>
      </c>
      <c r="AG239" s="28">
        <v>0.36</v>
      </c>
      <c r="AH239" s="28">
        <v>2.36</v>
      </c>
      <c r="AJ239" s="19" t="s">
        <v>1074</v>
      </c>
      <c r="AK239" s="28">
        <v>1</v>
      </c>
      <c r="AL239" s="28">
        <v>218.69</v>
      </c>
      <c r="AM239" s="28">
        <v>39.369999999999997</v>
      </c>
      <c r="AN239" s="28">
        <v>258.06</v>
      </c>
      <c r="BN239"/>
      <c r="BO239"/>
      <c r="BQ239"/>
      <c r="BR239"/>
    </row>
    <row r="240" spans="4:70" ht="15">
      <c r="D240" s="19" t="s">
        <v>2052</v>
      </c>
      <c r="E240" s="28">
        <v>1</v>
      </c>
      <c r="AD240" s="19" t="s">
        <v>2235</v>
      </c>
      <c r="AE240" s="28">
        <v>1</v>
      </c>
      <c r="AF240" s="28">
        <v>218.69</v>
      </c>
      <c r="AG240" s="28">
        <v>39.369999999999997</v>
      </c>
      <c r="AH240" s="28">
        <v>258.06</v>
      </c>
      <c r="AJ240" s="19" t="s">
        <v>1071</v>
      </c>
      <c r="AK240" s="28">
        <v>1</v>
      </c>
      <c r="AL240" s="28">
        <v>2</v>
      </c>
      <c r="AM240" s="28">
        <v>0.36</v>
      </c>
      <c r="AN240" s="28">
        <v>2.36</v>
      </c>
      <c r="BN240"/>
      <c r="BO240"/>
      <c r="BQ240"/>
      <c r="BR240"/>
    </row>
    <row r="241" spans="4:70" ht="15">
      <c r="D241" s="19" t="s">
        <v>2053</v>
      </c>
      <c r="E241" s="28">
        <v>1</v>
      </c>
      <c r="AD241" s="19" t="s">
        <v>2234</v>
      </c>
      <c r="AE241" s="28">
        <v>1</v>
      </c>
      <c r="AF241" s="28">
        <v>2</v>
      </c>
      <c r="AG241" s="28">
        <v>0.36</v>
      </c>
      <c r="AH241" s="28">
        <v>2.36</v>
      </c>
      <c r="AJ241" s="19" t="s">
        <v>1069</v>
      </c>
      <c r="AK241" s="28">
        <v>1</v>
      </c>
      <c r="AL241" s="28">
        <v>208.23</v>
      </c>
      <c r="AM241" s="28">
        <v>37.479999999999997</v>
      </c>
      <c r="AN241" s="28">
        <v>245.71</v>
      </c>
      <c r="BN241"/>
      <c r="BO241"/>
      <c r="BQ241"/>
      <c r="BR241"/>
    </row>
    <row r="242" spans="4:70" ht="15">
      <c r="D242" s="19" t="s">
        <v>2054</v>
      </c>
      <c r="E242" s="28">
        <v>1</v>
      </c>
      <c r="AD242" s="19" t="s">
        <v>2233</v>
      </c>
      <c r="AE242" s="28">
        <v>1</v>
      </c>
      <c r="AF242" s="28">
        <v>208.23</v>
      </c>
      <c r="AG242" s="28">
        <v>37.479999999999997</v>
      </c>
      <c r="AH242" s="28">
        <v>245.71</v>
      </c>
      <c r="AJ242" s="19" t="s">
        <v>1067</v>
      </c>
      <c r="AK242" s="28">
        <v>1</v>
      </c>
      <c r="AL242" s="28">
        <v>283.79000000000002</v>
      </c>
      <c r="AM242" s="28">
        <v>51.08</v>
      </c>
      <c r="AN242" s="28">
        <v>334.87</v>
      </c>
      <c r="BN242"/>
      <c r="BO242"/>
      <c r="BQ242"/>
      <c r="BR242"/>
    </row>
    <row r="243" spans="4:70" ht="15">
      <c r="D243" s="19" t="s">
        <v>2055</v>
      </c>
      <c r="E243" s="28">
        <v>1</v>
      </c>
      <c r="AD243" s="19" t="s">
        <v>2232</v>
      </c>
      <c r="AE243" s="28">
        <v>1</v>
      </c>
      <c r="AF243" s="28">
        <v>283.79000000000002</v>
      </c>
      <c r="AG243" s="28">
        <v>51.08</v>
      </c>
      <c r="AH243" s="28">
        <v>334.87</v>
      </c>
      <c r="AJ243" s="19" t="s">
        <v>1065</v>
      </c>
      <c r="AK243" s="28">
        <v>1</v>
      </c>
      <c r="AL243" s="28">
        <v>126.36</v>
      </c>
      <c r="AM243" s="28">
        <v>22.74</v>
      </c>
      <c r="AN243" s="28">
        <v>149.1</v>
      </c>
      <c r="BN243"/>
      <c r="BO243"/>
      <c r="BQ243"/>
      <c r="BR243"/>
    </row>
    <row r="244" spans="4:70" ht="15">
      <c r="D244" s="19" t="s">
        <v>2056</v>
      </c>
      <c r="E244" s="28">
        <v>1</v>
      </c>
      <c r="AD244" s="19" t="s">
        <v>2229</v>
      </c>
      <c r="AE244" s="28">
        <v>1</v>
      </c>
      <c r="AF244" s="28">
        <v>126.36</v>
      </c>
      <c r="AG244" s="28">
        <v>22.74</v>
      </c>
      <c r="AH244" s="28">
        <v>149.1</v>
      </c>
      <c r="AJ244" s="19" t="s">
        <v>1063</v>
      </c>
      <c r="AK244" s="28">
        <v>1</v>
      </c>
      <c r="AL244" s="28">
        <v>227.88</v>
      </c>
      <c r="AM244" s="28">
        <v>41.02</v>
      </c>
      <c r="AN244" s="28">
        <v>268.89999999999998</v>
      </c>
      <c r="BN244"/>
      <c r="BO244"/>
      <c r="BQ244"/>
      <c r="BR244"/>
    </row>
    <row r="245" spans="4:70" ht="15">
      <c r="D245" s="19" t="s">
        <v>2057</v>
      </c>
      <c r="E245" s="28">
        <v>1</v>
      </c>
      <c r="AD245" s="19" t="s">
        <v>2228</v>
      </c>
      <c r="AE245" s="28">
        <v>1</v>
      </c>
      <c r="AF245" s="28">
        <v>227.88</v>
      </c>
      <c r="AG245" s="28">
        <v>41.02</v>
      </c>
      <c r="AH245" s="28">
        <v>268.89999999999998</v>
      </c>
      <c r="AJ245" s="19" t="s">
        <v>1061</v>
      </c>
      <c r="AK245" s="28">
        <v>1</v>
      </c>
      <c r="AL245" s="28">
        <v>50</v>
      </c>
      <c r="AM245" s="28">
        <v>9</v>
      </c>
      <c r="AN245" s="28">
        <v>59</v>
      </c>
      <c r="BN245"/>
      <c r="BO245"/>
      <c r="BQ245"/>
      <c r="BR245"/>
    </row>
    <row r="246" spans="4:70" ht="15">
      <c r="D246" s="19" t="s">
        <v>2058</v>
      </c>
      <c r="E246" s="28">
        <v>1</v>
      </c>
      <c r="AD246" s="19" t="s">
        <v>2227</v>
      </c>
      <c r="AE246" s="28">
        <v>1</v>
      </c>
      <c r="AF246" s="28">
        <v>50</v>
      </c>
      <c r="AG246" s="28">
        <v>9</v>
      </c>
      <c r="AH246" s="28">
        <v>59</v>
      </c>
      <c r="AJ246" s="19" t="s">
        <v>1059</v>
      </c>
      <c r="AK246" s="28">
        <v>1</v>
      </c>
      <c r="AL246" s="28">
        <v>1085.76</v>
      </c>
      <c r="AM246" s="28">
        <v>195.44</v>
      </c>
      <c r="AN246" s="28">
        <v>1281.2</v>
      </c>
      <c r="BN246"/>
      <c r="BO246"/>
      <c r="BQ246"/>
      <c r="BR246"/>
    </row>
    <row r="247" spans="4:70" ht="15">
      <c r="D247" s="19" t="s">
        <v>2059</v>
      </c>
      <c r="E247" s="28">
        <v>1</v>
      </c>
      <c r="AD247" s="19" t="s">
        <v>2226</v>
      </c>
      <c r="AE247" s="28">
        <v>1</v>
      </c>
      <c r="AF247" s="28">
        <v>1085.76</v>
      </c>
      <c r="AG247" s="28">
        <v>195.44</v>
      </c>
      <c r="AH247" s="28">
        <v>1281.2</v>
      </c>
      <c r="AJ247" s="19" t="s">
        <v>1057</v>
      </c>
      <c r="AK247" s="28">
        <v>1</v>
      </c>
      <c r="AL247" s="28">
        <v>1978.14</v>
      </c>
      <c r="AM247" s="28">
        <v>356.06</v>
      </c>
      <c r="AN247" s="28">
        <v>2334.1999999999998</v>
      </c>
      <c r="BN247"/>
      <c r="BO247"/>
      <c r="BQ247"/>
      <c r="BR247"/>
    </row>
    <row r="248" spans="4:70" ht="15">
      <c r="D248" s="19" t="s">
        <v>2060</v>
      </c>
      <c r="E248" s="28">
        <v>1</v>
      </c>
      <c r="AD248" s="19" t="s">
        <v>2225</v>
      </c>
      <c r="AE248" s="28">
        <v>1</v>
      </c>
      <c r="AF248" s="28">
        <v>1978.14</v>
      </c>
      <c r="AG248" s="28">
        <v>356.06</v>
      </c>
      <c r="AH248" s="28">
        <v>2334.1999999999998</v>
      </c>
      <c r="AJ248" s="19" t="s">
        <v>1054</v>
      </c>
      <c r="AK248" s="28">
        <v>1</v>
      </c>
      <c r="AL248" s="28">
        <v>32.5</v>
      </c>
      <c r="AM248" s="28">
        <v>5.85</v>
      </c>
      <c r="AN248" s="28">
        <v>38.35</v>
      </c>
      <c r="BN248"/>
      <c r="BO248"/>
      <c r="BQ248"/>
      <c r="BR248"/>
    </row>
    <row r="249" spans="4:70" ht="15">
      <c r="D249" s="19" t="s">
        <v>2061</v>
      </c>
      <c r="E249" s="28">
        <v>1</v>
      </c>
      <c r="AD249" s="19" t="s">
        <v>2224</v>
      </c>
      <c r="AE249" s="28">
        <v>1</v>
      </c>
      <c r="AF249" s="28">
        <v>32.5</v>
      </c>
      <c r="AG249" s="28">
        <v>5.85</v>
      </c>
      <c r="AH249" s="28">
        <v>38.35</v>
      </c>
      <c r="AJ249" s="19" t="s">
        <v>1035</v>
      </c>
      <c r="AK249" s="28">
        <v>1</v>
      </c>
      <c r="AL249" s="28">
        <v>6</v>
      </c>
      <c r="AM249" s="28">
        <v>1.08</v>
      </c>
      <c r="AN249" s="28">
        <v>7.08</v>
      </c>
      <c r="BN249"/>
      <c r="BO249"/>
      <c r="BQ249"/>
      <c r="BR249"/>
    </row>
    <row r="250" spans="4:70" ht="15">
      <c r="D250" s="19" t="s">
        <v>2062</v>
      </c>
      <c r="E250" s="28">
        <v>1</v>
      </c>
      <c r="AD250" s="19" t="s">
        <v>2223</v>
      </c>
      <c r="AE250" s="28">
        <v>1</v>
      </c>
      <c r="AF250" s="28">
        <v>6</v>
      </c>
      <c r="AG250" s="28">
        <v>1.08</v>
      </c>
      <c r="AH250" s="28">
        <v>7.08</v>
      </c>
      <c r="AJ250" s="19" t="s">
        <v>1033</v>
      </c>
      <c r="AK250" s="28">
        <v>1</v>
      </c>
      <c r="AL250" s="28">
        <v>9.9</v>
      </c>
      <c r="AM250" s="28">
        <v>1.78</v>
      </c>
      <c r="AN250" s="28">
        <v>11.68</v>
      </c>
      <c r="BN250"/>
      <c r="BO250"/>
      <c r="BQ250"/>
      <c r="BR250"/>
    </row>
    <row r="251" spans="4:70" ht="15">
      <c r="D251" s="19" t="s">
        <v>2063</v>
      </c>
      <c r="E251" s="28">
        <v>1</v>
      </c>
      <c r="AD251" s="19" t="s">
        <v>2222</v>
      </c>
      <c r="AE251" s="28">
        <v>1</v>
      </c>
      <c r="AF251" s="28">
        <v>9.9</v>
      </c>
      <c r="AG251" s="28">
        <v>1.78</v>
      </c>
      <c r="AH251" s="28">
        <v>11.68</v>
      </c>
      <c r="AJ251" s="19" t="s">
        <v>1031</v>
      </c>
      <c r="AK251" s="28">
        <v>1</v>
      </c>
      <c r="AL251" s="28">
        <v>3400</v>
      </c>
      <c r="AM251" s="28">
        <v>612</v>
      </c>
      <c r="AN251" s="28">
        <v>4012</v>
      </c>
      <c r="BN251"/>
      <c r="BO251"/>
      <c r="BQ251"/>
      <c r="BR251"/>
    </row>
    <row r="252" spans="4:70" ht="15">
      <c r="D252" s="19" t="s">
        <v>2064</v>
      </c>
      <c r="E252" s="28">
        <v>1</v>
      </c>
      <c r="AD252" s="19" t="s">
        <v>2221</v>
      </c>
      <c r="AE252" s="28">
        <v>1</v>
      </c>
      <c r="AF252" s="28">
        <v>3400</v>
      </c>
      <c r="AG252" s="28">
        <v>612</v>
      </c>
      <c r="AH252" s="28">
        <v>4012</v>
      </c>
      <c r="AJ252" s="19" t="s">
        <v>1028</v>
      </c>
      <c r="AK252" s="28">
        <v>1</v>
      </c>
      <c r="AL252" s="28">
        <v>17.100000000000001</v>
      </c>
      <c r="AM252" s="28">
        <v>3.08</v>
      </c>
      <c r="AN252" s="28">
        <v>20.18</v>
      </c>
      <c r="BN252"/>
      <c r="BO252"/>
      <c r="BQ252"/>
      <c r="BR252"/>
    </row>
    <row r="253" spans="4:70" ht="15">
      <c r="D253" s="19" t="s">
        <v>2065</v>
      </c>
      <c r="E253" s="28">
        <v>1</v>
      </c>
      <c r="AD253" s="19" t="s">
        <v>2220</v>
      </c>
      <c r="AE253" s="28">
        <v>1</v>
      </c>
      <c r="AF253" s="28">
        <v>17.100000000000001</v>
      </c>
      <c r="AG253" s="28">
        <v>3.08</v>
      </c>
      <c r="AH253" s="28">
        <v>20.18</v>
      </c>
      <c r="AJ253" s="19" t="s">
        <v>1026</v>
      </c>
      <c r="AK253" s="28">
        <v>1</v>
      </c>
      <c r="AL253" s="28">
        <v>4262.2</v>
      </c>
      <c r="AM253" s="28">
        <v>767.2</v>
      </c>
      <c r="AN253" s="28">
        <v>5029.3999999999996</v>
      </c>
      <c r="BN253"/>
      <c r="BO253"/>
      <c r="BQ253"/>
      <c r="BR253"/>
    </row>
    <row r="254" spans="4:70" ht="15">
      <c r="D254" s="19" t="s">
        <v>2066</v>
      </c>
      <c r="E254" s="28">
        <v>1</v>
      </c>
      <c r="AD254" s="19" t="s">
        <v>2219</v>
      </c>
      <c r="AE254" s="28">
        <v>1</v>
      </c>
      <c r="AF254" s="28">
        <v>4262.2</v>
      </c>
      <c r="AG254" s="28">
        <v>767.2</v>
      </c>
      <c r="AH254" s="28">
        <v>5029.3999999999996</v>
      </c>
      <c r="AJ254" s="19" t="s">
        <v>1024</v>
      </c>
      <c r="AK254" s="28">
        <v>1</v>
      </c>
      <c r="AL254" s="28">
        <v>2862.29</v>
      </c>
      <c r="AM254" s="28">
        <v>515.21</v>
      </c>
      <c r="AN254" s="28">
        <v>3377.5</v>
      </c>
      <c r="BN254"/>
      <c r="BO254"/>
      <c r="BQ254"/>
      <c r="BR254"/>
    </row>
    <row r="255" spans="4:70" ht="15">
      <c r="D255" s="19" t="s">
        <v>2067</v>
      </c>
      <c r="E255" s="28">
        <v>1</v>
      </c>
      <c r="AD255" s="19" t="s">
        <v>2218</v>
      </c>
      <c r="AE255" s="28">
        <v>1</v>
      </c>
      <c r="AF255" s="28">
        <v>2862.29</v>
      </c>
      <c r="AG255" s="28">
        <v>515.21</v>
      </c>
      <c r="AH255" s="28">
        <v>3377.5</v>
      </c>
      <c r="AJ255" s="19" t="s">
        <v>1022</v>
      </c>
      <c r="AK255" s="28">
        <v>1</v>
      </c>
      <c r="AL255" s="28">
        <v>3400</v>
      </c>
      <c r="AM255" s="28">
        <v>612</v>
      </c>
      <c r="AN255" s="28">
        <v>4012</v>
      </c>
      <c r="BN255"/>
      <c r="BO255"/>
      <c r="BQ255"/>
      <c r="BR255"/>
    </row>
    <row r="256" spans="4:70" ht="15">
      <c r="D256" s="19" t="s">
        <v>2068</v>
      </c>
      <c r="E256" s="28">
        <v>1</v>
      </c>
      <c r="AD256" s="19" t="s">
        <v>2217</v>
      </c>
      <c r="AE256" s="28">
        <v>1</v>
      </c>
      <c r="AF256" s="28">
        <v>3400</v>
      </c>
      <c r="AG256" s="28">
        <v>612</v>
      </c>
      <c r="AH256" s="28">
        <v>4012</v>
      </c>
      <c r="AJ256" s="19" t="s">
        <v>1020</v>
      </c>
      <c r="AK256" s="28">
        <v>1</v>
      </c>
      <c r="AL256" s="28">
        <v>450</v>
      </c>
      <c r="AM256" s="28">
        <v>81</v>
      </c>
      <c r="AN256" s="28">
        <v>531</v>
      </c>
      <c r="BN256"/>
      <c r="BO256"/>
      <c r="BQ256"/>
      <c r="BR256"/>
    </row>
    <row r="257" spans="4:70" ht="15">
      <c r="D257" s="19" t="s">
        <v>2069</v>
      </c>
      <c r="E257" s="28">
        <v>1</v>
      </c>
      <c r="AD257" s="19" t="s">
        <v>2216</v>
      </c>
      <c r="AE257" s="28">
        <v>1</v>
      </c>
      <c r="AF257" s="28">
        <v>450</v>
      </c>
      <c r="AG257" s="28">
        <v>81</v>
      </c>
      <c r="AH257" s="28">
        <v>531</v>
      </c>
      <c r="AJ257" s="19" t="s">
        <v>1018</v>
      </c>
      <c r="AK257" s="28">
        <v>1</v>
      </c>
      <c r="AL257" s="28">
        <v>202.5</v>
      </c>
      <c r="AM257" s="28">
        <v>36.450000000000003</v>
      </c>
      <c r="AN257" s="28">
        <v>238.95</v>
      </c>
      <c r="BN257"/>
      <c r="BO257"/>
      <c r="BQ257"/>
      <c r="BR257"/>
    </row>
    <row r="258" spans="4:70" ht="15">
      <c r="D258" s="19" t="s">
        <v>2070</v>
      </c>
      <c r="E258" s="28">
        <v>1</v>
      </c>
      <c r="AD258" s="19" t="s">
        <v>2215</v>
      </c>
      <c r="AE258" s="28">
        <v>1</v>
      </c>
      <c r="AF258" s="28">
        <v>202.5</v>
      </c>
      <c r="AG258" s="28">
        <v>36.450000000000003</v>
      </c>
      <c r="AH258" s="28">
        <v>238.95</v>
      </c>
      <c r="AJ258" s="19" t="s">
        <v>1016</v>
      </c>
      <c r="AK258" s="28">
        <v>1</v>
      </c>
      <c r="AL258" s="28">
        <v>2244.0700000000002</v>
      </c>
      <c r="AM258" s="28">
        <v>403.93</v>
      </c>
      <c r="AN258" s="28">
        <v>2648</v>
      </c>
      <c r="BN258"/>
      <c r="BO258"/>
      <c r="BQ258"/>
      <c r="BR258"/>
    </row>
    <row r="259" spans="4:70" ht="15">
      <c r="D259" s="19" t="s">
        <v>2071</v>
      </c>
      <c r="E259" s="28">
        <v>1</v>
      </c>
      <c r="AD259" s="19" t="s">
        <v>2214</v>
      </c>
      <c r="AE259" s="28">
        <v>1</v>
      </c>
      <c r="AF259" s="28">
        <v>2244.0700000000002</v>
      </c>
      <c r="AG259" s="28">
        <v>403.93</v>
      </c>
      <c r="AH259" s="28">
        <v>2648</v>
      </c>
      <c r="AJ259" s="19" t="s">
        <v>1014</v>
      </c>
      <c r="AK259" s="28">
        <v>1</v>
      </c>
      <c r="AL259" s="28">
        <v>3942.12</v>
      </c>
      <c r="AM259" s="28">
        <v>709.58</v>
      </c>
      <c r="AN259" s="28">
        <v>4651.7</v>
      </c>
      <c r="BN259"/>
      <c r="BO259"/>
      <c r="BQ259"/>
      <c r="BR259"/>
    </row>
    <row r="260" spans="4:70" ht="15">
      <c r="D260" s="19" t="s">
        <v>2072</v>
      </c>
      <c r="E260" s="28">
        <v>1</v>
      </c>
      <c r="AD260" s="19" t="s">
        <v>2213</v>
      </c>
      <c r="AE260" s="28">
        <v>1</v>
      </c>
      <c r="AF260" s="28">
        <v>3942.12</v>
      </c>
      <c r="AG260" s="28">
        <v>709.58</v>
      </c>
      <c r="AH260" s="28">
        <v>4651.7</v>
      </c>
      <c r="AJ260" s="19" t="s">
        <v>1012</v>
      </c>
      <c r="AK260" s="28">
        <v>1</v>
      </c>
      <c r="AL260" s="28">
        <v>5200</v>
      </c>
      <c r="AM260" s="28">
        <v>936</v>
      </c>
      <c r="AN260" s="28">
        <v>6136</v>
      </c>
      <c r="BN260"/>
      <c r="BO260"/>
      <c r="BQ260"/>
      <c r="BR260"/>
    </row>
    <row r="261" spans="4:70" ht="15">
      <c r="D261" s="19" t="s">
        <v>2073</v>
      </c>
      <c r="E261" s="28">
        <v>1</v>
      </c>
      <c r="AD261" s="19" t="s">
        <v>2212</v>
      </c>
      <c r="AE261" s="28">
        <v>1</v>
      </c>
      <c r="AF261" s="28">
        <v>5200</v>
      </c>
      <c r="AG261" s="28">
        <v>936</v>
      </c>
      <c r="AH261" s="28">
        <v>6136</v>
      </c>
      <c r="AJ261" s="19" t="s">
        <v>1010</v>
      </c>
      <c r="AK261" s="28">
        <v>1</v>
      </c>
      <c r="AL261" s="28">
        <v>1200</v>
      </c>
      <c r="AM261" s="28">
        <v>216</v>
      </c>
      <c r="AN261" s="28">
        <v>1416</v>
      </c>
      <c r="BN261"/>
      <c r="BO261"/>
      <c r="BQ261"/>
      <c r="BR261"/>
    </row>
    <row r="262" spans="4:70" ht="15">
      <c r="D262" s="19" t="s">
        <v>2074</v>
      </c>
      <c r="E262" s="28">
        <v>1</v>
      </c>
      <c r="AD262" s="19" t="s">
        <v>2211</v>
      </c>
      <c r="AE262" s="28">
        <v>1</v>
      </c>
      <c r="AF262" s="28">
        <v>1200</v>
      </c>
      <c r="AG262" s="28">
        <v>216</v>
      </c>
      <c r="AH262" s="28">
        <v>1416</v>
      </c>
      <c r="AJ262" s="19" t="s">
        <v>1008</v>
      </c>
      <c r="AK262" s="28">
        <v>1</v>
      </c>
      <c r="AL262" s="28">
        <v>2000</v>
      </c>
      <c r="AM262" s="28">
        <v>360</v>
      </c>
      <c r="AN262" s="28">
        <v>2360</v>
      </c>
      <c r="BN262"/>
      <c r="BO262"/>
      <c r="BQ262"/>
      <c r="BR262"/>
    </row>
    <row r="263" spans="4:70" ht="15">
      <c r="D263" s="19" t="s">
        <v>2075</v>
      </c>
      <c r="E263" s="28">
        <v>1</v>
      </c>
      <c r="AD263" s="19" t="s">
        <v>2210</v>
      </c>
      <c r="AE263" s="28">
        <v>1</v>
      </c>
      <c r="AF263" s="28">
        <v>2000</v>
      </c>
      <c r="AG263" s="28">
        <v>360</v>
      </c>
      <c r="AH263" s="28">
        <v>2360</v>
      </c>
      <c r="AJ263" s="19" t="s">
        <v>1006</v>
      </c>
      <c r="AK263" s="28">
        <v>1</v>
      </c>
      <c r="AL263" s="28">
        <v>800</v>
      </c>
      <c r="AM263" s="28">
        <v>144</v>
      </c>
      <c r="AN263" s="28">
        <v>944</v>
      </c>
      <c r="BN263"/>
      <c r="BO263"/>
      <c r="BQ263"/>
      <c r="BR263"/>
    </row>
    <row r="264" spans="4:70" ht="15">
      <c r="D264" s="19" t="s">
        <v>2076</v>
      </c>
      <c r="E264" s="28">
        <v>1</v>
      </c>
      <c r="AD264" s="19" t="s">
        <v>2209</v>
      </c>
      <c r="AE264" s="28">
        <v>1</v>
      </c>
      <c r="AF264" s="28">
        <v>800</v>
      </c>
      <c r="AG264" s="28">
        <v>144</v>
      </c>
      <c r="AH264" s="28">
        <v>944</v>
      </c>
      <c r="AJ264" s="19" t="s">
        <v>1004</v>
      </c>
      <c r="AK264" s="28">
        <v>1</v>
      </c>
      <c r="AL264" s="28">
        <v>800</v>
      </c>
      <c r="AM264" s="28">
        <v>144</v>
      </c>
      <c r="AN264" s="28">
        <v>944</v>
      </c>
      <c r="BN264"/>
      <c r="BO264"/>
      <c r="BQ264"/>
      <c r="BR264"/>
    </row>
    <row r="265" spans="4:70" ht="15">
      <c r="D265" s="19" t="s">
        <v>2077</v>
      </c>
      <c r="E265" s="28">
        <v>1</v>
      </c>
      <c r="AD265" s="19" t="s">
        <v>2208</v>
      </c>
      <c r="AE265" s="28">
        <v>1</v>
      </c>
      <c r="AF265" s="28">
        <v>800</v>
      </c>
      <c r="AG265" s="28">
        <v>144</v>
      </c>
      <c r="AH265" s="28">
        <v>944</v>
      </c>
      <c r="AJ265" s="19" t="s">
        <v>1002</v>
      </c>
      <c r="AK265" s="28">
        <v>1</v>
      </c>
      <c r="AL265" s="28">
        <v>800</v>
      </c>
      <c r="AM265" s="28">
        <v>144</v>
      </c>
      <c r="AN265" s="28">
        <v>944</v>
      </c>
      <c r="BN265"/>
      <c r="BO265"/>
      <c r="BQ265"/>
      <c r="BR265"/>
    </row>
    <row r="266" spans="4:70" ht="15">
      <c r="D266" s="19" t="s">
        <v>2078</v>
      </c>
      <c r="E266" s="28">
        <v>1</v>
      </c>
      <c r="AD266" s="19" t="s">
        <v>2207</v>
      </c>
      <c r="AE266" s="28">
        <v>1</v>
      </c>
      <c r="AF266" s="28">
        <v>800</v>
      </c>
      <c r="AG266" s="28">
        <v>144</v>
      </c>
      <c r="AH266" s="28">
        <v>944</v>
      </c>
      <c r="AJ266" s="19" t="s">
        <v>1000</v>
      </c>
      <c r="AK266" s="28">
        <v>1</v>
      </c>
      <c r="AL266" s="28">
        <v>1800</v>
      </c>
      <c r="AM266" s="28">
        <v>324</v>
      </c>
      <c r="AN266" s="28">
        <v>2124</v>
      </c>
      <c r="BN266"/>
      <c r="BO266"/>
      <c r="BQ266"/>
      <c r="BR266"/>
    </row>
    <row r="267" spans="4:70" ht="15">
      <c r="D267" s="19" t="s">
        <v>2079</v>
      </c>
      <c r="E267" s="28">
        <v>1</v>
      </c>
      <c r="AD267" s="19" t="s">
        <v>2206</v>
      </c>
      <c r="AE267" s="28">
        <v>1</v>
      </c>
      <c r="AF267" s="28">
        <v>1800</v>
      </c>
      <c r="AG267" s="28">
        <v>324</v>
      </c>
      <c r="AH267" s="28">
        <v>2124</v>
      </c>
      <c r="AJ267" s="19" t="s">
        <v>998</v>
      </c>
      <c r="AK267" s="28">
        <v>1</v>
      </c>
      <c r="AL267" s="28">
        <v>100</v>
      </c>
      <c r="AM267" s="28">
        <v>18</v>
      </c>
      <c r="AN267" s="28">
        <v>118</v>
      </c>
      <c r="BN267"/>
      <c r="BO267"/>
      <c r="BQ267"/>
      <c r="BR267"/>
    </row>
    <row r="268" spans="4:70" ht="15">
      <c r="D268" s="19" t="s">
        <v>2080</v>
      </c>
      <c r="E268" s="28">
        <v>1</v>
      </c>
      <c r="AD268" s="19" t="s">
        <v>2205</v>
      </c>
      <c r="AE268" s="28">
        <v>1</v>
      </c>
      <c r="AF268" s="28">
        <v>100</v>
      </c>
      <c r="AG268" s="28">
        <v>18</v>
      </c>
      <c r="AH268" s="28">
        <v>118</v>
      </c>
      <c r="AJ268" s="19" t="s">
        <v>996</v>
      </c>
      <c r="AK268" s="28">
        <v>1</v>
      </c>
      <c r="AL268" s="28">
        <v>36.61</v>
      </c>
      <c r="AM268" s="28">
        <v>6.59</v>
      </c>
      <c r="AN268" s="28">
        <v>43.2</v>
      </c>
      <c r="BN268"/>
      <c r="BO268"/>
      <c r="BQ268"/>
      <c r="BR268"/>
    </row>
    <row r="269" spans="4:70" ht="15">
      <c r="D269" s="19" t="s">
        <v>2081</v>
      </c>
      <c r="E269" s="28">
        <v>1</v>
      </c>
      <c r="AD269" s="19" t="s">
        <v>2204</v>
      </c>
      <c r="AE269" s="28">
        <v>1</v>
      </c>
      <c r="AF269" s="28">
        <v>36.61</v>
      </c>
      <c r="AG269" s="28">
        <v>6.59</v>
      </c>
      <c r="AH269" s="28">
        <v>43.2</v>
      </c>
      <c r="AJ269" s="19" t="s">
        <v>994</v>
      </c>
      <c r="AK269" s="28">
        <v>1</v>
      </c>
      <c r="AL269" s="28">
        <v>52.54</v>
      </c>
      <c r="AM269" s="28">
        <v>9.4600000000000009</v>
      </c>
      <c r="AN269" s="28">
        <v>62</v>
      </c>
      <c r="BN269"/>
      <c r="BO269"/>
      <c r="BQ269"/>
      <c r="BR269"/>
    </row>
    <row r="270" spans="4:70" ht="15">
      <c r="D270" s="19" t="s">
        <v>2082</v>
      </c>
      <c r="E270" s="28">
        <v>1</v>
      </c>
      <c r="AD270" s="19" t="s">
        <v>2203</v>
      </c>
      <c r="AE270" s="28">
        <v>1</v>
      </c>
      <c r="AF270" s="28">
        <v>52.54</v>
      </c>
      <c r="AG270" s="28">
        <v>9.4600000000000009</v>
      </c>
      <c r="AH270" s="28">
        <v>62</v>
      </c>
      <c r="AJ270" s="19" t="s">
        <v>992</v>
      </c>
      <c r="AK270" s="28">
        <v>1</v>
      </c>
      <c r="AL270" s="28">
        <v>586.36</v>
      </c>
      <c r="AM270" s="28">
        <v>105.54</v>
      </c>
      <c r="AN270" s="28">
        <v>691.9</v>
      </c>
      <c r="BN270"/>
      <c r="BO270"/>
      <c r="BQ270"/>
      <c r="BR270"/>
    </row>
    <row r="271" spans="4:70" ht="15">
      <c r="D271" s="19" t="s">
        <v>2083</v>
      </c>
      <c r="E271" s="28">
        <v>1</v>
      </c>
      <c r="AD271" s="19" t="s">
        <v>2202</v>
      </c>
      <c r="AE271" s="28">
        <v>1</v>
      </c>
      <c r="AF271" s="28">
        <v>586.36</v>
      </c>
      <c r="AG271" s="28">
        <v>105.54</v>
      </c>
      <c r="AH271" s="28">
        <v>691.9</v>
      </c>
      <c r="AJ271" s="19" t="s">
        <v>990</v>
      </c>
      <c r="AK271" s="28">
        <v>1</v>
      </c>
      <c r="AL271" s="28">
        <v>1200.42</v>
      </c>
      <c r="AM271" s="28">
        <v>216.08</v>
      </c>
      <c r="AN271" s="28">
        <v>1416.5</v>
      </c>
      <c r="BN271"/>
      <c r="BO271"/>
      <c r="BQ271"/>
      <c r="BR271"/>
    </row>
    <row r="272" spans="4:70" ht="15">
      <c r="D272" s="19" t="s">
        <v>2084</v>
      </c>
      <c r="E272" s="28">
        <v>1</v>
      </c>
      <c r="AD272" s="19" t="s">
        <v>2201</v>
      </c>
      <c r="AE272" s="28">
        <v>1</v>
      </c>
      <c r="AF272" s="28">
        <v>1200.42</v>
      </c>
      <c r="AG272" s="28">
        <v>216.08</v>
      </c>
      <c r="AH272" s="28">
        <v>1416.5</v>
      </c>
      <c r="AJ272" s="19" t="s">
        <v>988</v>
      </c>
      <c r="AK272" s="28">
        <v>1</v>
      </c>
      <c r="AL272" s="28">
        <v>920</v>
      </c>
      <c r="AM272" s="28">
        <v>165.6</v>
      </c>
      <c r="AN272" s="28">
        <v>1085.5999999999999</v>
      </c>
      <c r="BN272"/>
      <c r="BO272"/>
      <c r="BQ272"/>
      <c r="BR272"/>
    </row>
    <row r="273" spans="4:70" ht="15">
      <c r="D273" s="19" t="s">
        <v>2085</v>
      </c>
      <c r="E273" s="28">
        <v>1</v>
      </c>
      <c r="AD273" s="19" t="s">
        <v>2200</v>
      </c>
      <c r="AE273" s="28">
        <v>1</v>
      </c>
      <c r="AF273" s="28">
        <v>920</v>
      </c>
      <c r="AG273" s="28">
        <v>165.6</v>
      </c>
      <c r="AH273" s="28">
        <v>1085.5999999999999</v>
      </c>
      <c r="AJ273" s="19" t="s">
        <v>986</v>
      </c>
      <c r="AK273" s="28">
        <v>1</v>
      </c>
      <c r="AL273" s="28">
        <v>450</v>
      </c>
      <c r="AM273" s="28">
        <v>81</v>
      </c>
      <c r="AN273" s="28">
        <v>531</v>
      </c>
      <c r="BN273"/>
      <c r="BO273"/>
      <c r="BQ273"/>
      <c r="BR273"/>
    </row>
    <row r="274" spans="4:70" ht="15">
      <c r="D274" s="19" t="s">
        <v>2086</v>
      </c>
      <c r="E274" s="28">
        <v>1</v>
      </c>
      <c r="AD274" s="19" t="s">
        <v>2199</v>
      </c>
      <c r="AE274" s="28">
        <v>1</v>
      </c>
      <c r="AF274" s="28">
        <v>450</v>
      </c>
      <c r="AG274" s="28">
        <v>81</v>
      </c>
      <c r="AH274" s="28">
        <v>531</v>
      </c>
      <c r="AJ274" s="19" t="s">
        <v>984</v>
      </c>
      <c r="AK274" s="28">
        <v>1</v>
      </c>
      <c r="AL274" s="28">
        <v>54.75</v>
      </c>
      <c r="AM274" s="28">
        <v>9.85</v>
      </c>
      <c r="AN274" s="28">
        <v>64.599999999999994</v>
      </c>
      <c r="BN274"/>
      <c r="BO274"/>
      <c r="BQ274"/>
      <c r="BR274"/>
    </row>
    <row r="275" spans="4:70" ht="15">
      <c r="D275" s="19" t="s">
        <v>2087</v>
      </c>
      <c r="E275" s="28">
        <v>1</v>
      </c>
      <c r="AD275" s="19" t="s">
        <v>2193</v>
      </c>
      <c r="AE275" s="28">
        <v>1</v>
      </c>
      <c r="AF275" s="28">
        <v>54.75</v>
      </c>
      <c r="AG275" s="28">
        <v>9.85</v>
      </c>
      <c r="AH275" s="28">
        <v>64.599999999999994</v>
      </c>
      <c r="AJ275" s="19" t="s">
        <v>982</v>
      </c>
      <c r="AK275" s="28">
        <v>1</v>
      </c>
      <c r="AL275" s="28">
        <v>92.54</v>
      </c>
      <c r="AM275" s="28">
        <v>16.66</v>
      </c>
      <c r="AN275" s="28">
        <v>109.2</v>
      </c>
      <c r="BN275"/>
      <c r="BO275"/>
      <c r="BQ275"/>
      <c r="BR275"/>
    </row>
    <row r="276" spans="4:70" ht="15">
      <c r="D276" s="19" t="s">
        <v>2088</v>
      </c>
      <c r="E276" s="28">
        <v>1</v>
      </c>
      <c r="AD276" s="19" t="s">
        <v>2192</v>
      </c>
      <c r="AE276" s="28">
        <v>1</v>
      </c>
      <c r="AF276" s="28">
        <v>92.54</v>
      </c>
      <c r="AG276" s="28">
        <v>16.66</v>
      </c>
      <c r="AH276" s="28">
        <v>109.2</v>
      </c>
      <c r="AJ276" s="19" t="s">
        <v>980</v>
      </c>
      <c r="AK276" s="28">
        <v>1</v>
      </c>
      <c r="AL276" s="28">
        <v>461.61</v>
      </c>
      <c r="AM276" s="28">
        <v>83.09</v>
      </c>
      <c r="AN276" s="28">
        <v>544.70000000000005</v>
      </c>
      <c r="BN276"/>
      <c r="BO276"/>
      <c r="BQ276"/>
      <c r="BR276"/>
    </row>
    <row r="277" spans="4:70" ht="15">
      <c r="D277" s="19" t="s">
        <v>2089</v>
      </c>
      <c r="E277" s="28">
        <v>1</v>
      </c>
      <c r="AD277" s="19" t="s">
        <v>2189</v>
      </c>
      <c r="AE277" s="28">
        <v>1</v>
      </c>
      <c r="AF277" s="28">
        <v>461.61</v>
      </c>
      <c r="AG277" s="28">
        <v>83.09</v>
      </c>
      <c r="AH277" s="28">
        <v>544.70000000000005</v>
      </c>
      <c r="AJ277" s="19" t="s">
        <v>977</v>
      </c>
      <c r="AK277" s="28">
        <v>1</v>
      </c>
      <c r="AL277" s="28">
        <v>788.9</v>
      </c>
      <c r="AM277" s="28">
        <v>142</v>
      </c>
      <c r="AN277" s="28">
        <v>930.9</v>
      </c>
      <c r="BN277"/>
      <c r="BO277"/>
      <c r="BQ277"/>
      <c r="BR277"/>
    </row>
    <row r="278" spans="4:70" ht="15">
      <c r="D278" s="19" t="s">
        <v>2090</v>
      </c>
      <c r="E278" s="28">
        <v>1</v>
      </c>
      <c r="AD278" s="19" t="s">
        <v>2188</v>
      </c>
      <c r="AE278" s="28">
        <v>1</v>
      </c>
      <c r="AF278" s="28">
        <v>788.9</v>
      </c>
      <c r="AG278" s="28">
        <v>142</v>
      </c>
      <c r="AH278" s="28">
        <v>930.9</v>
      </c>
      <c r="AJ278" s="19" t="s">
        <v>975</v>
      </c>
      <c r="AK278" s="28">
        <v>1</v>
      </c>
      <c r="AL278" s="28">
        <v>390</v>
      </c>
      <c r="AM278" s="28">
        <v>70.2</v>
      </c>
      <c r="AN278" s="28">
        <v>460.2</v>
      </c>
      <c r="BN278"/>
      <c r="BO278"/>
      <c r="BQ278"/>
      <c r="BR278"/>
    </row>
    <row r="279" spans="4:70" ht="15">
      <c r="D279" s="19" t="s">
        <v>2091</v>
      </c>
      <c r="E279" s="28">
        <v>1</v>
      </c>
      <c r="AD279" s="19" t="s">
        <v>2187</v>
      </c>
      <c r="AE279" s="28">
        <v>1</v>
      </c>
      <c r="AF279" s="28">
        <v>390</v>
      </c>
      <c r="AG279" s="28">
        <v>70.2</v>
      </c>
      <c r="AH279" s="28">
        <v>460.2</v>
      </c>
      <c r="AJ279" s="19" t="s">
        <v>973</v>
      </c>
      <c r="AK279" s="28">
        <v>1</v>
      </c>
      <c r="AL279" s="28">
        <v>2961.31</v>
      </c>
      <c r="AM279" s="28">
        <v>533.03</v>
      </c>
      <c r="AN279" s="28">
        <v>3494.34</v>
      </c>
      <c r="BN279"/>
      <c r="BO279"/>
      <c r="BQ279"/>
      <c r="BR279"/>
    </row>
    <row r="280" spans="4:70" ht="15">
      <c r="D280" s="19" t="s">
        <v>2092</v>
      </c>
      <c r="E280" s="28">
        <v>1</v>
      </c>
      <c r="AD280" s="19" t="s">
        <v>2186</v>
      </c>
      <c r="AE280" s="28">
        <v>1</v>
      </c>
      <c r="AF280" s="28">
        <v>2961.31</v>
      </c>
      <c r="AG280" s="28">
        <v>533.03</v>
      </c>
      <c r="AH280" s="28">
        <v>3494.34</v>
      </c>
      <c r="AJ280" s="19" t="s">
        <v>971</v>
      </c>
      <c r="AK280" s="28">
        <v>1</v>
      </c>
      <c r="AL280" s="28">
        <v>4737.62</v>
      </c>
      <c r="AM280" s="28">
        <v>852.77</v>
      </c>
      <c r="AN280" s="28">
        <v>5590.39</v>
      </c>
      <c r="BN280"/>
      <c r="BO280"/>
      <c r="BQ280"/>
      <c r="BR280"/>
    </row>
    <row r="281" spans="4:70" ht="15">
      <c r="D281" s="19" t="s">
        <v>2093</v>
      </c>
      <c r="E281" s="28">
        <v>1</v>
      </c>
      <c r="AD281" s="19" t="s">
        <v>2185</v>
      </c>
      <c r="AE281" s="28">
        <v>1</v>
      </c>
      <c r="AF281" s="28">
        <v>4737.62</v>
      </c>
      <c r="AG281" s="28">
        <v>852.77</v>
      </c>
      <c r="AH281" s="28">
        <v>5590.39</v>
      </c>
      <c r="AJ281" s="19" t="s">
        <v>969</v>
      </c>
      <c r="AK281" s="28">
        <v>1</v>
      </c>
      <c r="AL281" s="28">
        <v>83.53</v>
      </c>
      <c r="AM281" s="28">
        <v>15.03</v>
      </c>
      <c r="AN281" s="28">
        <v>98.56</v>
      </c>
      <c r="BN281"/>
      <c r="BO281"/>
      <c r="BQ281"/>
      <c r="BR281"/>
    </row>
    <row r="282" spans="4:70" ht="15">
      <c r="D282" s="19" t="s">
        <v>2094</v>
      </c>
      <c r="E282" s="28">
        <v>1</v>
      </c>
      <c r="AD282" s="19" t="s">
        <v>2184</v>
      </c>
      <c r="AE282" s="28">
        <v>1</v>
      </c>
      <c r="AF282" s="28">
        <v>83.53</v>
      </c>
      <c r="AG282" s="28">
        <v>15.03</v>
      </c>
      <c r="AH282" s="28">
        <v>98.56</v>
      </c>
      <c r="AJ282" s="19" t="s">
        <v>967</v>
      </c>
      <c r="AK282" s="28">
        <v>1</v>
      </c>
      <c r="AL282" s="28">
        <v>1594.55</v>
      </c>
      <c r="AM282" s="28">
        <v>287.02</v>
      </c>
      <c r="AN282" s="28">
        <v>1881.57</v>
      </c>
      <c r="BN282"/>
      <c r="BO282"/>
      <c r="BQ282"/>
      <c r="BR282"/>
    </row>
    <row r="283" spans="4:70" ht="15">
      <c r="D283" s="19" t="s">
        <v>2095</v>
      </c>
      <c r="E283" s="28">
        <v>1</v>
      </c>
      <c r="AD283" s="19" t="s">
        <v>2183</v>
      </c>
      <c r="AE283" s="28">
        <v>1</v>
      </c>
      <c r="AF283" s="28">
        <v>1594.55</v>
      </c>
      <c r="AG283" s="28">
        <v>287.02</v>
      </c>
      <c r="AH283" s="28">
        <v>1881.57</v>
      </c>
      <c r="AJ283" s="19" t="s">
        <v>965</v>
      </c>
      <c r="AK283" s="28">
        <v>1</v>
      </c>
      <c r="AL283" s="28">
        <v>2551.0300000000002</v>
      </c>
      <c r="AM283" s="28">
        <v>459.18</v>
      </c>
      <c r="AN283" s="28">
        <v>3010.21</v>
      </c>
      <c r="BN283"/>
      <c r="BO283"/>
      <c r="BQ283"/>
      <c r="BR283"/>
    </row>
    <row r="284" spans="4:70" ht="15">
      <c r="D284" s="19" t="s">
        <v>2096</v>
      </c>
      <c r="E284" s="28">
        <v>1</v>
      </c>
      <c r="AD284" s="19" t="s">
        <v>2182</v>
      </c>
      <c r="AE284" s="28">
        <v>1</v>
      </c>
      <c r="AF284" s="28">
        <v>2551.0300000000002</v>
      </c>
      <c r="AG284" s="28">
        <v>459.18</v>
      </c>
      <c r="AH284" s="28">
        <v>3010.21</v>
      </c>
      <c r="AJ284" s="19" t="s">
        <v>963</v>
      </c>
      <c r="AK284" s="28">
        <v>1</v>
      </c>
      <c r="AL284" s="28">
        <v>210</v>
      </c>
      <c r="AM284" s="28">
        <v>37.799999999999997</v>
      </c>
      <c r="AN284" s="28">
        <v>247.8</v>
      </c>
      <c r="BN284"/>
      <c r="BO284"/>
      <c r="BQ284"/>
      <c r="BR284"/>
    </row>
    <row r="285" spans="4:70" ht="15">
      <c r="D285" s="19" t="s">
        <v>2097</v>
      </c>
      <c r="E285" s="28">
        <v>1</v>
      </c>
      <c r="AD285" s="19" t="s">
        <v>2181</v>
      </c>
      <c r="AE285" s="28">
        <v>1</v>
      </c>
      <c r="AF285" s="28">
        <v>210</v>
      </c>
      <c r="AG285" s="28">
        <v>37.799999999999997</v>
      </c>
      <c r="AH285" s="28">
        <v>247.8</v>
      </c>
      <c r="AJ285" s="19" t="s">
        <v>961</v>
      </c>
      <c r="AK285" s="28">
        <v>1</v>
      </c>
      <c r="AL285" s="28">
        <v>44.97</v>
      </c>
      <c r="AM285" s="28">
        <v>8.1</v>
      </c>
      <c r="AN285" s="28">
        <v>53.07</v>
      </c>
      <c r="BN285"/>
      <c r="BO285"/>
      <c r="BQ285"/>
      <c r="BR285"/>
    </row>
    <row r="286" spans="4:70" ht="15">
      <c r="D286" s="19" t="s">
        <v>2098</v>
      </c>
      <c r="E286" s="28">
        <v>1</v>
      </c>
      <c r="AD286" s="19" t="s">
        <v>2180</v>
      </c>
      <c r="AE286" s="28">
        <v>1</v>
      </c>
      <c r="AF286" s="28">
        <v>44.97</v>
      </c>
      <c r="AG286" s="28">
        <v>8.1</v>
      </c>
      <c r="AH286" s="28">
        <v>53.07</v>
      </c>
      <c r="AJ286" s="19" t="s">
        <v>946</v>
      </c>
      <c r="AK286" s="28">
        <v>1</v>
      </c>
      <c r="AL286" s="28">
        <v>56.69</v>
      </c>
      <c r="AM286" s="28">
        <v>10.210000000000001</v>
      </c>
      <c r="AN286" s="28">
        <v>66.900000000000006</v>
      </c>
      <c r="BN286"/>
      <c r="BO286"/>
      <c r="BQ286"/>
      <c r="BR286"/>
    </row>
    <row r="287" spans="4:70" ht="15">
      <c r="D287" s="19" t="s">
        <v>2099</v>
      </c>
      <c r="E287" s="28">
        <v>1</v>
      </c>
      <c r="AD287" s="19" t="s">
        <v>2175</v>
      </c>
      <c r="AE287" s="28">
        <v>1</v>
      </c>
      <c r="AF287" s="28">
        <v>56.69</v>
      </c>
      <c r="AG287" s="28">
        <v>10.210000000000001</v>
      </c>
      <c r="AH287" s="28">
        <v>66.900000000000006</v>
      </c>
      <c r="AJ287" s="19" t="s">
        <v>944</v>
      </c>
      <c r="AK287" s="28">
        <v>1</v>
      </c>
      <c r="AL287" s="28">
        <v>95</v>
      </c>
      <c r="AM287" s="28">
        <v>17.100000000000001</v>
      </c>
      <c r="AN287" s="28">
        <v>112.1</v>
      </c>
      <c r="BN287"/>
      <c r="BO287"/>
      <c r="BQ287"/>
      <c r="BR287"/>
    </row>
    <row r="288" spans="4:70" ht="15">
      <c r="D288" s="19" t="s">
        <v>2100</v>
      </c>
      <c r="E288" s="28">
        <v>1</v>
      </c>
      <c r="AD288" s="19" t="s">
        <v>2174</v>
      </c>
      <c r="AE288" s="28">
        <v>1</v>
      </c>
      <c r="AF288" s="28">
        <v>95</v>
      </c>
      <c r="AG288" s="28">
        <v>17.100000000000001</v>
      </c>
      <c r="AH288" s="28">
        <v>112.1</v>
      </c>
      <c r="AJ288" s="19" t="s">
        <v>942</v>
      </c>
      <c r="AK288" s="28">
        <v>1</v>
      </c>
      <c r="AL288" s="28">
        <v>7.5</v>
      </c>
      <c r="AM288" s="28">
        <v>1.35</v>
      </c>
      <c r="AN288" s="28">
        <v>8.85</v>
      </c>
      <c r="BN288"/>
      <c r="BO288"/>
      <c r="BQ288"/>
      <c r="BR288"/>
    </row>
    <row r="289" spans="4:70" ht="15">
      <c r="D289" s="19" t="s">
        <v>2101</v>
      </c>
      <c r="E289" s="28">
        <v>1</v>
      </c>
      <c r="AD289" s="19" t="s">
        <v>2173</v>
      </c>
      <c r="AE289" s="28">
        <v>1</v>
      </c>
      <c r="AF289" s="28">
        <v>7.5</v>
      </c>
      <c r="AG289" s="28">
        <v>1.35</v>
      </c>
      <c r="AH289" s="28">
        <v>8.85</v>
      </c>
      <c r="AJ289" s="19" t="s">
        <v>940</v>
      </c>
      <c r="AK289" s="28">
        <v>1</v>
      </c>
      <c r="AL289" s="28">
        <v>364.66</v>
      </c>
      <c r="AM289" s="28">
        <v>65.64</v>
      </c>
      <c r="AN289" s="28">
        <v>430.3</v>
      </c>
      <c r="BN289"/>
      <c r="BO289"/>
      <c r="BQ289"/>
      <c r="BR289"/>
    </row>
    <row r="290" spans="4:70" ht="15">
      <c r="D290" s="19" t="s">
        <v>2102</v>
      </c>
      <c r="E290" s="28">
        <v>1</v>
      </c>
      <c r="AD290" s="19" t="s">
        <v>2172</v>
      </c>
      <c r="AE290" s="28">
        <v>1</v>
      </c>
      <c r="AF290" s="28">
        <v>364.66</v>
      </c>
      <c r="AG290" s="28">
        <v>65.64</v>
      </c>
      <c r="AH290" s="28">
        <v>430.3</v>
      </c>
      <c r="AJ290" s="19" t="s">
        <v>938</v>
      </c>
      <c r="AK290" s="28">
        <v>1</v>
      </c>
      <c r="AL290" s="28">
        <v>933.64</v>
      </c>
      <c r="AM290" s="28">
        <v>168.06</v>
      </c>
      <c r="AN290" s="28">
        <v>1101.7</v>
      </c>
      <c r="BN290"/>
      <c r="BO290"/>
      <c r="BQ290"/>
      <c r="BR290"/>
    </row>
    <row r="291" spans="4:70" ht="15">
      <c r="D291" s="19" t="s">
        <v>2103</v>
      </c>
      <c r="E291" s="28">
        <v>1</v>
      </c>
      <c r="AD291" s="19" t="s">
        <v>2171</v>
      </c>
      <c r="AE291" s="28">
        <v>1</v>
      </c>
      <c r="AF291" s="28">
        <v>933.64</v>
      </c>
      <c r="AG291" s="28">
        <v>168.06</v>
      </c>
      <c r="AH291" s="28">
        <v>1101.7</v>
      </c>
      <c r="AJ291" s="19" t="s">
        <v>936</v>
      </c>
      <c r="AK291" s="28">
        <v>1</v>
      </c>
      <c r="AL291" s="28">
        <v>300</v>
      </c>
      <c r="AM291" s="28">
        <v>54</v>
      </c>
      <c r="AN291" s="28">
        <v>354</v>
      </c>
      <c r="BN291"/>
      <c r="BO291"/>
      <c r="BQ291"/>
      <c r="BR291"/>
    </row>
    <row r="292" spans="4:70" ht="15">
      <c r="D292" s="19" t="s">
        <v>2104</v>
      </c>
      <c r="E292" s="28">
        <v>1</v>
      </c>
      <c r="AD292" s="19" t="s">
        <v>2170</v>
      </c>
      <c r="AE292" s="28">
        <v>1</v>
      </c>
      <c r="AF292" s="28">
        <v>300</v>
      </c>
      <c r="AG292" s="28">
        <v>54</v>
      </c>
      <c r="AH292" s="28">
        <v>354</v>
      </c>
      <c r="AJ292" s="19" t="s">
        <v>857</v>
      </c>
      <c r="AK292" s="28">
        <v>1</v>
      </c>
      <c r="AL292" s="28">
        <v>32.200000000000003</v>
      </c>
      <c r="AM292" s="28">
        <v>5.8</v>
      </c>
      <c r="AN292" s="28">
        <v>38</v>
      </c>
      <c r="BN292"/>
      <c r="BO292"/>
      <c r="BQ292"/>
      <c r="BR292"/>
    </row>
    <row r="293" spans="4:70" ht="15">
      <c r="D293" s="19" t="s">
        <v>2105</v>
      </c>
      <c r="E293" s="28">
        <v>1</v>
      </c>
      <c r="AD293" s="19" t="s">
        <v>2163</v>
      </c>
      <c r="AE293" s="28">
        <v>1</v>
      </c>
      <c r="AF293" s="28">
        <v>32.200000000000003</v>
      </c>
      <c r="AG293" s="28">
        <v>5.8</v>
      </c>
      <c r="AH293" s="28">
        <v>38</v>
      </c>
      <c r="AJ293" s="19" t="s">
        <v>854</v>
      </c>
      <c r="AK293" s="28">
        <v>1</v>
      </c>
      <c r="AL293" s="28">
        <v>52.29</v>
      </c>
      <c r="AM293" s="28">
        <v>9.41</v>
      </c>
      <c r="AN293" s="28">
        <v>61.7</v>
      </c>
      <c r="BN293"/>
      <c r="BO293"/>
      <c r="BQ293"/>
      <c r="BR293"/>
    </row>
    <row r="294" spans="4:70" ht="15">
      <c r="D294" s="19" t="s">
        <v>2106</v>
      </c>
      <c r="E294" s="28">
        <v>1</v>
      </c>
      <c r="AD294" s="19" t="s">
        <v>2162</v>
      </c>
      <c r="AE294" s="28">
        <v>1</v>
      </c>
      <c r="AF294" s="28">
        <v>52.29</v>
      </c>
      <c r="AG294" s="28">
        <v>9.41</v>
      </c>
      <c r="AH294" s="28">
        <v>61.7</v>
      </c>
      <c r="AJ294" s="19" t="s">
        <v>852</v>
      </c>
      <c r="AK294" s="28">
        <v>1</v>
      </c>
      <c r="AL294" s="28">
        <v>20.5</v>
      </c>
      <c r="AM294" s="28">
        <v>3.69</v>
      </c>
      <c r="AN294" s="28">
        <v>24.19</v>
      </c>
      <c r="BN294"/>
      <c r="BO294"/>
      <c r="BQ294"/>
      <c r="BR294"/>
    </row>
    <row r="295" spans="4:70" ht="15">
      <c r="D295" s="19" t="s">
        <v>2107</v>
      </c>
      <c r="E295" s="28">
        <v>1</v>
      </c>
      <c r="AD295" s="19" t="s">
        <v>2161</v>
      </c>
      <c r="AE295" s="28">
        <v>1</v>
      </c>
      <c r="AF295" s="28">
        <v>20.5</v>
      </c>
      <c r="AG295" s="28">
        <v>3.69</v>
      </c>
      <c r="AH295" s="28">
        <v>24.19</v>
      </c>
      <c r="AJ295" s="19" t="s">
        <v>850</v>
      </c>
      <c r="AK295" s="28">
        <v>1</v>
      </c>
      <c r="AL295" s="28">
        <v>22</v>
      </c>
      <c r="AM295" s="28">
        <v>3.96</v>
      </c>
      <c r="AN295" s="28">
        <v>25.96</v>
      </c>
      <c r="BN295"/>
      <c r="BO295"/>
      <c r="BQ295"/>
      <c r="BR295"/>
    </row>
    <row r="296" spans="4:70" ht="15">
      <c r="D296" s="19" t="s">
        <v>2108</v>
      </c>
      <c r="E296" s="28">
        <v>1</v>
      </c>
      <c r="AD296" s="19" t="s">
        <v>2160</v>
      </c>
      <c r="AE296" s="28">
        <v>1</v>
      </c>
      <c r="AF296" s="28">
        <v>22</v>
      </c>
      <c r="AG296" s="28">
        <v>3.96</v>
      </c>
      <c r="AH296" s="28">
        <v>25.96</v>
      </c>
      <c r="AJ296" s="19" t="s">
        <v>848</v>
      </c>
      <c r="AK296" s="28">
        <v>1</v>
      </c>
      <c r="AL296" s="28">
        <v>1468.68</v>
      </c>
      <c r="AM296" s="28">
        <v>264.36</v>
      </c>
      <c r="AN296" s="28">
        <v>1733.04</v>
      </c>
      <c r="BN296"/>
      <c r="BO296"/>
      <c r="BQ296"/>
      <c r="BR296"/>
    </row>
    <row r="297" spans="4:70" ht="15">
      <c r="D297" s="19" t="s">
        <v>2109</v>
      </c>
      <c r="E297" s="28">
        <v>1</v>
      </c>
      <c r="AD297" s="19" t="s">
        <v>2159</v>
      </c>
      <c r="AE297" s="28">
        <v>1</v>
      </c>
      <c r="AF297" s="28">
        <v>1468.68</v>
      </c>
      <c r="AG297" s="28">
        <v>264.36</v>
      </c>
      <c r="AH297" s="28">
        <v>1733.04</v>
      </c>
      <c r="AJ297" s="19" t="s">
        <v>846</v>
      </c>
      <c r="AK297" s="28">
        <v>1</v>
      </c>
      <c r="AL297" s="28">
        <v>2382.31</v>
      </c>
      <c r="AM297" s="28">
        <v>428.81</v>
      </c>
      <c r="AN297" s="28">
        <v>2811.12</v>
      </c>
      <c r="BN297"/>
      <c r="BO297"/>
      <c r="BQ297"/>
      <c r="BR297"/>
    </row>
    <row r="298" spans="4:70" ht="15">
      <c r="D298" s="19" t="s">
        <v>2110</v>
      </c>
      <c r="E298" s="28">
        <v>1</v>
      </c>
      <c r="AD298" s="19" t="s">
        <v>2158</v>
      </c>
      <c r="AE298" s="28">
        <v>1</v>
      </c>
      <c r="AF298" s="28">
        <v>2382.31</v>
      </c>
      <c r="AG298" s="28">
        <v>428.81</v>
      </c>
      <c r="AH298" s="28">
        <v>2811.12</v>
      </c>
      <c r="AJ298" s="19" t="s">
        <v>844</v>
      </c>
      <c r="AK298" s="28">
        <v>1</v>
      </c>
      <c r="AL298" s="28">
        <v>1400</v>
      </c>
      <c r="AM298" s="28">
        <v>252</v>
      </c>
      <c r="AN298" s="28">
        <v>1652</v>
      </c>
      <c r="BN298"/>
      <c r="BO298"/>
      <c r="BQ298"/>
      <c r="BR298"/>
    </row>
    <row r="299" spans="4:70" ht="15">
      <c r="D299" s="19" t="s">
        <v>2111</v>
      </c>
      <c r="E299" s="28">
        <v>1</v>
      </c>
      <c r="AD299" s="19" t="s">
        <v>2157</v>
      </c>
      <c r="AE299" s="28">
        <v>1</v>
      </c>
      <c r="AF299" s="28">
        <v>1400</v>
      </c>
      <c r="AG299" s="28">
        <v>252</v>
      </c>
      <c r="AH299" s="28">
        <v>1652</v>
      </c>
      <c r="AJ299" s="19" t="s">
        <v>842</v>
      </c>
      <c r="AK299" s="28">
        <v>1</v>
      </c>
      <c r="AL299" s="28">
        <v>1</v>
      </c>
      <c r="AM299" s="28">
        <v>0.18</v>
      </c>
      <c r="AN299" s="28">
        <v>1.18</v>
      </c>
      <c r="BN299"/>
      <c r="BO299"/>
      <c r="BQ299"/>
      <c r="BR299"/>
    </row>
    <row r="300" spans="4:70" ht="15">
      <c r="D300" s="19" t="s">
        <v>2112</v>
      </c>
      <c r="E300" s="28">
        <v>1</v>
      </c>
      <c r="AD300" s="19" t="s">
        <v>2156</v>
      </c>
      <c r="AE300" s="28">
        <v>1</v>
      </c>
      <c r="AF300" s="28">
        <v>1</v>
      </c>
      <c r="AG300" s="28">
        <v>0.18</v>
      </c>
      <c r="AH300" s="28">
        <v>1.18</v>
      </c>
      <c r="AJ300" s="19" t="s">
        <v>840</v>
      </c>
      <c r="AK300" s="28">
        <v>1</v>
      </c>
      <c r="AL300" s="28">
        <v>1467.44</v>
      </c>
      <c r="AM300" s="28">
        <v>264.14</v>
      </c>
      <c r="AN300" s="28">
        <v>1731.58</v>
      </c>
      <c r="BN300"/>
      <c r="BO300"/>
      <c r="BQ300"/>
      <c r="BR300"/>
    </row>
    <row r="301" spans="4:70" ht="15">
      <c r="D301" s="19" t="s">
        <v>2113</v>
      </c>
      <c r="E301" s="28">
        <v>1</v>
      </c>
      <c r="AD301" s="19" t="s">
        <v>2155</v>
      </c>
      <c r="AE301" s="28">
        <v>1</v>
      </c>
      <c r="AF301" s="28">
        <v>1467.44</v>
      </c>
      <c r="AG301" s="28">
        <v>264.14</v>
      </c>
      <c r="AH301" s="28">
        <v>1731.58</v>
      </c>
      <c r="AJ301" s="19" t="s">
        <v>838</v>
      </c>
      <c r="AK301" s="28">
        <v>1</v>
      </c>
      <c r="AL301" s="28">
        <v>2372.2399999999998</v>
      </c>
      <c r="AM301" s="28">
        <v>427</v>
      </c>
      <c r="AN301" s="28">
        <v>2799.24</v>
      </c>
      <c r="BN301"/>
      <c r="BO301"/>
      <c r="BQ301"/>
      <c r="BR301"/>
    </row>
    <row r="302" spans="4:70" ht="15">
      <c r="D302" s="19" t="s">
        <v>2114</v>
      </c>
      <c r="E302" s="28">
        <v>1</v>
      </c>
      <c r="AD302" s="19" t="s">
        <v>2154</v>
      </c>
      <c r="AE302" s="28">
        <v>1</v>
      </c>
      <c r="AF302" s="28">
        <v>2372.2399999999998</v>
      </c>
      <c r="AG302" s="28">
        <v>427</v>
      </c>
      <c r="AH302" s="28">
        <v>2799.24</v>
      </c>
      <c r="AJ302" s="19" t="s">
        <v>836</v>
      </c>
      <c r="AK302" s="28">
        <v>1</v>
      </c>
      <c r="AL302" s="28">
        <v>1400</v>
      </c>
      <c r="AM302" s="28">
        <v>252</v>
      </c>
      <c r="AN302" s="28">
        <v>1652</v>
      </c>
      <c r="BN302"/>
      <c r="BO302"/>
      <c r="BQ302"/>
      <c r="BR302"/>
    </row>
    <row r="303" spans="4:70" ht="15">
      <c r="D303" s="19" t="s">
        <v>2115</v>
      </c>
      <c r="E303" s="28">
        <v>1</v>
      </c>
      <c r="AD303" s="19" t="s">
        <v>2153</v>
      </c>
      <c r="AE303" s="28">
        <v>1</v>
      </c>
      <c r="AF303" s="28">
        <v>1400</v>
      </c>
      <c r="AG303" s="28">
        <v>252</v>
      </c>
      <c r="AH303" s="28">
        <v>1652</v>
      </c>
      <c r="AJ303" s="19" t="s">
        <v>834</v>
      </c>
      <c r="AK303" s="28">
        <v>1</v>
      </c>
      <c r="AL303" s="28">
        <v>1</v>
      </c>
      <c r="AM303" s="28">
        <v>0.18</v>
      </c>
      <c r="AN303" s="28">
        <v>1.18</v>
      </c>
      <c r="BN303"/>
      <c r="BO303"/>
      <c r="BQ303"/>
      <c r="BR303"/>
    </row>
    <row r="304" spans="4:70" ht="15">
      <c r="D304" s="19" t="s">
        <v>2116</v>
      </c>
      <c r="E304" s="28">
        <v>1</v>
      </c>
      <c r="AD304" s="19" t="s">
        <v>2152</v>
      </c>
      <c r="AE304" s="28">
        <v>1</v>
      </c>
      <c r="AF304" s="28">
        <v>1</v>
      </c>
      <c r="AG304" s="28">
        <v>0.18</v>
      </c>
      <c r="AH304" s="28">
        <v>1.18</v>
      </c>
      <c r="AJ304" s="19" t="s">
        <v>832</v>
      </c>
      <c r="AK304" s="28">
        <v>1</v>
      </c>
      <c r="AL304" s="28">
        <v>1669.75</v>
      </c>
      <c r="AM304" s="28">
        <v>300.55</v>
      </c>
      <c r="AN304" s="28">
        <v>1970.3</v>
      </c>
      <c r="BN304"/>
      <c r="BO304"/>
      <c r="BQ304"/>
      <c r="BR304"/>
    </row>
    <row r="305" spans="4:70" ht="15">
      <c r="D305" s="19" t="s">
        <v>2117</v>
      </c>
      <c r="E305" s="28">
        <v>1</v>
      </c>
      <c r="AD305" s="19" t="s">
        <v>2149</v>
      </c>
      <c r="AE305" s="28">
        <v>1</v>
      </c>
      <c r="AF305" s="28">
        <v>1669.75</v>
      </c>
      <c r="AG305" s="28">
        <v>300.55</v>
      </c>
      <c r="AH305" s="28">
        <v>1970.3</v>
      </c>
      <c r="AJ305" s="19" t="s">
        <v>830</v>
      </c>
      <c r="AK305" s="28">
        <v>1</v>
      </c>
      <c r="AL305" s="28">
        <v>3384.15</v>
      </c>
      <c r="AM305" s="28">
        <v>609.15</v>
      </c>
      <c r="AN305" s="28">
        <v>3993.3</v>
      </c>
      <c r="BN305"/>
      <c r="BO305"/>
      <c r="BQ305"/>
      <c r="BR305"/>
    </row>
    <row r="306" spans="4:70" ht="15">
      <c r="D306" s="19" t="s">
        <v>2118</v>
      </c>
      <c r="E306" s="28">
        <v>1</v>
      </c>
      <c r="AD306" s="19" t="s">
        <v>2148</v>
      </c>
      <c r="AE306" s="28">
        <v>1</v>
      </c>
      <c r="AF306" s="28">
        <v>3384.15</v>
      </c>
      <c r="AG306" s="28">
        <v>609.15</v>
      </c>
      <c r="AH306" s="28">
        <v>3993.3</v>
      </c>
      <c r="AJ306" s="19" t="s">
        <v>828</v>
      </c>
      <c r="AK306" s="28">
        <v>1</v>
      </c>
      <c r="AL306" s="28">
        <v>1000</v>
      </c>
      <c r="AM306" s="28">
        <v>180</v>
      </c>
      <c r="AN306" s="28">
        <v>1180</v>
      </c>
      <c r="BN306"/>
      <c r="BO306"/>
      <c r="BQ306"/>
      <c r="BR306"/>
    </row>
    <row r="307" spans="4:70" ht="15">
      <c r="D307" s="19" t="s">
        <v>2119</v>
      </c>
      <c r="E307" s="28">
        <v>1</v>
      </c>
      <c r="AD307" s="19" t="s">
        <v>2147</v>
      </c>
      <c r="AE307" s="28">
        <v>1</v>
      </c>
      <c r="AF307" s="28">
        <v>1000</v>
      </c>
      <c r="AG307" s="28">
        <v>180</v>
      </c>
      <c r="AH307" s="28">
        <v>1180</v>
      </c>
      <c r="AJ307" s="19" t="s">
        <v>826</v>
      </c>
      <c r="AK307" s="28">
        <v>1</v>
      </c>
      <c r="AL307" s="28">
        <v>600</v>
      </c>
      <c r="AM307" s="28">
        <v>108</v>
      </c>
      <c r="AN307" s="28">
        <v>708</v>
      </c>
      <c r="BN307"/>
      <c r="BO307"/>
      <c r="BQ307"/>
      <c r="BR307"/>
    </row>
    <row r="308" spans="4:70" ht="15">
      <c r="D308" s="19" t="s">
        <v>2120</v>
      </c>
      <c r="E308" s="28">
        <v>1</v>
      </c>
      <c r="AD308" s="19" t="s">
        <v>2146</v>
      </c>
      <c r="AE308" s="28">
        <v>1</v>
      </c>
      <c r="AF308" s="28">
        <v>600</v>
      </c>
      <c r="AG308" s="28">
        <v>108</v>
      </c>
      <c r="AH308" s="28">
        <v>708</v>
      </c>
      <c r="AJ308" s="19" t="s">
        <v>824</v>
      </c>
      <c r="AK308" s="28">
        <v>1</v>
      </c>
      <c r="AL308" s="28">
        <v>18.05</v>
      </c>
      <c r="AM308" s="28">
        <v>3.25</v>
      </c>
      <c r="AN308" s="28">
        <v>21.3</v>
      </c>
      <c r="BN308"/>
      <c r="BO308"/>
      <c r="BQ308"/>
      <c r="BR308"/>
    </row>
    <row r="309" spans="4:70" ht="15">
      <c r="D309" s="19" t="s">
        <v>2121</v>
      </c>
      <c r="E309" s="28">
        <v>1</v>
      </c>
      <c r="AD309" s="19" t="s">
        <v>2138</v>
      </c>
      <c r="AE309" s="28">
        <v>1</v>
      </c>
      <c r="AF309" s="28">
        <v>18.05</v>
      </c>
      <c r="AG309" s="28">
        <v>3.25</v>
      </c>
      <c r="AH309" s="28">
        <v>21.3</v>
      </c>
      <c r="AJ309" s="19" t="s">
        <v>822</v>
      </c>
      <c r="AK309" s="28">
        <v>1</v>
      </c>
      <c r="AL309" s="28">
        <v>25.34</v>
      </c>
      <c r="AM309" s="28">
        <v>4.5599999999999996</v>
      </c>
      <c r="AN309" s="28">
        <v>29.9</v>
      </c>
      <c r="BN309"/>
      <c r="BO309"/>
      <c r="BQ309"/>
      <c r="BR309"/>
    </row>
    <row r="310" spans="4:70" ht="15">
      <c r="D310" s="19" t="s">
        <v>2122</v>
      </c>
      <c r="E310" s="28">
        <v>1</v>
      </c>
      <c r="AD310" s="19" t="s">
        <v>2137</v>
      </c>
      <c r="AE310" s="28">
        <v>1</v>
      </c>
      <c r="AF310" s="28">
        <v>25.34</v>
      </c>
      <c r="AG310" s="28">
        <v>4.5599999999999996</v>
      </c>
      <c r="AH310" s="28">
        <v>29.9</v>
      </c>
      <c r="AJ310" s="19" t="s">
        <v>820</v>
      </c>
      <c r="AK310" s="28">
        <v>1</v>
      </c>
      <c r="AL310" s="28">
        <v>3246.44</v>
      </c>
      <c r="AM310" s="28">
        <v>584.36</v>
      </c>
      <c r="AN310" s="28">
        <v>3830.8</v>
      </c>
      <c r="BN310"/>
      <c r="BO310"/>
      <c r="BQ310"/>
      <c r="BR310"/>
    </row>
    <row r="311" spans="4:70" ht="15">
      <c r="D311" s="19" t="s">
        <v>2123</v>
      </c>
      <c r="E311" s="28">
        <v>1</v>
      </c>
      <c r="AD311" s="19" t="s">
        <v>2136</v>
      </c>
      <c r="AE311" s="28">
        <v>1</v>
      </c>
      <c r="AF311" s="28">
        <v>3246.44</v>
      </c>
      <c r="AG311" s="28">
        <v>584.36</v>
      </c>
      <c r="AH311" s="28">
        <v>3830.8</v>
      </c>
      <c r="AJ311" s="19" t="s">
        <v>818</v>
      </c>
      <c r="AK311" s="28">
        <v>1</v>
      </c>
      <c r="AL311" s="28">
        <v>5158.5600000000004</v>
      </c>
      <c r="AM311" s="28">
        <v>928.54</v>
      </c>
      <c r="AN311" s="28">
        <v>6087.1</v>
      </c>
      <c r="BN311"/>
      <c r="BO311"/>
      <c r="BQ311"/>
      <c r="BR311"/>
    </row>
    <row r="312" spans="4:70" ht="15">
      <c r="D312" s="19" t="s">
        <v>2124</v>
      </c>
      <c r="E312" s="28">
        <v>1</v>
      </c>
      <c r="AD312" s="19" t="s">
        <v>2135</v>
      </c>
      <c r="AE312" s="28">
        <v>1</v>
      </c>
      <c r="AF312" s="28">
        <v>5158.5600000000004</v>
      </c>
      <c r="AG312" s="28">
        <v>928.54</v>
      </c>
      <c r="AH312" s="28">
        <v>6087.1</v>
      </c>
      <c r="AJ312" s="19" t="s">
        <v>816</v>
      </c>
      <c r="AK312" s="28">
        <v>1</v>
      </c>
      <c r="AL312" s="28">
        <v>2200</v>
      </c>
      <c r="AM312" s="28">
        <v>396</v>
      </c>
      <c r="AN312" s="28">
        <v>2596</v>
      </c>
      <c r="BN312"/>
      <c r="BO312"/>
      <c r="BQ312"/>
      <c r="BR312"/>
    </row>
    <row r="313" spans="4:70" ht="15">
      <c r="D313" s="19" t="s">
        <v>2125</v>
      </c>
      <c r="E313" s="28">
        <v>1</v>
      </c>
      <c r="AD313" s="19" t="s">
        <v>2134</v>
      </c>
      <c r="AE313" s="28">
        <v>1</v>
      </c>
      <c r="AF313" s="28">
        <v>2200</v>
      </c>
      <c r="AG313" s="28">
        <v>396</v>
      </c>
      <c r="AH313" s="28">
        <v>2596</v>
      </c>
      <c r="AJ313" s="19" t="s">
        <v>814</v>
      </c>
      <c r="AK313" s="28">
        <v>1</v>
      </c>
      <c r="AL313" s="28">
        <v>800</v>
      </c>
      <c r="AM313" s="28">
        <v>144</v>
      </c>
      <c r="AN313" s="28">
        <v>944</v>
      </c>
      <c r="BN313"/>
      <c r="BO313"/>
      <c r="BQ313"/>
      <c r="BR313"/>
    </row>
    <row r="314" spans="4:70" ht="15">
      <c r="D314" s="19" t="s">
        <v>2126</v>
      </c>
      <c r="E314" s="28">
        <v>1</v>
      </c>
      <c r="AD314" s="19" t="s">
        <v>2133</v>
      </c>
      <c r="AE314" s="28">
        <v>1</v>
      </c>
      <c r="AF314" s="28">
        <v>800</v>
      </c>
      <c r="AG314" s="28">
        <v>144</v>
      </c>
      <c r="AH314" s="28">
        <v>944</v>
      </c>
      <c r="AJ314" s="19" t="s">
        <v>812</v>
      </c>
      <c r="AK314" s="28">
        <v>1</v>
      </c>
      <c r="AL314" s="28">
        <v>800</v>
      </c>
      <c r="AM314" s="28">
        <v>144</v>
      </c>
      <c r="AN314" s="28">
        <v>944</v>
      </c>
      <c r="BN314"/>
      <c r="BO314"/>
      <c r="BQ314"/>
      <c r="BR314"/>
    </row>
    <row r="315" spans="4:70" ht="15">
      <c r="D315" s="19" t="s">
        <v>2127</v>
      </c>
      <c r="E315" s="28">
        <v>1</v>
      </c>
      <c r="AD315" s="19" t="s">
        <v>2132</v>
      </c>
      <c r="AE315" s="28">
        <v>1</v>
      </c>
      <c r="AF315" s="28">
        <v>800</v>
      </c>
      <c r="AG315" s="28">
        <v>144</v>
      </c>
      <c r="AH315" s="28">
        <v>944</v>
      </c>
      <c r="AJ315" s="19" t="s">
        <v>810</v>
      </c>
      <c r="AK315" s="28">
        <v>1</v>
      </c>
      <c r="AL315" s="28">
        <v>800</v>
      </c>
      <c r="AM315" s="28">
        <v>144</v>
      </c>
      <c r="AN315" s="28">
        <v>944</v>
      </c>
      <c r="BN315"/>
      <c r="BO315"/>
      <c r="BQ315"/>
      <c r="BR315"/>
    </row>
    <row r="316" spans="4:70" ht="15">
      <c r="D316" s="19" t="s">
        <v>2128</v>
      </c>
      <c r="E316" s="28">
        <v>1</v>
      </c>
      <c r="AD316" s="19" t="s">
        <v>2131</v>
      </c>
      <c r="AE316" s="28">
        <v>1</v>
      </c>
      <c r="AF316" s="28">
        <v>800</v>
      </c>
      <c r="AG316" s="28">
        <v>144</v>
      </c>
      <c r="AH316" s="28">
        <v>944</v>
      </c>
      <c r="AJ316" s="19" t="s">
        <v>808</v>
      </c>
      <c r="AK316" s="28">
        <v>1</v>
      </c>
      <c r="AL316" s="28">
        <v>2400</v>
      </c>
      <c r="AM316" s="28">
        <v>432</v>
      </c>
      <c r="AN316" s="28">
        <v>2832</v>
      </c>
      <c r="BN316"/>
      <c r="BO316"/>
      <c r="BQ316"/>
      <c r="BR316"/>
    </row>
    <row r="317" spans="4:70" ht="15">
      <c r="D317" s="19" t="s">
        <v>2129</v>
      </c>
      <c r="E317" s="28">
        <v>1</v>
      </c>
      <c r="AD317" s="19" t="s">
        <v>2130</v>
      </c>
      <c r="AE317" s="28">
        <v>1</v>
      </c>
      <c r="AF317" s="28">
        <v>2400</v>
      </c>
      <c r="AG317" s="28">
        <v>432</v>
      </c>
      <c r="AH317" s="28">
        <v>2832</v>
      </c>
      <c r="AJ317" s="19" t="s">
        <v>806</v>
      </c>
      <c r="AK317" s="28">
        <v>1</v>
      </c>
      <c r="AL317" s="28">
        <v>1</v>
      </c>
      <c r="AM317" s="28">
        <v>0.18</v>
      </c>
      <c r="AN317" s="28">
        <v>1.18</v>
      </c>
      <c r="BN317"/>
      <c r="BO317"/>
      <c r="BQ317"/>
      <c r="BR317"/>
    </row>
    <row r="318" spans="4:70" ht="15">
      <c r="D318" s="19" t="s">
        <v>2130</v>
      </c>
      <c r="E318" s="28">
        <v>1</v>
      </c>
      <c r="AD318" s="19" t="s">
        <v>2129</v>
      </c>
      <c r="AE318" s="28">
        <v>1</v>
      </c>
      <c r="AF318" s="28">
        <v>1</v>
      </c>
      <c r="AG318" s="28">
        <v>0.18</v>
      </c>
      <c r="AH318" s="28">
        <v>1.18</v>
      </c>
      <c r="AJ318" s="19" t="s">
        <v>804</v>
      </c>
      <c r="AK318" s="28">
        <v>1</v>
      </c>
      <c r="AL318" s="28">
        <v>288.14</v>
      </c>
      <c r="AM318" s="28">
        <v>51.86</v>
      </c>
      <c r="AN318" s="28">
        <v>340</v>
      </c>
      <c r="BN318"/>
      <c r="BO318"/>
      <c r="BQ318"/>
      <c r="BR318"/>
    </row>
    <row r="319" spans="4:70" ht="15">
      <c r="D319" s="19" t="s">
        <v>2131</v>
      </c>
      <c r="E319" s="28">
        <v>1</v>
      </c>
      <c r="AD319" s="19" t="s">
        <v>2128</v>
      </c>
      <c r="AE319" s="28">
        <v>1</v>
      </c>
      <c r="AF319" s="28">
        <v>288.14</v>
      </c>
      <c r="AG319" s="28">
        <v>51.86</v>
      </c>
      <c r="AH319" s="28">
        <v>340</v>
      </c>
      <c r="AJ319" s="19" t="s">
        <v>802</v>
      </c>
      <c r="AK319" s="28">
        <v>1</v>
      </c>
      <c r="AL319" s="28">
        <v>3754.15</v>
      </c>
      <c r="AM319" s="28">
        <v>675.75</v>
      </c>
      <c r="AN319" s="28">
        <v>4429.8999999999996</v>
      </c>
      <c r="BN319"/>
      <c r="BO319"/>
      <c r="BQ319"/>
      <c r="BR319"/>
    </row>
    <row r="320" spans="4:70" ht="15">
      <c r="D320" s="19" t="s">
        <v>2132</v>
      </c>
      <c r="E320" s="28">
        <v>1</v>
      </c>
      <c r="AD320" s="19" t="s">
        <v>2127</v>
      </c>
      <c r="AE320" s="28">
        <v>1</v>
      </c>
      <c r="AF320" s="28">
        <v>3754.15</v>
      </c>
      <c r="AG320" s="28">
        <v>675.75</v>
      </c>
      <c r="AH320" s="28">
        <v>4429.8999999999996</v>
      </c>
      <c r="AJ320" s="19" t="s">
        <v>800</v>
      </c>
      <c r="AK320" s="28">
        <v>1</v>
      </c>
      <c r="AL320" s="28">
        <v>1400</v>
      </c>
      <c r="AM320" s="28">
        <v>252</v>
      </c>
      <c r="AN320" s="28">
        <v>1652</v>
      </c>
      <c r="BN320"/>
      <c r="BO320"/>
      <c r="BQ320"/>
      <c r="BR320"/>
    </row>
    <row r="321" spans="4:70" ht="15">
      <c r="D321" s="19" t="s">
        <v>2133</v>
      </c>
      <c r="E321" s="28">
        <v>1</v>
      </c>
      <c r="AD321" s="19" t="s">
        <v>2126</v>
      </c>
      <c r="AE321" s="28">
        <v>1</v>
      </c>
      <c r="AF321" s="28">
        <v>1400</v>
      </c>
      <c r="AG321" s="28">
        <v>252</v>
      </c>
      <c r="AH321" s="28">
        <v>1652</v>
      </c>
      <c r="AJ321" s="19" t="s">
        <v>798</v>
      </c>
      <c r="AK321" s="28">
        <v>1</v>
      </c>
      <c r="AL321" s="28">
        <v>1400</v>
      </c>
      <c r="AM321" s="28">
        <v>252</v>
      </c>
      <c r="AN321" s="28">
        <v>1652</v>
      </c>
      <c r="BN321"/>
      <c r="BO321"/>
      <c r="BQ321"/>
      <c r="BR321"/>
    </row>
    <row r="322" spans="4:70" ht="15">
      <c r="D322" s="19" t="s">
        <v>2134</v>
      </c>
      <c r="E322" s="28">
        <v>1</v>
      </c>
      <c r="AD322" s="19" t="s">
        <v>2125</v>
      </c>
      <c r="AE322" s="28">
        <v>1</v>
      </c>
      <c r="AF322" s="28">
        <v>1400</v>
      </c>
      <c r="AG322" s="28">
        <v>252</v>
      </c>
      <c r="AH322" s="28">
        <v>1652</v>
      </c>
      <c r="AJ322" s="19" t="s">
        <v>796</v>
      </c>
      <c r="AK322" s="28">
        <v>1</v>
      </c>
      <c r="AL322" s="28">
        <v>1</v>
      </c>
      <c r="AM322" s="28">
        <v>0.18</v>
      </c>
      <c r="AN322" s="28">
        <v>1.18</v>
      </c>
      <c r="BN322"/>
      <c r="BO322"/>
      <c r="BQ322"/>
      <c r="BR322"/>
    </row>
    <row r="323" spans="4:70" ht="15">
      <c r="D323" s="19" t="s">
        <v>2135</v>
      </c>
      <c r="E323" s="28">
        <v>1</v>
      </c>
      <c r="AD323" s="19" t="s">
        <v>2124</v>
      </c>
      <c r="AE323" s="28">
        <v>1</v>
      </c>
      <c r="AF323" s="28">
        <v>1</v>
      </c>
      <c r="AG323" s="28">
        <v>0.18</v>
      </c>
      <c r="AH323" s="28">
        <v>1.18</v>
      </c>
      <c r="AJ323" s="19" t="s">
        <v>794</v>
      </c>
      <c r="AK323" s="28">
        <v>1</v>
      </c>
      <c r="AL323" s="28">
        <v>59.07</v>
      </c>
      <c r="AM323" s="28">
        <v>10.63</v>
      </c>
      <c r="AN323" s="28">
        <v>69.7</v>
      </c>
      <c r="BN323"/>
      <c r="BO323"/>
      <c r="BQ323"/>
      <c r="BR323"/>
    </row>
    <row r="324" spans="4:70" ht="15">
      <c r="D324" s="19" t="s">
        <v>2136</v>
      </c>
      <c r="E324" s="28">
        <v>1</v>
      </c>
      <c r="AD324" s="19" t="s">
        <v>2123</v>
      </c>
      <c r="AE324" s="28">
        <v>1</v>
      </c>
      <c r="AF324" s="28">
        <v>59.07</v>
      </c>
      <c r="AG324" s="28">
        <v>10.63</v>
      </c>
      <c r="AH324" s="28">
        <v>69.7</v>
      </c>
      <c r="AJ324" s="19" t="s">
        <v>791</v>
      </c>
      <c r="AK324" s="28">
        <v>1</v>
      </c>
      <c r="AL324" s="28">
        <v>97.37</v>
      </c>
      <c r="AM324" s="28">
        <v>17.53</v>
      </c>
      <c r="AN324" s="28">
        <v>114.9</v>
      </c>
      <c r="BN324"/>
      <c r="BO324"/>
      <c r="BQ324"/>
      <c r="BR324"/>
    </row>
    <row r="325" spans="4:70" ht="15">
      <c r="D325" s="19" t="s">
        <v>2137</v>
      </c>
      <c r="E325" s="28">
        <v>1</v>
      </c>
      <c r="AD325" s="19" t="s">
        <v>2122</v>
      </c>
      <c r="AE325" s="28">
        <v>1</v>
      </c>
      <c r="AF325" s="28">
        <v>97.37</v>
      </c>
      <c r="AG325" s="28">
        <v>17.53</v>
      </c>
      <c r="AH325" s="28">
        <v>114.9</v>
      </c>
      <c r="AJ325" s="19" t="s">
        <v>789</v>
      </c>
      <c r="AK325" s="28">
        <v>1</v>
      </c>
      <c r="AL325" s="28">
        <v>33.22</v>
      </c>
      <c r="AM325" s="28">
        <v>5.98</v>
      </c>
      <c r="AN325" s="28">
        <v>39.200000000000003</v>
      </c>
      <c r="BN325"/>
      <c r="BO325"/>
      <c r="BQ325"/>
      <c r="BR325"/>
    </row>
    <row r="326" spans="4:70" ht="15">
      <c r="D326" s="19" t="s">
        <v>2138</v>
      </c>
      <c r="E326" s="28">
        <v>1</v>
      </c>
      <c r="AD326" s="19" t="s">
        <v>2121</v>
      </c>
      <c r="AE326" s="28">
        <v>1</v>
      </c>
      <c r="AF326" s="28">
        <v>33.22</v>
      </c>
      <c r="AG326" s="28">
        <v>5.98</v>
      </c>
      <c r="AH326" s="28">
        <v>39.200000000000003</v>
      </c>
      <c r="AJ326" s="19" t="s">
        <v>787</v>
      </c>
      <c r="AK326" s="28">
        <v>1</v>
      </c>
      <c r="AL326" s="28">
        <v>54.75</v>
      </c>
      <c r="AM326" s="28">
        <v>9.85</v>
      </c>
      <c r="AN326" s="28">
        <v>64.599999999999994</v>
      </c>
      <c r="BN326"/>
      <c r="BO326"/>
      <c r="BQ326"/>
      <c r="BR326"/>
    </row>
    <row r="327" spans="4:70" ht="15">
      <c r="D327" s="19" t="s">
        <v>2139</v>
      </c>
      <c r="E327" s="28">
        <v>1</v>
      </c>
      <c r="AD327" s="19" t="s">
        <v>2120</v>
      </c>
      <c r="AE327" s="28">
        <v>1</v>
      </c>
      <c r="AF327" s="28">
        <v>54.75</v>
      </c>
      <c r="AG327" s="28">
        <v>9.85</v>
      </c>
      <c r="AH327" s="28">
        <v>64.599999999999994</v>
      </c>
      <c r="AJ327" s="19" t="s">
        <v>785</v>
      </c>
      <c r="AK327" s="28">
        <v>1</v>
      </c>
      <c r="AL327" s="28">
        <v>66.69</v>
      </c>
      <c r="AM327" s="28">
        <v>12.01</v>
      </c>
      <c r="AN327" s="28">
        <v>78.7</v>
      </c>
      <c r="BN327"/>
      <c r="BO327"/>
      <c r="BQ327"/>
      <c r="BR327"/>
    </row>
    <row r="328" spans="4:70" ht="15">
      <c r="D328" s="19" t="s">
        <v>2140</v>
      </c>
      <c r="E328" s="28">
        <v>1</v>
      </c>
      <c r="AD328" s="19" t="s">
        <v>2119</v>
      </c>
      <c r="AE328" s="28">
        <v>1</v>
      </c>
      <c r="AF328" s="28">
        <v>66.69</v>
      </c>
      <c r="AG328" s="28">
        <v>12.01</v>
      </c>
      <c r="AH328" s="28">
        <v>78.7</v>
      </c>
      <c r="AJ328" s="19" t="s">
        <v>783</v>
      </c>
      <c r="AK328" s="28">
        <v>1</v>
      </c>
      <c r="AL328" s="28">
        <v>106.95</v>
      </c>
      <c r="AM328" s="28">
        <v>19.25</v>
      </c>
      <c r="AN328" s="28">
        <v>126.2</v>
      </c>
      <c r="BN328"/>
      <c r="BO328"/>
      <c r="BQ328"/>
      <c r="BR328"/>
    </row>
    <row r="329" spans="4:70" ht="15">
      <c r="D329" s="19" t="s">
        <v>2141</v>
      </c>
      <c r="E329" s="28">
        <v>1</v>
      </c>
      <c r="AD329" s="19" t="s">
        <v>2118</v>
      </c>
      <c r="AE329" s="28">
        <v>1</v>
      </c>
      <c r="AF329" s="28">
        <v>106.95</v>
      </c>
      <c r="AG329" s="28">
        <v>19.25</v>
      </c>
      <c r="AH329" s="28">
        <v>126.2</v>
      </c>
      <c r="AJ329" s="19" t="s">
        <v>781</v>
      </c>
      <c r="AK329" s="28">
        <v>1</v>
      </c>
      <c r="AL329" s="28">
        <v>289.32</v>
      </c>
      <c r="AM329" s="28">
        <v>52.08</v>
      </c>
      <c r="AN329" s="28">
        <v>341.4</v>
      </c>
      <c r="BN329"/>
      <c r="BO329"/>
      <c r="BQ329"/>
      <c r="BR329"/>
    </row>
    <row r="330" spans="4:70" ht="15">
      <c r="D330" s="19" t="s">
        <v>2142</v>
      </c>
      <c r="E330" s="28">
        <v>1</v>
      </c>
      <c r="AD330" s="19" t="s">
        <v>2117</v>
      </c>
      <c r="AE330" s="28">
        <v>1</v>
      </c>
      <c r="AF330" s="28">
        <v>289.32</v>
      </c>
      <c r="AG330" s="28">
        <v>52.08</v>
      </c>
      <c r="AH330" s="28">
        <v>341.4</v>
      </c>
      <c r="AJ330" s="19" t="s">
        <v>779</v>
      </c>
      <c r="AK330" s="28">
        <v>1</v>
      </c>
      <c r="AL330" s="28">
        <v>400.93</v>
      </c>
      <c r="AM330" s="28">
        <v>72.17</v>
      </c>
      <c r="AN330" s="28">
        <v>473.1</v>
      </c>
      <c r="BN330"/>
      <c r="BO330"/>
      <c r="BQ330"/>
      <c r="BR330"/>
    </row>
    <row r="331" spans="4:70" ht="15">
      <c r="D331" s="19" t="s">
        <v>2143</v>
      </c>
      <c r="E331" s="28">
        <v>1</v>
      </c>
      <c r="AD331" s="19" t="s">
        <v>2116</v>
      </c>
      <c r="AE331" s="28">
        <v>1</v>
      </c>
      <c r="AF331" s="28">
        <v>400.93</v>
      </c>
      <c r="AG331" s="28">
        <v>72.17</v>
      </c>
      <c r="AH331" s="28">
        <v>473.1</v>
      </c>
      <c r="AJ331" s="19" t="s">
        <v>777</v>
      </c>
      <c r="AK331" s="28">
        <v>1</v>
      </c>
      <c r="AL331" s="28">
        <v>5</v>
      </c>
      <c r="AM331" s="28">
        <v>0.9</v>
      </c>
      <c r="AN331" s="28">
        <v>5.9</v>
      </c>
      <c r="BN331"/>
      <c r="BO331"/>
      <c r="BQ331"/>
      <c r="BR331"/>
    </row>
    <row r="332" spans="4:70" ht="15">
      <c r="D332" s="19" t="s">
        <v>2144</v>
      </c>
      <c r="E332" s="28">
        <v>1</v>
      </c>
      <c r="AD332" s="19" t="s">
        <v>2115</v>
      </c>
      <c r="AE332" s="28">
        <v>1</v>
      </c>
      <c r="AF332" s="28">
        <v>5</v>
      </c>
      <c r="AG332" s="28">
        <v>0.9</v>
      </c>
      <c r="AH332" s="28">
        <v>5.9</v>
      </c>
      <c r="AJ332" s="19" t="s">
        <v>775</v>
      </c>
      <c r="AK332" s="28">
        <v>1</v>
      </c>
      <c r="AL332" s="28">
        <v>187.63</v>
      </c>
      <c r="AM332" s="28">
        <v>33.770000000000003</v>
      </c>
      <c r="AN332" s="28">
        <v>221.4</v>
      </c>
      <c r="BN332"/>
      <c r="BO332"/>
      <c r="BQ332"/>
      <c r="BR332"/>
    </row>
    <row r="333" spans="4:70" ht="15">
      <c r="D333" s="19" t="s">
        <v>2145</v>
      </c>
      <c r="E333" s="28">
        <v>1</v>
      </c>
      <c r="AD333" s="19" t="s">
        <v>2114</v>
      </c>
      <c r="AE333" s="28">
        <v>1</v>
      </c>
      <c r="AF333" s="28">
        <v>187.63</v>
      </c>
      <c r="AG333" s="28">
        <v>33.770000000000003</v>
      </c>
      <c r="AH333" s="28">
        <v>221.4</v>
      </c>
      <c r="AJ333" s="19" t="s">
        <v>773</v>
      </c>
      <c r="AK333" s="28">
        <v>1</v>
      </c>
      <c r="AL333" s="28">
        <v>170</v>
      </c>
      <c r="AM333" s="28">
        <v>30.6</v>
      </c>
      <c r="AN333" s="28">
        <v>200.6</v>
      </c>
      <c r="BN333"/>
      <c r="BO333"/>
      <c r="BQ333"/>
      <c r="BR333"/>
    </row>
    <row r="334" spans="4:70" ht="15">
      <c r="D334" s="19" t="s">
        <v>2146</v>
      </c>
      <c r="E334" s="28">
        <v>1</v>
      </c>
      <c r="AD334" s="19" t="s">
        <v>2113</v>
      </c>
      <c r="AE334" s="28">
        <v>1</v>
      </c>
      <c r="AF334" s="28">
        <v>170</v>
      </c>
      <c r="AG334" s="28">
        <v>30.6</v>
      </c>
      <c r="AH334" s="28">
        <v>200.6</v>
      </c>
      <c r="AJ334" s="19" t="s">
        <v>771</v>
      </c>
      <c r="AK334" s="28">
        <v>1</v>
      </c>
      <c r="AL334" s="28">
        <v>5640.85</v>
      </c>
      <c r="AM334" s="28">
        <v>1015.35</v>
      </c>
      <c r="AN334" s="28">
        <v>6656.2</v>
      </c>
      <c r="BN334"/>
      <c r="BO334"/>
      <c r="BQ334"/>
      <c r="BR334"/>
    </row>
    <row r="335" spans="4:70" ht="15">
      <c r="D335" s="19" t="s">
        <v>2147</v>
      </c>
      <c r="E335" s="28">
        <v>1</v>
      </c>
      <c r="AD335" s="19" t="s">
        <v>2112</v>
      </c>
      <c r="AE335" s="28">
        <v>1</v>
      </c>
      <c r="AF335" s="28">
        <v>5640.85</v>
      </c>
      <c r="AG335" s="28">
        <v>1015.35</v>
      </c>
      <c r="AH335" s="28">
        <v>6656.2</v>
      </c>
      <c r="AJ335" s="19" t="s">
        <v>769</v>
      </c>
      <c r="AK335" s="28">
        <v>1</v>
      </c>
      <c r="AL335" s="28">
        <v>6508.39</v>
      </c>
      <c r="AM335" s="28">
        <v>1171.51</v>
      </c>
      <c r="AN335" s="28">
        <v>7679.9</v>
      </c>
      <c r="BN335"/>
      <c r="BO335"/>
      <c r="BQ335"/>
      <c r="BR335"/>
    </row>
    <row r="336" spans="4:70" ht="15">
      <c r="D336" s="19" t="s">
        <v>2148</v>
      </c>
      <c r="E336" s="28">
        <v>1</v>
      </c>
      <c r="AD336" s="19" t="s">
        <v>2111</v>
      </c>
      <c r="AE336" s="28">
        <v>1</v>
      </c>
      <c r="AF336" s="28">
        <v>6508.39</v>
      </c>
      <c r="AG336" s="28">
        <v>1171.51</v>
      </c>
      <c r="AH336" s="28">
        <v>7679.9</v>
      </c>
      <c r="AJ336" s="19" t="s">
        <v>767</v>
      </c>
      <c r="AK336" s="28">
        <v>1</v>
      </c>
      <c r="AL336" s="28">
        <v>100</v>
      </c>
      <c r="AM336" s="28">
        <v>18</v>
      </c>
      <c r="AN336" s="28">
        <v>118</v>
      </c>
      <c r="BN336"/>
      <c r="BO336"/>
      <c r="BQ336"/>
      <c r="BR336"/>
    </row>
    <row r="337" spans="4:70" ht="15">
      <c r="D337" s="19" t="s">
        <v>2149</v>
      </c>
      <c r="E337" s="28">
        <v>1</v>
      </c>
      <c r="AD337" s="19" t="s">
        <v>2110</v>
      </c>
      <c r="AE337" s="28">
        <v>1</v>
      </c>
      <c r="AF337" s="28">
        <v>100</v>
      </c>
      <c r="AG337" s="28">
        <v>18</v>
      </c>
      <c r="AH337" s="28">
        <v>118</v>
      </c>
      <c r="AJ337" s="19" t="s">
        <v>765</v>
      </c>
      <c r="AK337" s="28">
        <v>1</v>
      </c>
      <c r="AL337" s="28">
        <v>100</v>
      </c>
      <c r="AM337" s="28">
        <v>18</v>
      </c>
      <c r="AN337" s="28">
        <v>118</v>
      </c>
      <c r="BN337"/>
      <c r="BO337"/>
      <c r="BQ337"/>
      <c r="BR337"/>
    </row>
    <row r="338" spans="4:70" ht="15">
      <c r="D338" s="19" t="s">
        <v>2150</v>
      </c>
      <c r="E338" s="28">
        <v>1</v>
      </c>
      <c r="AD338" s="19" t="s">
        <v>2109</v>
      </c>
      <c r="AE338" s="28">
        <v>1</v>
      </c>
      <c r="AF338" s="28">
        <v>100</v>
      </c>
      <c r="AG338" s="28">
        <v>18</v>
      </c>
      <c r="AH338" s="28">
        <v>118</v>
      </c>
      <c r="AJ338" s="19" t="s">
        <v>762</v>
      </c>
      <c r="AK338" s="28">
        <v>1</v>
      </c>
      <c r="AL338" s="28">
        <v>25.35</v>
      </c>
      <c r="AM338" s="28">
        <v>4.5599999999999996</v>
      </c>
      <c r="AN338" s="28">
        <v>29.91</v>
      </c>
      <c r="BN338"/>
      <c r="BO338"/>
      <c r="BQ338"/>
      <c r="BR338"/>
    </row>
    <row r="339" spans="4:70" ht="15">
      <c r="D339" s="19" t="s">
        <v>2151</v>
      </c>
      <c r="E339" s="28">
        <v>1</v>
      </c>
      <c r="AD339" s="19" t="s">
        <v>2108</v>
      </c>
      <c r="AE339" s="28">
        <v>1</v>
      </c>
      <c r="AF339" s="28">
        <v>25.35</v>
      </c>
      <c r="AG339" s="28">
        <v>4.5599999999999996</v>
      </c>
      <c r="AH339" s="28">
        <v>29.91</v>
      </c>
      <c r="AJ339" s="19" t="s">
        <v>736</v>
      </c>
      <c r="AK339" s="28">
        <v>1</v>
      </c>
      <c r="AL339" s="28">
        <v>177.63</v>
      </c>
      <c r="AM339" s="28">
        <v>31.97</v>
      </c>
      <c r="AN339" s="28">
        <v>209.6</v>
      </c>
      <c r="BN339"/>
      <c r="BO339"/>
      <c r="BQ339"/>
      <c r="BR339"/>
    </row>
    <row r="340" spans="4:70" ht="15">
      <c r="D340" s="19" t="s">
        <v>2152</v>
      </c>
      <c r="E340" s="28">
        <v>1</v>
      </c>
      <c r="AD340" s="19" t="s">
        <v>2080</v>
      </c>
      <c r="AE340" s="28">
        <v>1</v>
      </c>
      <c r="AF340" s="28">
        <v>177.63</v>
      </c>
      <c r="AG340" s="28">
        <v>31.97</v>
      </c>
      <c r="AH340" s="28">
        <v>209.6</v>
      </c>
      <c r="AJ340" s="19" t="s">
        <v>734</v>
      </c>
      <c r="AK340" s="28">
        <v>1</v>
      </c>
      <c r="AL340" s="28">
        <v>276.52999999999997</v>
      </c>
      <c r="AM340" s="28">
        <v>49.77</v>
      </c>
      <c r="AN340" s="28">
        <v>326.3</v>
      </c>
      <c r="BN340"/>
      <c r="BO340"/>
      <c r="BQ340"/>
      <c r="BR340"/>
    </row>
    <row r="341" spans="4:70" ht="15">
      <c r="D341" s="19" t="s">
        <v>2153</v>
      </c>
      <c r="E341" s="28">
        <v>1</v>
      </c>
      <c r="AD341" s="19" t="s">
        <v>2079</v>
      </c>
      <c r="AE341" s="28">
        <v>1</v>
      </c>
      <c r="AF341" s="28">
        <v>276.52999999999997</v>
      </c>
      <c r="AG341" s="28">
        <v>49.77</v>
      </c>
      <c r="AH341" s="28">
        <v>326.3</v>
      </c>
      <c r="AJ341" s="19" t="s">
        <v>731</v>
      </c>
      <c r="AK341" s="28">
        <v>1</v>
      </c>
      <c r="AL341" s="28">
        <v>2</v>
      </c>
      <c r="AM341" s="28">
        <v>0.36</v>
      </c>
      <c r="AN341" s="28">
        <v>2.36</v>
      </c>
      <c r="BN341"/>
      <c r="BO341"/>
      <c r="BQ341"/>
      <c r="BR341"/>
    </row>
    <row r="342" spans="4:70" ht="15">
      <c r="D342" s="19" t="s">
        <v>2154</v>
      </c>
      <c r="E342" s="28">
        <v>1</v>
      </c>
      <c r="AD342" s="19" t="s">
        <v>2078</v>
      </c>
      <c r="AE342" s="28">
        <v>1</v>
      </c>
      <c r="AF342" s="28">
        <v>2</v>
      </c>
      <c r="AG342" s="28">
        <v>0.36</v>
      </c>
      <c r="AH342" s="28">
        <v>2.36</v>
      </c>
      <c r="AJ342" s="19" t="s">
        <v>729</v>
      </c>
      <c r="AK342" s="28">
        <v>1</v>
      </c>
      <c r="AL342" s="28">
        <v>777.2</v>
      </c>
      <c r="AM342" s="28">
        <v>139.9</v>
      </c>
      <c r="AN342" s="28">
        <v>917.1</v>
      </c>
      <c r="BN342"/>
      <c r="BO342"/>
      <c r="BQ342"/>
      <c r="BR342"/>
    </row>
    <row r="343" spans="4:70" ht="15">
      <c r="D343" s="19" t="s">
        <v>2155</v>
      </c>
      <c r="E343" s="28">
        <v>1</v>
      </c>
      <c r="AD343" s="19" t="s">
        <v>2077</v>
      </c>
      <c r="AE343" s="28">
        <v>1</v>
      </c>
      <c r="AF343" s="28">
        <v>777.2</v>
      </c>
      <c r="AG343" s="28">
        <v>139.9</v>
      </c>
      <c r="AH343" s="28">
        <v>917.1</v>
      </c>
      <c r="AJ343" s="19" t="s">
        <v>726</v>
      </c>
      <c r="AK343" s="28">
        <v>1</v>
      </c>
      <c r="AL343" s="28">
        <v>967.12</v>
      </c>
      <c r="AM343" s="28">
        <v>174.08</v>
      </c>
      <c r="AN343" s="28">
        <v>1141.2</v>
      </c>
      <c r="BN343"/>
      <c r="BO343"/>
      <c r="BQ343"/>
      <c r="BR343"/>
    </row>
    <row r="344" spans="4:70" ht="15">
      <c r="D344" s="19" t="s">
        <v>2156</v>
      </c>
      <c r="E344" s="28">
        <v>1</v>
      </c>
      <c r="AD344" s="19" t="s">
        <v>2076</v>
      </c>
      <c r="AE344" s="28">
        <v>1</v>
      </c>
      <c r="AF344" s="28">
        <v>967.12</v>
      </c>
      <c r="AG344" s="28">
        <v>174.08</v>
      </c>
      <c r="AH344" s="28">
        <v>1141.2</v>
      </c>
      <c r="AJ344" s="19" t="s">
        <v>724</v>
      </c>
      <c r="AK344" s="28">
        <v>1</v>
      </c>
      <c r="AL344" s="28">
        <v>159.29</v>
      </c>
      <c r="AM344" s="28">
        <v>28.67</v>
      </c>
      <c r="AN344" s="28">
        <v>187.96</v>
      </c>
      <c r="BN344"/>
      <c r="BO344"/>
      <c r="BQ344"/>
      <c r="BR344"/>
    </row>
    <row r="345" spans="4:70" ht="15">
      <c r="D345" s="19" t="s">
        <v>2157</v>
      </c>
      <c r="E345" s="28">
        <v>1</v>
      </c>
      <c r="AD345" s="19" t="s">
        <v>2073</v>
      </c>
      <c r="AE345" s="28">
        <v>1</v>
      </c>
      <c r="AF345" s="28">
        <v>159.29</v>
      </c>
      <c r="AG345" s="28">
        <v>28.67</v>
      </c>
      <c r="AH345" s="28">
        <v>187.96</v>
      </c>
      <c r="AJ345" s="19" t="s">
        <v>721</v>
      </c>
      <c r="AK345" s="28">
        <v>1</v>
      </c>
      <c r="AL345" s="28">
        <v>274.92</v>
      </c>
      <c r="AM345" s="28">
        <v>49.48</v>
      </c>
      <c r="AN345" s="28">
        <v>324.39999999999998</v>
      </c>
      <c r="BN345"/>
      <c r="BO345"/>
      <c r="BQ345"/>
      <c r="BR345"/>
    </row>
    <row r="346" spans="4:70" ht="15">
      <c r="D346" s="19" t="s">
        <v>2158</v>
      </c>
      <c r="E346" s="28">
        <v>1</v>
      </c>
      <c r="AD346" s="19" t="s">
        <v>2072</v>
      </c>
      <c r="AE346" s="28">
        <v>1</v>
      </c>
      <c r="AF346" s="28">
        <v>274.92</v>
      </c>
      <c r="AG346" s="28">
        <v>49.48</v>
      </c>
      <c r="AH346" s="28">
        <v>324.39999999999998</v>
      </c>
      <c r="AJ346" s="19" t="s">
        <v>719</v>
      </c>
      <c r="AK346" s="28">
        <v>1</v>
      </c>
      <c r="AL346" s="28">
        <v>27.46</v>
      </c>
      <c r="AM346" s="28">
        <v>4.9400000000000004</v>
      </c>
      <c r="AN346" s="28">
        <v>32.4</v>
      </c>
      <c r="BN346"/>
      <c r="BO346"/>
      <c r="BQ346"/>
      <c r="BR346"/>
    </row>
    <row r="347" spans="4:70" ht="15">
      <c r="D347" s="19" t="s">
        <v>2159</v>
      </c>
      <c r="E347" s="28">
        <v>1</v>
      </c>
      <c r="AD347" s="19" t="s">
        <v>2065</v>
      </c>
      <c r="AE347" s="28">
        <v>1</v>
      </c>
      <c r="AF347" s="28">
        <v>27.46</v>
      </c>
      <c r="AG347" s="28">
        <v>4.9400000000000004</v>
      </c>
      <c r="AH347" s="28">
        <v>32.4</v>
      </c>
      <c r="AJ347" s="19" t="s">
        <v>717</v>
      </c>
      <c r="AK347" s="28">
        <v>1</v>
      </c>
      <c r="AL347" s="28">
        <v>41.1</v>
      </c>
      <c r="AM347" s="28">
        <v>7.4</v>
      </c>
      <c r="AN347" s="28">
        <v>48.5</v>
      </c>
      <c r="BN347"/>
      <c r="BO347"/>
      <c r="BQ347"/>
      <c r="BR347"/>
    </row>
    <row r="348" spans="4:70" ht="15">
      <c r="D348" s="19" t="s">
        <v>2160</v>
      </c>
      <c r="E348" s="28">
        <v>1</v>
      </c>
      <c r="AD348" s="19" t="s">
        <v>2064</v>
      </c>
      <c r="AE348" s="28">
        <v>1</v>
      </c>
      <c r="AF348" s="28">
        <v>41.1</v>
      </c>
      <c r="AG348" s="28">
        <v>7.4</v>
      </c>
      <c r="AH348" s="28">
        <v>48.5</v>
      </c>
      <c r="AJ348" s="19" t="s">
        <v>715</v>
      </c>
      <c r="AK348" s="28">
        <v>1</v>
      </c>
      <c r="AL348" s="28">
        <v>6.36</v>
      </c>
      <c r="AM348" s="28">
        <v>1.1399999999999999</v>
      </c>
      <c r="AN348" s="28">
        <v>7.5</v>
      </c>
      <c r="BN348"/>
      <c r="BO348"/>
      <c r="BQ348"/>
      <c r="BR348"/>
    </row>
    <row r="349" spans="4:70" ht="15">
      <c r="D349" s="19" t="s">
        <v>2161</v>
      </c>
      <c r="E349" s="28">
        <v>1</v>
      </c>
      <c r="AD349" s="19" t="s">
        <v>2063</v>
      </c>
      <c r="AE349" s="28">
        <v>1</v>
      </c>
      <c r="AF349" s="28">
        <v>6.36</v>
      </c>
      <c r="AG349" s="28">
        <v>1.1399999999999999</v>
      </c>
      <c r="AH349" s="28">
        <v>7.5</v>
      </c>
      <c r="AJ349" s="19" t="s">
        <v>713</v>
      </c>
      <c r="AK349" s="28">
        <v>1</v>
      </c>
      <c r="AL349" s="28">
        <v>11.44</v>
      </c>
      <c r="AM349" s="28">
        <v>2.06</v>
      </c>
      <c r="AN349" s="28">
        <v>13.5</v>
      </c>
      <c r="BN349"/>
      <c r="BO349"/>
      <c r="BQ349"/>
      <c r="BR349"/>
    </row>
    <row r="350" spans="4:70" ht="15">
      <c r="D350" s="19" t="s">
        <v>2162</v>
      </c>
      <c r="E350" s="28">
        <v>1</v>
      </c>
      <c r="AD350" s="19" t="s">
        <v>2062</v>
      </c>
      <c r="AE350" s="28">
        <v>1</v>
      </c>
      <c r="AF350" s="28">
        <v>11.44</v>
      </c>
      <c r="AG350" s="28">
        <v>2.06</v>
      </c>
      <c r="AH350" s="28">
        <v>13.5</v>
      </c>
      <c r="AJ350" s="19" t="s">
        <v>711</v>
      </c>
      <c r="AK350" s="28">
        <v>1</v>
      </c>
      <c r="AL350" s="28">
        <v>16</v>
      </c>
      <c r="AM350" s="28">
        <v>2.88</v>
      </c>
      <c r="AN350" s="28">
        <v>18.88</v>
      </c>
      <c r="BN350"/>
      <c r="BO350"/>
      <c r="BQ350"/>
      <c r="BR350"/>
    </row>
    <row r="351" spans="4:70" ht="15">
      <c r="D351" s="19" t="s">
        <v>2163</v>
      </c>
      <c r="E351" s="28">
        <v>1</v>
      </c>
      <c r="AD351" s="19" t="s">
        <v>2061</v>
      </c>
      <c r="AE351" s="28">
        <v>1</v>
      </c>
      <c r="AF351" s="28">
        <v>16</v>
      </c>
      <c r="AG351" s="28">
        <v>2.88</v>
      </c>
      <c r="AH351" s="28">
        <v>18.88</v>
      </c>
      <c r="AJ351" s="19" t="s">
        <v>709</v>
      </c>
      <c r="AK351" s="28">
        <v>1</v>
      </c>
      <c r="AL351" s="28">
        <v>16.809999999999999</v>
      </c>
      <c r="AM351" s="28">
        <v>3.03</v>
      </c>
      <c r="AN351" s="28">
        <v>19.84</v>
      </c>
      <c r="BN351"/>
      <c r="BO351"/>
      <c r="BQ351"/>
      <c r="BR351"/>
    </row>
    <row r="352" spans="4:70" ht="15">
      <c r="D352" s="19" t="s">
        <v>2164</v>
      </c>
      <c r="E352" s="28">
        <v>1</v>
      </c>
      <c r="AD352" s="19" t="s">
        <v>2060</v>
      </c>
      <c r="AE352" s="28">
        <v>1</v>
      </c>
      <c r="AF352" s="28">
        <v>16.809999999999999</v>
      </c>
      <c r="AG352" s="28">
        <v>3.03</v>
      </c>
      <c r="AH352" s="28">
        <v>19.84</v>
      </c>
      <c r="AJ352" s="19" t="s">
        <v>707</v>
      </c>
      <c r="AK352" s="28">
        <v>1</v>
      </c>
      <c r="AL352" s="28">
        <v>2103.31</v>
      </c>
      <c r="AM352" s="28">
        <v>378.59</v>
      </c>
      <c r="AN352" s="28">
        <v>2481.9</v>
      </c>
      <c r="BN352"/>
      <c r="BO352"/>
      <c r="BQ352"/>
      <c r="BR352"/>
    </row>
    <row r="353" spans="4:70" ht="15">
      <c r="D353" s="19" t="s">
        <v>2165</v>
      </c>
      <c r="E353" s="28">
        <v>1</v>
      </c>
      <c r="AD353" s="19" t="s">
        <v>2059</v>
      </c>
      <c r="AE353" s="28">
        <v>1</v>
      </c>
      <c r="AF353" s="28">
        <v>2103.31</v>
      </c>
      <c r="AG353" s="28">
        <v>378.59</v>
      </c>
      <c r="AH353" s="28">
        <v>2481.9</v>
      </c>
      <c r="AJ353" s="19" t="s">
        <v>705</v>
      </c>
      <c r="AK353" s="28">
        <v>1</v>
      </c>
      <c r="AL353" s="28">
        <v>3585.68</v>
      </c>
      <c r="AM353" s="28">
        <v>645.41999999999996</v>
      </c>
      <c r="AN353" s="28">
        <v>4231.1000000000004</v>
      </c>
      <c r="BN353"/>
      <c r="BO353"/>
      <c r="BQ353"/>
      <c r="BR353"/>
    </row>
    <row r="354" spans="4:70" ht="15">
      <c r="D354" s="19" t="s">
        <v>2166</v>
      </c>
      <c r="E354" s="28">
        <v>1</v>
      </c>
      <c r="AD354" s="19" t="s">
        <v>2058</v>
      </c>
      <c r="AE354" s="28">
        <v>1</v>
      </c>
      <c r="AF354" s="28">
        <v>3585.68</v>
      </c>
      <c r="AG354" s="28">
        <v>645.41999999999996</v>
      </c>
      <c r="AH354" s="28">
        <v>4231.1000000000004</v>
      </c>
      <c r="AJ354" s="19" t="s">
        <v>703</v>
      </c>
      <c r="AK354" s="28">
        <v>1</v>
      </c>
      <c r="AL354" s="28">
        <v>1575</v>
      </c>
      <c r="AM354" s="28">
        <v>283.5</v>
      </c>
      <c r="AN354" s="28">
        <v>1858.5</v>
      </c>
      <c r="BN354"/>
      <c r="BO354"/>
      <c r="BQ354"/>
      <c r="BR354"/>
    </row>
    <row r="355" spans="4:70" ht="15">
      <c r="D355" s="19" t="s">
        <v>2167</v>
      </c>
      <c r="E355" s="28">
        <v>1</v>
      </c>
      <c r="AD355" s="19" t="s">
        <v>2057</v>
      </c>
      <c r="AE355" s="28">
        <v>1</v>
      </c>
      <c r="AF355" s="28">
        <v>1575</v>
      </c>
      <c r="AG355" s="28">
        <v>283.5</v>
      </c>
      <c r="AH355" s="28">
        <v>1858.5</v>
      </c>
      <c r="AJ355" s="19" t="s">
        <v>701</v>
      </c>
      <c r="AK355" s="28">
        <v>1</v>
      </c>
      <c r="AL355" s="28">
        <v>750</v>
      </c>
      <c r="AM355" s="28">
        <v>135</v>
      </c>
      <c r="AN355" s="28">
        <v>885</v>
      </c>
      <c r="BN355"/>
      <c r="BO355"/>
      <c r="BQ355"/>
      <c r="BR355"/>
    </row>
    <row r="356" spans="4:70" ht="15">
      <c r="D356" s="19" t="s">
        <v>2168</v>
      </c>
      <c r="E356" s="28">
        <v>1</v>
      </c>
      <c r="AD356" s="19" t="s">
        <v>2056</v>
      </c>
      <c r="AE356" s="28">
        <v>1</v>
      </c>
      <c r="AF356" s="28">
        <v>750</v>
      </c>
      <c r="AG356" s="28">
        <v>135</v>
      </c>
      <c r="AH356" s="28">
        <v>885</v>
      </c>
      <c r="AJ356" s="19" t="s">
        <v>699</v>
      </c>
      <c r="AK356" s="28">
        <v>1</v>
      </c>
      <c r="AL356" s="28">
        <v>20</v>
      </c>
      <c r="AM356" s="28">
        <v>3.6</v>
      </c>
      <c r="AN356" s="28">
        <v>23.6</v>
      </c>
      <c r="BN356"/>
      <c r="BO356"/>
      <c r="BQ356"/>
      <c r="BR356"/>
    </row>
    <row r="357" spans="4:70" ht="15">
      <c r="D357" s="19" t="s">
        <v>2169</v>
      </c>
      <c r="E357" s="28">
        <v>1</v>
      </c>
      <c r="AD357" s="19" t="s">
        <v>2055</v>
      </c>
      <c r="AE357" s="28">
        <v>1</v>
      </c>
      <c r="AF357" s="28">
        <v>20</v>
      </c>
      <c r="AG357" s="28">
        <v>3.6</v>
      </c>
      <c r="AH357" s="28">
        <v>23.6</v>
      </c>
      <c r="AJ357" s="19" t="s">
        <v>697</v>
      </c>
      <c r="AK357" s="28">
        <v>1</v>
      </c>
      <c r="AL357" s="28">
        <v>526.1</v>
      </c>
      <c r="AM357" s="28">
        <v>94.7</v>
      </c>
      <c r="AN357" s="28">
        <v>620.79999999999995</v>
      </c>
      <c r="BN357"/>
      <c r="BO357"/>
      <c r="BQ357"/>
      <c r="BR357"/>
    </row>
    <row r="358" spans="4:70" ht="15">
      <c r="D358" s="19" t="s">
        <v>2170</v>
      </c>
      <c r="E358" s="28">
        <v>1</v>
      </c>
      <c r="AD358" s="19" t="s">
        <v>2054</v>
      </c>
      <c r="AE358" s="28">
        <v>1</v>
      </c>
      <c r="AF358" s="28">
        <v>526.1</v>
      </c>
      <c r="AG358" s="28">
        <v>94.7</v>
      </c>
      <c r="AH358" s="28">
        <v>620.79999999999995</v>
      </c>
      <c r="AJ358" s="19" t="s">
        <v>695</v>
      </c>
      <c r="AK358" s="28">
        <v>1</v>
      </c>
      <c r="AL358" s="28">
        <v>872.71</v>
      </c>
      <c r="AM358" s="28">
        <v>157.09</v>
      </c>
      <c r="AN358" s="28">
        <v>1029.8</v>
      </c>
      <c r="BN358"/>
      <c r="BO358"/>
      <c r="BQ358"/>
      <c r="BR358"/>
    </row>
    <row r="359" spans="4:70" ht="15">
      <c r="D359" s="19" t="s">
        <v>2171</v>
      </c>
      <c r="E359" s="28">
        <v>1</v>
      </c>
      <c r="AD359" s="19" t="s">
        <v>2053</v>
      </c>
      <c r="AE359" s="28">
        <v>1</v>
      </c>
      <c r="AF359" s="28">
        <v>872.71</v>
      </c>
      <c r="AG359" s="28">
        <v>157.09</v>
      </c>
      <c r="AH359" s="28">
        <v>1029.8</v>
      </c>
      <c r="AJ359" s="19" t="s">
        <v>693</v>
      </c>
      <c r="AK359" s="28">
        <v>1</v>
      </c>
      <c r="AL359" s="28">
        <v>1200</v>
      </c>
      <c r="AM359" s="28">
        <v>216</v>
      </c>
      <c r="AN359" s="28">
        <v>1416</v>
      </c>
      <c r="BN359"/>
      <c r="BO359"/>
      <c r="BQ359"/>
      <c r="BR359"/>
    </row>
    <row r="360" spans="4:70" ht="15">
      <c r="D360" s="19" t="s">
        <v>2172</v>
      </c>
      <c r="E360" s="28">
        <v>1</v>
      </c>
      <c r="AD360" s="19" t="s">
        <v>2052</v>
      </c>
      <c r="AE360" s="28">
        <v>1</v>
      </c>
      <c r="AF360" s="28">
        <v>1200</v>
      </c>
      <c r="AG360" s="28">
        <v>216</v>
      </c>
      <c r="AH360" s="28">
        <v>1416</v>
      </c>
      <c r="AJ360" s="19" t="s">
        <v>691</v>
      </c>
      <c r="AK360" s="28">
        <v>1</v>
      </c>
      <c r="AL360" s="28">
        <v>5</v>
      </c>
      <c r="AM360" s="28">
        <v>0.9</v>
      </c>
      <c r="AN360" s="28">
        <v>5.9</v>
      </c>
      <c r="BN360"/>
      <c r="BO360"/>
      <c r="BQ360"/>
      <c r="BR360"/>
    </row>
    <row r="361" spans="4:70" ht="15">
      <c r="D361" s="19" t="s">
        <v>2173</v>
      </c>
      <c r="E361" s="28">
        <v>1</v>
      </c>
      <c r="AD361" s="19" t="s">
        <v>2051</v>
      </c>
      <c r="AE361" s="28">
        <v>1</v>
      </c>
      <c r="AF361" s="28">
        <v>5</v>
      </c>
      <c r="AG361" s="28">
        <v>0.9</v>
      </c>
      <c r="AH361" s="28">
        <v>5.9</v>
      </c>
      <c r="AJ361" s="19" t="s">
        <v>678</v>
      </c>
      <c r="AK361" s="28">
        <v>1</v>
      </c>
      <c r="AL361" s="28">
        <v>2347.0300000000002</v>
      </c>
      <c r="AM361" s="28">
        <v>422.47</v>
      </c>
      <c r="AN361" s="28">
        <v>2769.5</v>
      </c>
      <c r="BN361"/>
      <c r="BO361"/>
      <c r="BQ361"/>
      <c r="BR361"/>
    </row>
    <row r="362" spans="4:70" ht="15">
      <c r="D362" s="19" t="s">
        <v>2174</v>
      </c>
      <c r="E362" s="28">
        <v>1</v>
      </c>
      <c r="AD362" s="19" t="s">
        <v>2050</v>
      </c>
      <c r="AE362" s="28">
        <v>1</v>
      </c>
      <c r="AF362" s="28">
        <v>2347.0300000000002</v>
      </c>
      <c r="AG362" s="28">
        <v>422.47</v>
      </c>
      <c r="AH362" s="28">
        <v>2769.5</v>
      </c>
      <c r="AJ362" s="19" t="s">
        <v>676</v>
      </c>
      <c r="AK362" s="28">
        <v>1</v>
      </c>
      <c r="AL362" s="28">
        <v>3637.63</v>
      </c>
      <c r="AM362" s="28">
        <v>654.77</v>
      </c>
      <c r="AN362" s="28">
        <v>4292.3999999999996</v>
      </c>
      <c r="BN362"/>
      <c r="BO362"/>
      <c r="BQ362"/>
      <c r="BR362"/>
    </row>
    <row r="363" spans="4:70" ht="15">
      <c r="D363" s="19" t="s">
        <v>2175</v>
      </c>
      <c r="E363" s="28">
        <v>1</v>
      </c>
      <c r="AD363" s="19" t="s">
        <v>2049</v>
      </c>
      <c r="AE363" s="28">
        <v>1</v>
      </c>
      <c r="AF363" s="28">
        <v>3637.63</v>
      </c>
      <c r="AG363" s="28">
        <v>654.77</v>
      </c>
      <c r="AH363" s="28">
        <v>4292.3999999999996</v>
      </c>
      <c r="AJ363" s="19" t="s">
        <v>674</v>
      </c>
      <c r="AK363" s="28">
        <v>1</v>
      </c>
      <c r="AL363" s="28">
        <v>300</v>
      </c>
      <c r="AM363" s="28">
        <v>54</v>
      </c>
      <c r="AN363" s="28">
        <v>354</v>
      </c>
      <c r="BN363"/>
      <c r="BO363"/>
      <c r="BQ363"/>
      <c r="BR363"/>
    </row>
    <row r="364" spans="4:70" ht="15">
      <c r="D364" s="19" t="s">
        <v>2176</v>
      </c>
      <c r="E364" s="28">
        <v>1</v>
      </c>
      <c r="AD364" s="19" t="s">
        <v>2048</v>
      </c>
      <c r="AE364" s="28">
        <v>1</v>
      </c>
      <c r="AF364" s="28">
        <v>300</v>
      </c>
      <c r="AG364" s="28">
        <v>54</v>
      </c>
      <c r="AH364" s="28">
        <v>354</v>
      </c>
      <c r="AJ364" s="19" t="s">
        <v>672</v>
      </c>
      <c r="AK364" s="28">
        <v>1</v>
      </c>
      <c r="AL364" s="28">
        <v>10</v>
      </c>
      <c r="AM364" s="28">
        <v>1.8</v>
      </c>
      <c r="AN364" s="28">
        <v>11.8</v>
      </c>
      <c r="BN364"/>
      <c r="BO364"/>
      <c r="BQ364"/>
      <c r="BR364"/>
    </row>
    <row r="365" spans="4:70" ht="15">
      <c r="D365" s="19" t="s">
        <v>2177</v>
      </c>
      <c r="E365" s="28">
        <v>1</v>
      </c>
      <c r="AD365" s="19" t="s">
        <v>2047</v>
      </c>
      <c r="AE365" s="28">
        <v>1</v>
      </c>
      <c r="AF365" s="28">
        <v>10</v>
      </c>
      <c r="AG365" s="28">
        <v>1.8</v>
      </c>
      <c r="AH365" s="28">
        <v>11.8</v>
      </c>
      <c r="AJ365" s="19" t="s">
        <v>670</v>
      </c>
      <c r="AK365" s="28">
        <v>1</v>
      </c>
      <c r="AL365" s="28">
        <v>423.73</v>
      </c>
      <c r="AM365" s="28">
        <v>76.27</v>
      </c>
      <c r="AN365" s="28">
        <v>500</v>
      </c>
      <c r="BN365"/>
      <c r="BO365"/>
      <c r="BQ365"/>
      <c r="BR365"/>
    </row>
    <row r="366" spans="4:70" ht="15">
      <c r="D366" s="19" t="s">
        <v>2178</v>
      </c>
      <c r="E366" s="28">
        <v>1</v>
      </c>
      <c r="AD366" s="19" t="s">
        <v>2046</v>
      </c>
      <c r="AE366" s="28">
        <v>1</v>
      </c>
      <c r="AF366" s="28">
        <v>423.73</v>
      </c>
      <c r="AG366" s="28">
        <v>76.27</v>
      </c>
      <c r="AH366" s="28">
        <v>500</v>
      </c>
      <c r="AJ366" s="19" t="s">
        <v>668</v>
      </c>
      <c r="AK366" s="28">
        <v>1</v>
      </c>
      <c r="AL366" s="28">
        <v>304.83</v>
      </c>
      <c r="AM366" s="28">
        <v>54.87</v>
      </c>
      <c r="AN366" s="28">
        <v>359.7</v>
      </c>
      <c r="BN366"/>
      <c r="BO366"/>
      <c r="BQ366"/>
      <c r="BR366"/>
    </row>
    <row r="367" spans="4:70" ht="15">
      <c r="D367" s="19" t="s">
        <v>2179</v>
      </c>
      <c r="E367" s="28">
        <v>1</v>
      </c>
      <c r="AD367" s="19" t="s">
        <v>2045</v>
      </c>
      <c r="AE367" s="28">
        <v>1</v>
      </c>
      <c r="AF367" s="28">
        <v>304.83</v>
      </c>
      <c r="AG367" s="28">
        <v>54.87</v>
      </c>
      <c r="AH367" s="28">
        <v>359.7</v>
      </c>
      <c r="AJ367" s="19" t="s">
        <v>666</v>
      </c>
      <c r="AK367" s="28">
        <v>1</v>
      </c>
      <c r="AL367" s="28">
        <v>526.1</v>
      </c>
      <c r="AM367" s="28">
        <v>94.7</v>
      </c>
      <c r="AN367" s="28">
        <v>620.79999999999995</v>
      </c>
      <c r="BN367"/>
      <c r="BO367"/>
      <c r="BQ367"/>
      <c r="BR367"/>
    </row>
    <row r="368" spans="4:70" ht="15">
      <c r="D368" s="19" t="s">
        <v>2180</v>
      </c>
      <c r="E368" s="28">
        <v>1</v>
      </c>
      <c r="AD368" s="19" t="s">
        <v>2044</v>
      </c>
      <c r="AE368" s="28">
        <v>1</v>
      </c>
      <c r="AF368" s="28">
        <v>526.1</v>
      </c>
      <c r="AG368" s="28">
        <v>94.7</v>
      </c>
      <c r="AH368" s="28">
        <v>620.79999999999995</v>
      </c>
      <c r="AJ368" s="19" t="s">
        <v>664</v>
      </c>
      <c r="AK368" s="28">
        <v>1</v>
      </c>
      <c r="AL368" s="28">
        <v>423.73</v>
      </c>
      <c r="AM368" s="28">
        <v>76.27</v>
      </c>
      <c r="AN368" s="28">
        <v>500</v>
      </c>
      <c r="BN368"/>
      <c r="BO368"/>
      <c r="BQ368"/>
      <c r="BR368"/>
    </row>
    <row r="369" spans="4:70" ht="15">
      <c r="D369" s="19" t="s">
        <v>2181</v>
      </c>
      <c r="E369" s="28">
        <v>1</v>
      </c>
      <c r="AD369" s="19" t="s">
        <v>2043</v>
      </c>
      <c r="AE369" s="28">
        <v>1</v>
      </c>
      <c r="AF369" s="28">
        <v>423.73</v>
      </c>
      <c r="AG369" s="28">
        <v>76.27</v>
      </c>
      <c r="AH369" s="28">
        <v>500</v>
      </c>
      <c r="AJ369" s="19" t="s">
        <v>662</v>
      </c>
      <c r="AK369" s="28">
        <v>1</v>
      </c>
      <c r="AL369" s="28">
        <v>1467.71</v>
      </c>
      <c r="AM369" s="28">
        <v>264.19</v>
      </c>
      <c r="AN369" s="28">
        <v>1731.9</v>
      </c>
      <c r="BN369"/>
      <c r="BO369"/>
      <c r="BQ369"/>
      <c r="BR369"/>
    </row>
    <row r="370" spans="4:70" ht="15">
      <c r="D370" s="19" t="s">
        <v>2182</v>
      </c>
      <c r="E370" s="28">
        <v>1</v>
      </c>
      <c r="AD370" s="19" t="s">
        <v>2042</v>
      </c>
      <c r="AE370" s="28">
        <v>1</v>
      </c>
      <c r="AF370" s="28">
        <v>1467.71</v>
      </c>
      <c r="AG370" s="28">
        <v>264.19</v>
      </c>
      <c r="AH370" s="28">
        <v>1731.9</v>
      </c>
      <c r="AJ370" s="19" t="s">
        <v>660</v>
      </c>
      <c r="AK370" s="28">
        <v>1</v>
      </c>
      <c r="AL370" s="28">
        <v>2377.37</v>
      </c>
      <c r="AM370" s="28">
        <v>427.93</v>
      </c>
      <c r="AN370" s="28">
        <v>2805.3</v>
      </c>
      <c r="BN370"/>
      <c r="BO370"/>
      <c r="BQ370"/>
      <c r="BR370"/>
    </row>
    <row r="371" spans="4:70" ht="15">
      <c r="D371" s="19" t="s">
        <v>2183</v>
      </c>
      <c r="E371" s="28">
        <v>1</v>
      </c>
      <c r="AD371" s="19" t="s">
        <v>2041</v>
      </c>
      <c r="AE371" s="28">
        <v>1</v>
      </c>
      <c r="AF371" s="28">
        <v>2377.37</v>
      </c>
      <c r="AG371" s="28">
        <v>427.93</v>
      </c>
      <c r="AH371" s="28">
        <v>2805.3</v>
      </c>
      <c r="AJ371" s="19" t="s">
        <v>658</v>
      </c>
      <c r="AK371" s="28">
        <v>1</v>
      </c>
      <c r="AL371" s="28">
        <v>150</v>
      </c>
      <c r="AM371" s="28">
        <v>27</v>
      </c>
      <c r="AN371" s="28">
        <v>177</v>
      </c>
      <c r="BN371"/>
      <c r="BO371"/>
      <c r="BQ371"/>
      <c r="BR371"/>
    </row>
    <row r="372" spans="4:70" ht="15">
      <c r="D372" s="19" t="s">
        <v>2184</v>
      </c>
      <c r="E372" s="28">
        <v>1</v>
      </c>
      <c r="AD372" s="19" t="s">
        <v>2040</v>
      </c>
      <c r="AE372" s="28">
        <v>1</v>
      </c>
      <c r="AF372" s="28">
        <v>150</v>
      </c>
      <c r="AG372" s="28">
        <v>27</v>
      </c>
      <c r="AH372" s="28">
        <v>177</v>
      </c>
      <c r="AJ372" s="19" t="s">
        <v>656</v>
      </c>
      <c r="AK372" s="28">
        <v>1</v>
      </c>
      <c r="AL372" s="28">
        <v>447.73</v>
      </c>
      <c r="AM372" s="28">
        <v>80.59</v>
      </c>
      <c r="AN372" s="28">
        <v>528.32000000000005</v>
      </c>
      <c r="BN372"/>
      <c r="BO372"/>
      <c r="BQ372"/>
      <c r="BR372"/>
    </row>
    <row r="373" spans="4:70" ht="15">
      <c r="D373" s="19" t="s">
        <v>2185</v>
      </c>
      <c r="E373" s="28">
        <v>1</v>
      </c>
      <c r="AD373" s="19" t="s">
        <v>2039</v>
      </c>
      <c r="AE373" s="28">
        <v>1</v>
      </c>
      <c r="AF373" s="28">
        <v>447.73</v>
      </c>
      <c r="AG373" s="28">
        <v>80.59</v>
      </c>
      <c r="AH373" s="28">
        <v>528.32000000000005</v>
      </c>
      <c r="AJ373" s="19" t="s">
        <v>654</v>
      </c>
      <c r="AK373" s="28">
        <v>1</v>
      </c>
      <c r="AL373" s="28">
        <v>79.150000000000006</v>
      </c>
      <c r="AM373" s="28">
        <v>14.25</v>
      </c>
      <c r="AN373" s="28">
        <v>93.4</v>
      </c>
      <c r="BN373"/>
      <c r="BO373"/>
      <c r="BQ373"/>
      <c r="BR373"/>
    </row>
    <row r="374" spans="4:70" ht="15">
      <c r="D374" s="19" t="s">
        <v>2186</v>
      </c>
      <c r="E374" s="28">
        <v>1</v>
      </c>
      <c r="AD374" s="19" t="s">
        <v>2038</v>
      </c>
      <c r="AE374" s="28">
        <v>1</v>
      </c>
      <c r="AF374" s="28">
        <v>79.150000000000006</v>
      </c>
      <c r="AG374" s="28">
        <v>14.25</v>
      </c>
      <c r="AH374" s="28">
        <v>93.4</v>
      </c>
      <c r="AJ374" s="19" t="s">
        <v>652</v>
      </c>
      <c r="AK374" s="28">
        <v>1</v>
      </c>
      <c r="AL374" s="28">
        <v>139.75</v>
      </c>
      <c r="AM374" s="28">
        <v>25.15</v>
      </c>
      <c r="AN374" s="28">
        <v>164.9</v>
      </c>
      <c r="BN374"/>
      <c r="BO374"/>
      <c r="BQ374"/>
      <c r="BR374"/>
    </row>
    <row r="375" spans="4:70" ht="15">
      <c r="D375" s="19" t="s">
        <v>2187</v>
      </c>
      <c r="E375" s="28">
        <v>1</v>
      </c>
      <c r="AD375" s="19" t="s">
        <v>2037</v>
      </c>
      <c r="AE375" s="28">
        <v>1</v>
      </c>
      <c r="AF375" s="28">
        <v>139.75</v>
      </c>
      <c r="AG375" s="28">
        <v>25.15</v>
      </c>
      <c r="AH375" s="28">
        <v>164.9</v>
      </c>
      <c r="AJ375" s="19" t="s">
        <v>650</v>
      </c>
      <c r="AK375" s="28">
        <v>1</v>
      </c>
      <c r="AL375" s="28">
        <v>438.73</v>
      </c>
      <c r="AM375" s="28">
        <v>78.97</v>
      </c>
      <c r="AN375" s="28">
        <v>517.70000000000005</v>
      </c>
      <c r="BN375"/>
      <c r="BO375"/>
      <c r="BQ375"/>
      <c r="BR375"/>
    </row>
    <row r="376" spans="4:70" ht="15">
      <c r="D376" s="19" t="s">
        <v>2188</v>
      </c>
      <c r="E376" s="28">
        <v>1</v>
      </c>
      <c r="AD376" s="19" t="s">
        <v>2036</v>
      </c>
      <c r="AE376" s="28">
        <v>1</v>
      </c>
      <c r="AF376" s="28">
        <v>438.73</v>
      </c>
      <c r="AG376" s="28">
        <v>78.97</v>
      </c>
      <c r="AH376" s="28">
        <v>517.70000000000005</v>
      </c>
      <c r="AJ376" s="19" t="s">
        <v>648</v>
      </c>
      <c r="AK376" s="28">
        <v>1</v>
      </c>
      <c r="AL376" s="28">
        <v>250.51</v>
      </c>
      <c r="AM376" s="28">
        <v>45.09</v>
      </c>
      <c r="AN376" s="28">
        <v>295.60000000000002</v>
      </c>
      <c r="BN376"/>
      <c r="BO376"/>
      <c r="BQ376"/>
      <c r="BR376"/>
    </row>
    <row r="377" spans="4:70" ht="15">
      <c r="D377" s="19" t="s">
        <v>2189</v>
      </c>
      <c r="E377" s="28">
        <v>1</v>
      </c>
      <c r="AD377" s="19" t="s">
        <v>2035</v>
      </c>
      <c r="AE377" s="28">
        <v>1</v>
      </c>
      <c r="AF377" s="28">
        <v>250.51</v>
      </c>
      <c r="AG377" s="28">
        <v>45.09</v>
      </c>
      <c r="AH377" s="28">
        <v>295.60000000000002</v>
      </c>
      <c r="AJ377" s="19" t="s">
        <v>646</v>
      </c>
      <c r="AK377" s="28">
        <v>1</v>
      </c>
      <c r="AL377" s="28">
        <v>418.22</v>
      </c>
      <c r="AM377" s="28">
        <v>75.28</v>
      </c>
      <c r="AN377" s="28">
        <v>493.5</v>
      </c>
      <c r="BN377"/>
      <c r="BO377"/>
      <c r="BQ377"/>
      <c r="BR377"/>
    </row>
    <row r="378" spans="4:70" ht="15">
      <c r="D378" s="19" t="s">
        <v>2190</v>
      </c>
      <c r="E378" s="28">
        <v>1</v>
      </c>
      <c r="AD378" s="19" t="s">
        <v>2034</v>
      </c>
      <c r="AE378" s="28">
        <v>1</v>
      </c>
      <c r="AF378" s="28">
        <v>418.22</v>
      </c>
      <c r="AG378" s="28">
        <v>75.28</v>
      </c>
      <c r="AH378" s="28">
        <v>493.5</v>
      </c>
      <c r="AJ378" s="19" t="s">
        <v>644</v>
      </c>
      <c r="AK378" s="28">
        <v>1</v>
      </c>
      <c r="AL378" s="28">
        <v>423.73</v>
      </c>
      <c r="AM378" s="28">
        <v>76.27</v>
      </c>
      <c r="AN378" s="28">
        <v>500</v>
      </c>
      <c r="BN378"/>
      <c r="BO378"/>
      <c r="BQ378"/>
      <c r="BR378"/>
    </row>
    <row r="379" spans="4:70" ht="15">
      <c r="D379" s="19" t="s">
        <v>2191</v>
      </c>
      <c r="E379" s="28">
        <v>1</v>
      </c>
      <c r="AD379" s="19" t="s">
        <v>2033</v>
      </c>
      <c r="AE379" s="28">
        <v>1</v>
      </c>
      <c r="AF379" s="28">
        <v>423.73</v>
      </c>
      <c r="AG379" s="28">
        <v>76.27</v>
      </c>
      <c r="AH379" s="28">
        <v>500</v>
      </c>
      <c r="AJ379" s="19" t="s">
        <v>642</v>
      </c>
      <c r="AK379" s="28">
        <v>1</v>
      </c>
      <c r="AL379" s="28">
        <v>991.19</v>
      </c>
      <c r="AM379" s="28">
        <v>178.41</v>
      </c>
      <c r="AN379" s="28">
        <v>1169.5999999999999</v>
      </c>
      <c r="BN379"/>
      <c r="BO379"/>
      <c r="BQ379"/>
      <c r="BR379"/>
    </row>
    <row r="380" spans="4:70" ht="15">
      <c r="D380" s="19" t="s">
        <v>2192</v>
      </c>
      <c r="E380" s="28">
        <v>1</v>
      </c>
      <c r="AD380" s="19" t="s">
        <v>2032</v>
      </c>
      <c r="AE380" s="28">
        <v>1</v>
      </c>
      <c r="AF380" s="28">
        <v>991.19</v>
      </c>
      <c r="AG380" s="28">
        <v>178.41</v>
      </c>
      <c r="AH380" s="28">
        <v>1169.5999999999999</v>
      </c>
      <c r="AJ380" s="19" t="s">
        <v>640</v>
      </c>
      <c r="AK380" s="28">
        <v>1</v>
      </c>
      <c r="AL380" s="28">
        <v>1608.31</v>
      </c>
      <c r="AM380" s="28">
        <v>289.49</v>
      </c>
      <c r="AN380" s="28">
        <v>1897.8</v>
      </c>
      <c r="BN380"/>
      <c r="BO380"/>
      <c r="BQ380"/>
      <c r="BR380"/>
    </row>
    <row r="381" spans="4:70" ht="15">
      <c r="D381" s="19" t="s">
        <v>2193</v>
      </c>
      <c r="E381" s="28">
        <v>1</v>
      </c>
      <c r="AD381" s="19" t="s">
        <v>2031</v>
      </c>
      <c r="AE381" s="28">
        <v>1</v>
      </c>
      <c r="AF381" s="28">
        <v>1608.31</v>
      </c>
      <c r="AG381" s="28">
        <v>289.49</v>
      </c>
      <c r="AH381" s="28">
        <v>1897.8</v>
      </c>
      <c r="AJ381" s="19" t="s">
        <v>638</v>
      </c>
      <c r="AK381" s="28">
        <v>1</v>
      </c>
      <c r="AL381" s="28">
        <v>150</v>
      </c>
      <c r="AM381" s="28">
        <v>27</v>
      </c>
      <c r="AN381" s="28">
        <v>177</v>
      </c>
      <c r="BN381"/>
      <c r="BO381"/>
      <c r="BQ381"/>
      <c r="BR381"/>
    </row>
    <row r="382" spans="4:70" ht="15">
      <c r="D382" s="19" t="s">
        <v>2194</v>
      </c>
      <c r="E382" s="28">
        <v>1</v>
      </c>
      <c r="AD382" s="19" t="s">
        <v>2030</v>
      </c>
      <c r="AE382" s="28">
        <v>1</v>
      </c>
      <c r="AF382" s="28">
        <v>150</v>
      </c>
      <c r="AG382" s="28">
        <v>27</v>
      </c>
      <c r="AH382" s="28">
        <v>177</v>
      </c>
      <c r="AJ382" s="19" t="s">
        <v>636</v>
      </c>
      <c r="AK382" s="28">
        <v>1</v>
      </c>
      <c r="AL382" s="28">
        <v>30</v>
      </c>
      <c r="AM382" s="28">
        <v>5.4</v>
      </c>
      <c r="AN382" s="28">
        <v>35.4</v>
      </c>
      <c r="BN382"/>
      <c r="BO382"/>
      <c r="BQ382"/>
      <c r="BR382"/>
    </row>
    <row r="383" spans="4:70" ht="15">
      <c r="D383" s="19" t="s">
        <v>2195</v>
      </c>
      <c r="E383" s="28">
        <v>1</v>
      </c>
      <c r="AD383" s="19" t="s">
        <v>2029</v>
      </c>
      <c r="AE383" s="28">
        <v>1</v>
      </c>
      <c r="AF383" s="28">
        <v>30</v>
      </c>
      <c r="AG383" s="28">
        <v>5.4</v>
      </c>
      <c r="AH383" s="28">
        <v>35.4</v>
      </c>
      <c r="AJ383" s="19" t="s">
        <v>633</v>
      </c>
      <c r="AK383" s="28">
        <v>1</v>
      </c>
      <c r="AL383" s="28">
        <v>423.73</v>
      </c>
      <c r="AM383" s="28">
        <v>76.27</v>
      </c>
      <c r="AN383" s="28">
        <v>500</v>
      </c>
      <c r="BN383"/>
      <c r="BO383"/>
      <c r="BQ383"/>
      <c r="BR383"/>
    </row>
    <row r="384" spans="4:70" ht="15">
      <c r="D384" s="19" t="s">
        <v>2196</v>
      </c>
      <c r="E384" s="28">
        <v>1</v>
      </c>
      <c r="AD384" s="19" t="s">
        <v>2028</v>
      </c>
      <c r="AE384" s="28">
        <v>1</v>
      </c>
      <c r="AF384" s="28">
        <v>423.73</v>
      </c>
      <c r="AG384" s="28">
        <v>76.27</v>
      </c>
      <c r="AH384" s="28">
        <v>500</v>
      </c>
      <c r="AJ384" s="19" t="s">
        <v>631</v>
      </c>
      <c r="AK384" s="28">
        <v>1</v>
      </c>
      <c r="AL384" s="28">
        <v>34.75</v>
      </c>
      <c r="AM384" s="28">
        <v>6.25</v>
      </c>
      <c r="AN384" s="28">
        <v>41</v>
      </c>
      <c r="BN384"/>
      <c r="BO384"/>
      <c r="BQ384"/>
      <c r="BR384"/>
    </row>
    <row r="385" spans="4:70" ht="15">
      <c r="D385" s="19" t="s">
        <v>2197</v>
      </c>
      <c r="E385" s="28">
        <v>1</v>
      </c>
      <c r="AD385" s="19" t="s">
        <v>2023</v>
      </c>
      <c r="AE385" s="28">
        <v>1</v>
      </c>
      <c r="AF385" s="28">
        <v>34.75</v>
      </c>
      <c r="AG385" s="28">
        <v>6.25</v>
      </c>
      <c r="AH385" s="28">
        <v>41</v>
      </c>
      <c r="AJ385" s="19" t="s">
        <v>628</v>
      </c>
      <c r="AK385" s="28">
        <v>1</v>
      </c>
      <c r="AL385" s="28">
        <v>53.56</v>
      </c>
      <c r="AM385" s="28">
        <v>9.64</v>
      </c>
      <c r="AN385" s="28">
        <v>63.2</v>
      </c>
      <c r="BN385"/>
      <c r="BO385"/>
      <c r="BQ385"/>
      <c r="BR385"/>
    </row>
    <row r="386" spans="4:70" ht="15">
      <c r="D386" s="19" t="s">
        <v>2198</v>
      </c>
      <c r="E386" s="28">
        <v>1</v>
      </c>
      <c r="AD386" s="19" t="s">
        <v>2022</v>
      </c>
      <c r="AE386" s="28">
        <v>1</v>
      </c>
      <c r="AF386" s="28">
        <v>53.56</v>
      </c>
      <c r="AG386" s="28">
        <v>9.64</v>
      </c>
      <c r="AH386" s="28">
        <v>63.2</v>
      </c>
      <c r="AJ386" s="19" t="s">
        <v>600</v>
      </c>
      <c r="AK386" s="28">
        <v>1</v>
      </c>
      <c r="AL386" s="28">
        <v>125.25</v>
      </c>
      <c r="AM386" s="28">
        <v>22.55</v>
      </c>
      <c r="AN386" s="28">
        <v>147.80000000000001</v>
      </c>
      <c r="BN386"/>
      <c r="BO386"/>
      <c r="BQ386"/>
      <c r="BR386"/>
    </row>
    <row r="387" spans="4:70" ht="15">
      <c r="D387" s="19" t="s">
        <v>2199</v>
      </c>
      <c r="E387" s="28">
        <v>1</v>
      </c>
      <c r="AD387" s="19" t="s">
        <v>2014</v>
      </c>
      <c r="AE387" s="28">
        <v>1</v>
      </c>
      <c r="AF387" s="28">
        <v>125.25</v>
      </c>
      <c r="AG387" s="28">
        <v>22.55</v>
      </c>
      <c r="AH387" s="28">
        <v>147.80000000000001</v>
      </c>
      <c r="AJ387" s="19" t="s">
        <v>597</v>
      </c>
      <c r="AK387" s="28">
        <v>1</v>
      </c>
      <c r="AL387" s="28">
        <v>212.8</v>
      </c>
      <c r="AM387" s="28">
        <v>38.299999999999997</v>
      </c>
      <c r="AN387" s="28">
        <v>251.1</v>
      </c>
      <c r="BN387"/>
      <c r="BO387"/>
      <c r="BQ387"/>
      <c r="BR387"/>
    </row>
    <row r="388" spans="4:70" ht="15">
      <c r="D388" s="19" t="s">
        <v>2200</v>
      </c>
      <c r="E388" s="28">
        <v>1</v>
      </c>
      <c r="AD388" s="19" t="s">
        <v>2013</v>
      </c>
      <c r="AE388" s="28">
        <v>1</v>
      </c>
      <c r="AF388" s="28">
        <v>212.8</v>
      </c>
      <c r="AG388" s="28">
        <v>38.299999999999997</v>
      </c>
      <c r="AH388" s="28">
        <v>251.1</v>
      </c>
      <c r="AJ388" s="19" t="s">
        <v>593</v>
      </c>
      <c r="AK388" s="28">
        <v>1</v>
      </c>
      <c r="AL388" s="28">
        <v>20</v>
      </c>
      <c r="AM388" s="28">
        <v>3.6</v>
      </c>
      <c r="AN388" s="28">
        <v>23.6</v>
      </c>
      <c r="BN388"/>
      <c r="BO388"/>
      <c r="BQ388"/>
      <c r="BR388"/>
    </row>
    <row r="389" spans="4:70" ht="15">
      <c r="D389" s="19" t="s">
        <v>2201</v>
      </c>
      <c r="E389" s="28">
        <v>1</v>
      </c>
      <c r="AD389" s="19" t="s">
        <v>2007</v>
      </c>
      <c r="AE389" s="28">
        <v>1</v>
      </c>
      <c r="AF389" s="28">
        <v>20</v>
      </c>
      <c r="AG389" s="28">
        <v>3.6</v>
      </c>
      <c r="AH389" s="28">
        <v>23.6</v>
      </c>
      <c r="AJ389" s="19" t="s">
        <v>523</v>
      </c>
      <c r="AK389" s="28">
        <v>1</v>
      </c>
      <c r="AL389" s="28">
        <v>132.97</v>
      </c>
      <c r="AM389" s="28">
        <v>23.93</v>
      </c>
      <c r="AN389" s="28">
        <v>156.9</v>
      </c>
      <c r="BN389"/>
      <c r="BO389"/>
      <c r="BQ389"/>
      <c r="BR389"/>
    </row>
    <row r="390" spans="4:70" ht="15">
      <c r="D390" s="19" t="s">
        <v>2202</v>
      </c>
      <c r="E390" s="28">
        <v>1</v>
      </c>
      <c r="AD390" s="19" t="s">
        <v>2006</v>
      </c>
      <c r="AE390" s="28">
        <v>1</v>
      </c>
      <c r="AF390" s="28">
        <v>132.97</v>
      </c>
      <c r="AG390" s="28">
        <v>23.93</v>
      </c>
      <c r="AH390" s="28">
        <v>156.9</v>
      </c>
      <c r="AJ390" s="19" t="s">
        <v>520</v>
      </c>
      <c r="AK390" s="28">
        <v>1</v>
      </c>
      <c r="AL390" s="28">
        <v>138.18</v>
      </c>
      <c r="AM390" s="28">
        <v>24.87</v>
      </c>
      <c r="AN390" s="28">
        <v>163.05000000000001</v>
      </c>
      <c r="BN390"/>
      <c r="BO390"/>
      <c r="BQ390"/>
      <c r="BR390"/>
    </row>
    <row r="391" spans="4:70" ht="15">
      <c r="D391" s="19" t="s">
        <v>2203</v>
      </c>
      <c r="E391" s="28">
        <v>1</v>
      </c>
      <c r="AD391" s="19" t="s">
        <v>2005</v>
      </c>
      <c r="AE391" s="28">
        <v>1</v>
      </c>
      <c r="AF391" s="28">
        <v>138.18</v>
      </c>
      <c r="AG391" s="28">
        <v>24.87</v>
      </c>
      <c r="AH391" s="28">
        <v>163.05000000000001</v>
      </c>
      <c r="AJ391" s="19" t="s">
        <v>518</v>
      </c>
      <c r="AK391" s="28">
        <v>1</v>
      </c>
      <c r="AL391" s="28">
        <v>1170.3900000000001</v>
      </c>
      <c r="AM391" s="28">
        <v>210.67</v>
      </c>
      <c r="AN391" s="28">
        <v>1381.06</v>
      </c>
      <c r="BN391"/>
      <c r="BO391"/>
      <c r="BQ391"/>
      <c r="BR391"/>
    </row>
    <row r="392" spans="4:70" ht="15">
      <c r="D392" s="19" t="s">
        <v>2204</v>
      </c>
      <c r="E392" s="28">
        <v>1</v>
      </c>
      <c r="AD392" s="19" t="s">
        <v>2004</v>
      </c>
      <c r="AE392" s="28">
        <v>1</v>
      </c>
      <c r="AF392" s="28">
        <v>1170.3900000000001</v>
      </c>
      <c r="AG392" s="28">
        <v>210.67</v>
      </c>
      <c r="AH392" s="28">
        <v>1381.06</v>
      </c>
      <c r="AJ392" s="19" t="s">
        <v>516</v>
      </c>
      <c r="AK392" s="28">
        <v>1</v>
      </c>
      <c r="AL392" s="28">
        <v>1854.82</v>
      </c>
      <c r="AM392" s="28">
        <v>333.87</v>
      </c>
      <c r="AN392" s="28">
        <v>2188.69</v>
      </c>
      <c r="BN392"/>
      <c r="BO392"/>
      <c r="BQ392"/>
      <c r="BR392"/>
    </row>
    <row r="393" spans="4:70" ht="15">
      <c r="D393" s="19" t="s">
        <v>2205</v>
      </c>
      <c r="E393" s="28">
        <v>1</v>
      </c>
      <c r="AD393" s="19" t="s">
        <v>2003</v>
      </c>
      <c r="AE393" s="28">
        <v>1</v>
      </c>
      <c r="AF393" s="28">
        <v>1854.82</v>
      </c>
      <c r="AG393" s="28">
        <v>333.87</v>
      </c>
      <c r="AH393" s="28">
        <v>2188.69</v>
      </c>
      <c r="AJ393" s="19" t="s">
        <v>514</v>
      </c>
      <c r="AK393" s="28">
        <v>1</v>
      </c>
      <c r="AL393" s="28">
        <v>600</v>
      </c>
      <c r="AM393" s="28">
        <v>108</v>
      </c>
      <c r="AN393" s="28">
        <v>708</v>
      </c>
      <c r="BN393"/>
      <c r="BO393"/>
      <c r="BQ393"/>
      <c r="BR393"/>
    </row>
    <row r="394" spans="4:70" ht="15">
      <c r="D394" s="19" t="s">
        <v>2206</v>
      </c>
      <c r="E394" s="28">
        <v>1</v>
      </c>
      <c r="AD394" s="19" t="s">
        <v>2002</v>
      </c>
      <c r="AE394" s="28">
        <v>1</v>
      </c>
      <c r="AF394" s="28">
        <v>600</v>
      </c>
      <c r="AG394" s="28">
        <v>108</v>
      </c>
      <c r="AH394" s="28">
        <v>708</v>
      </c>
      <c r="AJ394" s="19" t="s">
        <v>512</v>
      </c>
      <c r="AK394" s="28">
        <v>1</v>
      </c>
      <c r="AL394" s="28">
        <v>1</v>
      </c>
      <c r="AM394" s="28">
        <v>0.18</v>
      </c>
      <c r="AN394" s="28">
        <v>1.18</v>
      </c>
      <c r="BN394"/>
      <c r="BO394"/>
      <c r="BQ394"/>
      <c r="BR394"/>
    </row>
    <row r="395" spans="4:70" ht="15">
      <c r="D395" s="19" t="s">
        <v>2207</v>
      </c>
      <c r="E395" s="28">
        <v>1</v>
      </c>
      <c r="AD395" s="19" t="s">
        <v>2001</v>
      </c>
      <c r="AE395" s="28">
        <v>1</v>
      </c>
      <c r="AF395" s="28">
        <v>1</v>
      </c>
      <c r="AG395" s="28">
        <v>0.18</v>
      </c>
      <c r="AH395" s="28">
        <v>1.18</v>
      </c>
      <c r="AJ395" s="19" t="s">
        <v>510</v>
      </c>
      <c r="AK395" s="28">
        <v>1</v>
      </c>
      <c r="AL395" s="28">
        <v>5</v>
      </c>
      <c r="AM395" s="28">
        <v>0.9</v>
      </c>
      <c r="AN395" s="28">
        <v>5.9</v>
      </c>
      <c r="BN395"/>
      <c r="BO395"/>
      <c r="BQ395"/>
      <c r="BR395"/>
    </row>
    <row r="396" spans="4:70" ht="15">
      <c r="D396" s="19" t="s">
        <v>2208</v>
      </c>
      <c r="E396" s="28">
        <v>1</v>
      </c>
      <c r="AD396" s="19" t="s">
        <v>2000</v>
      </c>
      <c r="AE396" s="28">
        <v>1</v>
      </c>
      <c r="AF396" s="28">
        <v>5</v>
      </c>
      <c r="AG396" s="28">
        <v>0.9</v>
      </c>
      <c r="AH396" s="28">
        <v>5.9</v>
      </c>
      <c r="AJ396" s="19" t="s">
        <v>507</v>
      </c>
      <c r="AK396" s="28">
        <v>1</v>
      </c>
      <c r="AL396" s="28">
        <v>4.95</v>
      </c>
      <c r="AM396" s="28">
        <v>0.89</v>
      </c>
      <c r="AN396" s="28">
        <v>5.84</v>
      </c>
      <c r="BN396"/>
      <c r="BO396"/>
      <c r="BQ396"/>
      <c r="BR396"/>
    </row>
    <row r="397" spans="4:70" ht="15">
      <c r="D397" s="19" t="s">
        <v>2209</v>
      </c>
      <c r="E397" s="28">
        <v>1</v>
      </c>
      <c r="AD397" s="19" t="s">
        <v>1999</v>
      </c>
      <c r="AE397" s="28">
        <v>1</v>
      </c>
      <c r="AF397" s="28">
        <v>4.95</v>
      </c>
      <c r="AG397" s="28">
        <v>0.89</v>
      </c>
      <c r="AH397" s="28">
        <v>5.84</v>
      </c>
      <c r="AJ397" s="19" t="s">
        <v>505</v>
      </c>
      <c r="AK397" s="28">
        <v>1</v>
      </c>
      <c r="AL397" s="28">
        <v>896.27</v>
      </c>
      <c r="AM397" s="28">
        <v>161.33000000000001</v>
      </c>
      <c r="AN397" s="28">
        <v>1057.5999999999999</v>
      </c>
      <c r="BN397"/>
      <c r="BO397"/>
      <c r="BQ397"/>
      <c r="BR397"/>
    </row>
    <row r="398" spans="4:70" ht="15">
      <c r="D398" s="19" t="s">
        <v>2210</v>
      </c>
      <c r="E398" s="28">
        <v>1</v>
      </c>
      <c r="AD398" s="19" t="s">
        <v>1998</v>
      </c>
      <c r="AE398" s="28">
        <v>1</v>
      </c>
      <c r="AF398" s="28">
        <v>896.27</v>
      </c>
      <c r="AG398" s="28">
        <v>161.33000000000001</v>
      </c>
      <c r="AH398" s="28">
        <v>1057.5999999999999</v>
      </c>
      <c r="AJ398" s="19" t="s">
        <v>503</v>
      </c>
      <c r="AK398" s="28">
        <v>1</v>
      </c>
      <c r="AL398" s="28">
        <v>1264.92</v>
      </c>
      <c r="AM398" s="28">
        <v>227.68</v>
      </c>
      <c r="AN398" s="28">
        <v>1492.6</v>
      </c>
      <c r="BN398"/>
      <c r="BO398"/>
      <c r="BQ398"/>
      <c r="BR398"/>
    </row>
    <row r="399" spans="4:70" ht="15">
      <c r="D399" s="19" t="s">
        <v>2211</v>
      </c>
      <c r="E399" s="28">
        <v>1</v>
      </c>
      <c r="AD399" s="19" t="s">
        <v>1997</v>
      </c>
      <c r="AE399" s="28">
        <v>1</v>
      </c>
      <c r="AF399" s="28">
        <v>1264.92</v>
      </c>
      <c r="AG399" s="28">
        <v>227.68</v>
      </c>
      <c r="AH399" s="28">
        <v>1492.6</v>
      </c>
      <c r="AJ399" s="19" t="s">
        <v>501</v>
      </c>
      <c r="AK399" s="28">
        <v>1</v>
      </c>
      <c r="AL399" s="28">
        <v>600</v>
      </c>
      <c r="AM399" s="28">
        <v>108</v>
      </c>
      <c r="AN399" s="28">
        <v>708</v>
      </c>
      <c r="BN399"/>
      <c r="BO399"/>
      <c r="BQ399"/>
      <c r="BR399"/>
    </row>
    <row r="400" spans="4:70" ht="15">
      <c r="D400" s="19" t="s">
        <v>2212</v>
      </c>
      <c r="E400" s="28">
        <v>1</v>
      </c>
      <c r="AD400" s="19" t="s">
        <v>1996</v>
      </c>
      <c r="AE400" s="28">
        <v>1</v>
      </c>
      <c r="AF400" s="28">
        <v>600</v>
      </c>
      <c r="AG400" s="28">
        <v>108</v>
      </c>
      <c r="AH400" s="28">
        <v>708</v>
      </c>
      <c r="AJ400" s="19" t="s">
        <v>499</v>
      </c>
      <c r="AK400" s="28">
        <v>1</v>
      </c>
      <c r="AL400" s="28">
        <v>18.05</v>
      </c>
      <c r="AM400" s="28">
        <v>3.25</v>
      </c>
      <c r="AN400" s="28">
        <v>21.3</v>
      </c>
      <c r="BN400"/>
      <c r="BO400"/>
      <c r="BQ400"/>
      <c r="BR400"/>
    </row>
    <row r="401" spans="4:70" ht="15">
      <c r="D401" s="19" t="s">
        <v>2213</v>
      </c>
      <c r="E401" s="28">
        <v>1</v>
      </c>
      <c r="AD401" s="19" t="s">
        <v>1995</v>
      </c>
      <c r="AE401" s="28">
        <v>1</v>
      </c>
      <c r="AF401" s="28">
        <v>18.05</v>
      </c>
      <c r="AG401" s="28">
        <v>3.25</v>
      </c>
      <c r="AH401" s="28">
        <v>21.3</v>
      </c>
      <c r="AJ401" s="19" t="s">
        <v>496</v>
      </c>
      <c r="AK401" s="28">
        <v>1</v>
      </c>
      <c r="AL401" s="28">
        <v>24.75</v>
      </c>
      <c r="AM401" s="28">
        <v>4.45</v>
      </c>
      <c r="AN401" s="28">
        <v>29.2</v>
      </c>
      <c r="BN401"/>
      <c r="BO401"/>
      <c r="BQ401"/>
      <c r="BR401"/>
    </row>
    <row r="402" spans="4:70" ht="15">
      <c r="D402" s="19" t="s">
        <v>2214</v>
      </c>
      <c r="E402" s="28">
        <v>1</v>
      </c>
      <c r="AD402" s="19" t="s">
        <v>1994</v>
      </c>
      <c r="AE402" s="28">
        <v>1</v>
      </c>
      <c r="AF402" s="28">
        <v>24.75</v>
      </c>
      <c r="AG402" s="28">
        <v>4.45</v>
      </c>
      <c r="AH402" s="28">
        <v>29.2</v>
      </c>
      <c r="AJ402" s="19" t="s">
        <v>494</v>
      </c>
      <c r="AK402" s="28">
        <v>1</v>
      </c>
      <c r="AL402" s="28">
        <v>20.34</v>
      </c>
      <c r="AM402" s="28">
        <v>3.66</v>
      </c>
      <c r="AN402" s="28">
        <v>24</v>
      </c>
      <c r="BN402"/>
      <c r="BO402"/>
      <c r="BQ402"/>
      <c r="BR402"/>
    </row>
    <row r="403" spans="4:70" ht="15">
      <c r="D403" s="19" t="s">
        <v>2215</v>
      </c>
      <c r="E403" s="28">
        <v>1</v>
      </c>
      <c r="AD403" s="19" t="s">
        <v>1993</v>
      </c>
      <c r="AE403" s="28">
        <v>1</v>
      </c>
      <c r="AF403" s="28">
        <v>20.34</v>
      </c>
      <c r="AG403" s="28">
        <v>3.66</v>
      </c>
      <c r="AH403" s="28">
        <v>24</v>
      </c>
      <c r="AJ403" s="19" t="s">
        <v>491</v>
      </c>
      <c r="AK403" s="28">
        <v>1</v>
      </c>
      <c r="AL403" s="28">
        <v>25.85</v>
      </c>
      <c r="AM403" s="28">
        <v>4.6500000000000004</v>
      </c>
      <c r="AN403" s="28">
        <v>30.5</v>
      </c>
      <c r="BN403"/>
      <c r="BO403"/>
      <c r="BQ403"/>
      <c r="BR403"/>
    </row>
    <row r="404" spans="4:70" ht="15">
      <c r="D404" s="19" t="s">
        <v>2216</v>
      </c>
      <c r="E404" s="28">
        <v>1</v>
      </c>
      <c r="AD404" s="19" t="s">
        <v>1992</v>
      </c>
      <c r="AE404" s="28">
        <v>1</v>
      </c>
      <c r="AF404" s="28">
        <v>25.85</v>
      </c>
      <c r="AG404" s="28">
        <v>4.6500000000000004</v>
      </c>
      <c r="AH404" s="28">
        <v>30.5</v>
      </c>
      <c r="AJ404" s="19" t="s">
        <v>489</v>
      </c>
      <c r="AK404" s="28">
        <v>1</v>
      </c>
      <c r="AL404" s="28">
        <v>1544.46</v>
      </c>
      <c r="AM404" s="28">
        <v>278</v>
      </c>
      <c r="AN404" s="28">
        <v>1822.46</v>
      </c>
      <c r="BN404"/>
      <c r="BO404"/>
      <c r="BQ404"/>
      <c r="BR404"/>
    </row>
    <row r="405" spans="4:70" ht="15">
      <c r="D405" s="19" t="s">
        <v>2217</v>
      </c>
      <c r="E405" s="28">
        <v>1</v>
      </c>
      <c r="AD405" s="19" t="s">
        <v>1985</v>
      </c>
      <c r="AE405" s="28">
        <v>1</v>
      </c>
      <c r="AF405" s="28">
        <v>1544.46</v>
      </c>
      <c r="AG405" s="28">
        <v>278</v>
      </c>
      <c r="AH405" s="28">
        <v>1822.46</v>
      </c>
      <c r="AJ405" s="19" t="s">
        <v>487</v>
      </c>
      <c r="AK405" s="28">
        <v>1</v>
      </c>
      <c r="AL405" s="28">
        <v>2530.92</v>
      </c>
      <c r="AM405" s="28">
        <v>455.56</v>
      </c>
      <c r="AN405" s="28">
        <v>2986.48</v>
      </c>
      <c r="BN405"/>
      <c r="BO405"/>
      <c r="BQ405"/>
      <c r="BR405"/>
    </row>
    <row r="406" spans="4:70" ht="15">
      <c r="D406" s="19" t="s">
        <v>2218</v>
      </c>
      <c r="E406" s="28">
        <v>1</v>
      </c>
      <c r="AD406" s="19" t="s">
        <v>1984</v>
      </c>
      <c r="AE406" s="28">
        <v>1</v>
      </c>
      <c r="AF406" s="28">
        <v>2530.92</v>
      </c>
      <c r="AG406" s="28">
        <v>455.56</v>
      </c>
      <c r="AH406" s="28">
        <v>2986.48</v>
      </c>
      <c r="AJ406" s="19" t="s">
        <v>485</v>
      </c>
      <c r="AK406" s="28">
        <v>1</v>
      </c>
      <c r="AL406" s="28">
        <v>1200</v>
      </c>
      <c r="AM406" s="28">
        <v>216</v>
      </c>
      <c r="AN406" s="28">
        <v>1416</v>
      </c>
      <c r="BN406"/>
      <c r="BO406"/>
      <c r="BQ406"/>
      <c r="BR406"/>
    </row>
    <row r="407" spans="4:70" ht="15">
      <c r="D407" s="19" t="s">
        <v>2219</v>
      </c>
      <c r="E407" s="28">
        <v>1</v>
      </c>
      <c r="AD407" s="19" t="s">
        <v>1983</v>
      </c>
      <c r="AE407" s="28">
        <v>1</v>
      </c>
      <c r="AF407" s="28">
        <v>1200</v>
      </c>
      <c r="AG407" s="28">
        <v>216</v>
      </c>
      <c r="AH407" s="28">
        <v>1416</v>
      </c>
      <c r="AJ407" s="19" t="s">
        <v>483</v>
      </c>
      <c r="AK407" s="28">
        <v>1</v>
      </c>
      <c r="AL407" s="28">
        <v>1200</v>
      </c>
      <c r="AM407" s="28">
        <v>216</v>
      </c>
      <c r="AN407" s="28">
        <v>1416</v>
      </c>
      <c r="BN407"/>
      <c r="BO407"/>
      <c r="BQ407"/>
      <c r="BR407"/>
    </row>
    <row r="408" spans="4:70" ht="15">
      <c r="D408" s="19" t="s">
        <v>2220</v>
      </c>
      <c r="E408" s="28">
        <v>1</v>
      </c>
      <c r="AD408" s="19" t="s">
        <v>1982</v>
      </c>
      <c r="AE408" s="28">
        <v>1</v>
      </c>
      <c r="AF408" s="28">
        <v>1200</v>
      </c>
      <c r="AG408" s="28">
        <v>216</v>
      </c>
      <c r="AH408" s="28">
        <v>1416</v>
      </c>
      <c r="AJ408" s="19" t="s">
        <v>481</v>
      </c>
      <c r="AK408" s="28">
        <v>1</v>
      </c>
      <c r="AL408" s="28">
        <v>600</v>
      </c>
      <c r="AM408" s="28">
        <v>108</v>
      </c>
      <c r="AN408" s="28">
        <v>708</v>
      </c>
      <c r="BN408"/>
      <c r="BO408"/>
      <c r="BQ408"/>
      <c r="BR408"/>
    </row>
    <row r="409" spans="4:70" ht="15">
      <c r="D409" s="19" t="s">
        <v>2221</v>
      </c>
      <c r="E409" s="28">
        <v>1</v>
      </c>
      <c r="AD409" s="19" t="s">
        <v>1981</v>
      </c>
      <c r="AE409" s="28">
        <v>1</v>
      </c>
      <c r="AF409" s="28">
        <v>600</v>
      </c>
      <c r="AG409" s="28">
        <v>108</v>
      </c>
      <c r="AH409" s="28">
        <v>708</v>
      </c>
      <c r="AJ409" s="19" t="s">
        <v>479</v>
      </c>
      <c r="AK409" s="28">
        <v>1</v>
      </c>
      <c r="AL409" s="28">
        <v>650</v>
      </c>
      <c r="AM409" s="28">
        <v>117</v>
      </c>
      <c r="AN409" s="28">
        <v>767</v>
      </c>
      <c r="BN409"/>
      <c r="BO409"/>
      <c r="BQ409"/>
      <c r="BR409"/>
    </row>
    <row r="410" spans="4:70" ht="15">
      <c r="D410" s="19" t="s">
        <v>2222</v>
      </c>
      <c r="E410" s="28">
        <v>1</v>
      </c>
      <c r="AD410" s="19" t="s">
        <v>1980</v>
      </c>
      <c r="AE410" s="28">
        <v>1</v>
      </c>
      <c r="AF410" s="28">
        <v>650</v>
      </c>
      <c r="AG410" s="28">
        <v>117</v>
      </c>
      <c r="AH410" s="28">
        <v>767</v>
      </c>
      <c r="AJ410" s="19" t="s">
        <v>477</v>
      </c>
      <c r="AK410" s="28">
        <v>1</v>
      </c>
      <c r="AL410" s="28">
        <v>1440.93</v>
      </c>
      <c r="AM410" s="28">
        <v>259.37</v>
      </c>
      <c r="AN410" s="28">
        <v>1700.3</v>
      </c>
      <c r="BN410"/>
      <c r="BO410"/>
      <c r="BQ410"/>
      <c r="BR410"/>
    </row>
    <row r="411" spans="4:70" ht="15">
      <c r="D411" s="19" t="s">
        <v>2223</v>
      </c>
      <c r="E411" s="28">
        <v>1</v>
      </c>
      <c r="AD411" s="19" t="s">
        <v>1975</v>
      </c>
      <c r="AE411" s="28">
        <v>1</v>
      </c>
      <c r="AF411" s="28">
        <v>1440.93</v>
      </c>
      <c r="AG411" s="28">
        <v>259.37</v>
      </c>
      <c r="AH411" s="28">
        <v>1700.3</v>
      </c>
      <c r="AJ411" s="19" t="s">
        <v>475</v>
      </c>
      <c r="AK411" s="28">
        <v>1</v>
      </c>
      <c r="AL411" s="28">
        <v>2327.5300000000002</v>
      </c>
      <c r="AM411" s="28">
        <v>418.95</v>
      </c>
      <c r="AN411" s="28">
        <v>2746.48</v>
      </c>
      <c r="BN411"/>
      <c r="BO411"/>
      <c r="BQ411"/>
      <c r="BR411"/>
    </row>
    <row r="412" spans="4:70" ht="15">
      <c r="D412" s="19" t="s">
        <v>2224</v>
      </c>
      <c r="E412" s="28">
        <v>1</v>
      </c>
      <c r="AD412" s="19" t="s">
        <v>1974</v>
      </c>
      <c r="AE412" s="28">
        <v>1</v>
      </c>
      <c r="AF412" s="28">
        <v>2327.5300000000002</v>
      </c>
      <c r="AG412" s="28">
        <v>418.95</v>
      </c>
      <c r="AH412" s="28">
        <v>2746.48</v>
      </c>
      <c r="AJ412" s="19" t="s">
        <v>473</v>
      </c>
      <c r="AK412" s="28">
        <v>1</v>
      </c>
      <c r="AL412" s="28">
        <v>1</v>
      </c>
      <c r="AM412" s="28">
        <v>0.18</v>
      </c>
      <c r="AN412" s="28">
        <v>1.18</v>
      </c>
      <c r="BN412"/>
      <c r="BO412"/>
      <c r="BQ412"/>
      <c r="BR412"/>
    </row>
    <row r="413" spans="4:70" ht="15">
      <c r="D413" s="19" t="s">
        <v>2225</v>
      </c>
      <c r="E413" s="28">
        <v>1</v>
      </c>
      <c r="AD413" s="19" t="s">
        <v>1973</v>
      </c>
      <c r="AE413" s="28">
        <v>1</v>
      </c>
      <c r="AF413" s="28">
        <v>1</v>
      </c>
      <c r="AG413" s="28">
        <v>0.18</v>
      </c>
      <c r="AH413" s="28">
        <v>1.18</v>
      </c>
      <c r="AJ413" s="19" t="s">
        <v>471</v>
      </c>
      <c r="AK413" s="28">
        <v>1</v>
      </c>
      <c r="AL413" s="28">
        <v>1180.25</v>
      </c>
      <c r="AM413" s="28">
        <v>212.45</v>
      </c>
      <c r="AN413" s="28">
        <v>1392.7</v>
      </c>
      <c r="BN413"/>
      <c r="BO413"/>
      <c r="BQ413"/>
      <c r="BR413"/>
    </row>
    <row r="414" spans="4:70" ht="15">
      <c r="D414" s="19" t="s">
        <v>2226</v>
      </c>
      <c r="E414" s="28">
        <v>1</v>
      </c>
      <c r="AD414" s="19" t="s">
        <v>1972</v>
      </c>
      <c r="AE414" s="28">
        <v>1</v>
      </c>
      <c r="AF414" s="28">
        <v>1180.25</v>
      </c>
      <c r="AG414" s="28">
        <v>212.45</v>
      </c>
      <c r="AH414" s="28">
        <v>1392.7</v>
      </c>
      <c r="AJ414" s="19" t="s">
        <v>468</v>
      </c>
      <c r="AK414" s="28">
        <v>1</v>
      </c>
      <c r="AL414" s="28">
        <v>1553.9</v>
      </c>
      <c r="AM414" s="28">
        <v>279.7</v>
      </c>
      <c r="AN414" s="28">
        <v>1833.6</v>
      </c>
      <c r="BN414"/>
      <c r="BO414"/>
      <c r="BQ414"/>
      <c r="BR414"/>
    </row>
    <row r="415" spans="4:70" ht="15">
      <c r="D415" s="19" t="s">
        <v>2227</v>
      </c>
      <c r="E415" s="28">
        <v>1</v>
      </c>
      <c r="AD415" s="19" t="s">
        <v>1971</v>
      </c>
      <c r="AE415" s="28">
        <v>1</v>
      </c>
      <c r="AF415" s="28">
        <v>1553.9</v>
      </c>
      <c r="AG415" s="28">
        <v>279.7</v>
      </c>
      <c r="AH415" s="28">
        <v>1833.6</v>
      </c>
      <c r="AJ415" s="19" t="s">
        <v>466</v>
      </c>
      <c r="AK415" s="28">
        <v>1</v>
      </c>
      <c r="AL415" s="28">
        <v>12.2</v>
      </c>
      <c r="AM415" s="28">
        <v>2.2000000000000002</v>
      </c>
      <c r="AN415" s="28">
        <v>14.4</v>
      </c>
      <c r="BN415"/>
      <c r="BO415"/>
      <c r="BQ415"/>
      <c r="BR415"/>
    </row>
    <row r="416" spans="4:70" ht="15">
      <c r="D416" s="19" t="s">
        <v>2228</v>
      </c>
      <c r="E416" s="28">
        <v>1</v>
      </c>
      <c r="AD416" s="19" t="s">
        <v>1970</v>
      </c>
      <c r="AE416" s="28">
        <v>1</v>
      </c>
      <c r="AF416" s="28">
        <v>12.2</v>
      </c>
      <c r="AG416" s="28">
        <v>2.2000000000000002</v>
      </c>
      <c r="AH416" s="28">
        <v>14.4</v>
      </c>
      <c r="AJ416" s="19" t="s">
        <v>463</v>
      </c>
      <c r="AK416" s="28">
        <v>1</v>
      </c>
      <c r="AL416" s="28">
        <v>11.47</v>
      </c>
      <c r="AM416" s="28">
        <v>2.0699999999999998</v>
      </c>
      <c r="AN416" s="28">
        <v>13.54</v>
      </c>
      <c r="BN416"/>
      <c r="BO416"/>
      <c r="BQ416"/>
      <c r="BR416"/>
    </row>
    <row r="417" spans="4:70" ht="15">
      <c r="D417" s="19" t="s">
        <v>2229</v>
      </c>
      <c r="E417" s="28">
        <v>1</v>
      </c>
      <c r="AD417" s="19" t="s">
        <v>1969</v>
      </c>
      <c r="AE417" s="28">
        <v>1</v>
      </c>
      <c r="AF417" s="28">
        <v>11.47</v>
      </c>
      <c r="AG417" s="28">
        <v>2.0699999999999998</v>
      </c>
      <c r="AH417" s="28">
        <v>13.54</v>
      </c>
      <c r="AJ417" s="19" t="s">
        <v>461</v>
      </c>
      <c r="AK417" s="28">
        <v>1</v>
      </c>
      <c r="AL417" s="28">
        <v>17.29</v>
      </c>
      <c r="AM417" s="28">
        <v>3.11</v>
      </c>
      <c r="AN417" s="28">
        <v>20.399999999999999</v>
      </c>
      <c r="BN417"/>
      <c r="BO417"/>
      <c r="BQ417"/>
      <c r="BR417"/>
    </row>
    <row r="418" spans="4:70" ht="15">
      <c r="D418" s="19" t="s">
        <v>2230</v>
      </c>
      <c r="E418" s="28">
        <v>1</v>
      </c>
      <c r="AD418" s="19" t="s">
        <v>1968</v>
      </c>
      <c r="AE418" s="28">
        <v>1</v>
      </c>
      <c r="AF418" s="28">
        <v>17.29</v>
      </c>
      <c r="AG418" s="28">
        <v>3.11</v>
      </c>
      <c r="AH418" s="28">
        <v>20.399999999999999</v>
      </c>
      <c r="AJ418" s="19" t="s">
        <v>458</v>
      </c>
      <c r="AK418" s="28">
        <v>1</v>
      </c>
      <c r="AL418" s="28">
        <v>30.34</v>
      </c>
      <c r="AM418" s="28">
        <v>5.46</v>
      </c>
      <c r="AN418" s="28">
        <v>35.799999999999997</v>
      </c>
      <c r="BN418"/>
      <c r="BO418"/>
      <c r="BQ418"/>
      <c r="BR418"/>
    </row>
    <row r="419" spans="4:70" ht="15">
      <c r="D419" s="19" t="s">
        <v>2231</v>
      </c>
      <c r="E419" s="28">
        <v>1</v>
      </c>
      <c r="AD419" s="19" t="s">
        <v>1967</v>
      </c>
      <c r="AE419" s="28">
        <v>1</v>
      </c>
      <c r="AF419" s="28">
        <v>30.34</v>
      </c>
      <c r="AG419" s="28">
        <v>5.46</v>
      </c>
      <c r="AH419" s="28">
        <v>35.799999999999997</v>
      </c>
      <c r="AJ419" s="19" t="s">
        <v>456</v>
      </c>
      <c r="AK419" s="28">
        <v>1</v>
      </c>
      <c r="AL419" s="28">
        <v>18.05</v>
      </c>
      <c r="AM419" s="28">
        <v>3.25</v>
      </c>
      <c r="AN419" s="28">
        <v>21.3</v>
      </c>
      <c r="BN419"/>
      <c r="BO419"/>
      <c r="BQ419"/>
      <c r="BR419"/>
    </row>
    <row r="420" spans="4:70" ht="15">
      <c r="D420" s="19" t="s">
        <v>2232</v>
      </c>
      <c r="E420" s="28">
        <v>1</v>
      </c>
      <c r="AD420" s="19" t="s">
        <v>1966</v>
      </c>
      <c r="AE420" s="28">
        <v>1</v>
      </c>
      <c r="AF420" s="28">
        <v>18.05</v>
      </c>
      <c r="AG420" s="28">
        <v>3.25</v>
      </c>
      <c r="AH420" s="28">
        <v>21.3</v>
      </c>
      <c r="AJ420" s="19" t="s">
        <v>453</v>
      </c>
      <c r="AK420" s="28">
        <v>1</v>
      </c>
      <c r="AL420" s="28">
        <v>16.440000000000001</v>
      </c>
      <c r="AM420" s="28">
        <v>2.96</v>
      </c>
      <c r="AN420" s="28">
        <v>19.399999999999999</v>
      </c>
      <c r="BN420"/>
      <c r="BO420"/>
      <c r="BQ420"/>
      <c r="BR420"/>
    </row>
    <row r="421" spans="4:70" ht="15">
      <c r="D421" s="19" t="s">
        <v>2233</v>
      </c>
      <c r="E421" s="28">
        <v>1</v>
      </c>
      <c r="AD421" s="19" t="s">
        <v>1965</v>
      </c>
      <c r="AE421" s="28">
        <v>1</v>
      </c>
      <c r="AF421" s="28">
        <v>16.440000000000001</v>
      </c>
      <c r="AG421" s="28">
        <v>2.96</v>
      </c>
      <c r="AH421" s="28">
        <v>19.399999999999999</v>
      </c>
      <c r="AJ421" s="19" t="s">
        <v>451</v>
      </c>
      <c r="AK421" s="28">
        <v>1</v>
      </c>
      <c r="AL421" s="28">
        <v>29.49</v>
      </c>
      <c r="AM421" s="28">
        <v>5.31</v>
      </c>
      <c r="AN421" s="28">
        <v>34.799999999999997</v>
      </c>
      <c r="BN421"/>
      <c r="BO421"/>
      <c r="BQ421"/>
      <c r="BR421"/>
    </row>
    <row r="422" spans="4:70" ht="15">
      <c r="D422" s="19" t="s">
        <v>2234</v>
      </c>
      <c r="E422" s="28">
        <v>1</v>
      </c>
      <c r="AD422" s="19" t="s">
        <v>1964</v>
      </c>
      <c r="AE422" s="28">
        <v>1</v>
      </c>
      <c r="AF422" s="28">
        <v>29.49</v>
      </c>
      <c r="AG422" s="28">
        <v>5.31</v>
      </c>
      <c r="AH422" s="28">
        <v>34.799999999999997</v>
      </c>
      <c r="AJ422" s="19" t="s">
        <v>448</v>
      </c>
      <c r="AK422" s="28">
        <v>1</v>
      </c>
      <c r="AL422" s="28">
        <v>54.07</v>
      </c>
      <c r="AM422" s="28">
        <v>9.73</v>
      </c>
      <c r="AN422" s="28">
        <v>63.8</v>
      </c>
      <c r="BN422"/>
      <c r="BO422"/>
      <c r="BQ422"/>
      <c r="BR422"/>
    </row>
    <row r="423" spans="4:70" ht="15">
      <c r="D423" s="19" t="s">
        <v>2235</v>
      </c>
      <c r="E423" s="28">
        <v>1</v>
      </c>
      <c r="AD423" s="19" t="s">
        <v>1963</v>
      </c>
      <c r="AE423" s="28">
        <v>1</v>
      </c>
      <c r="AF423" s="28">
        <v>54.07</v>
      </c>
      <c r="AG423" s="28">
        <v>9.73</v>
      </c>
      <c r="AH423" s="28">
        <v>63.8</v>
      </c>
      <c r="AJ423" s="19" t="s">
        <v>446</v>
      </c>
      <c r="AK423" s="28">
        <v>1</v>
      </c>
      <c r="AL423" s="28">
        <v>183.02</v>
      </c>
      <c r="AM423" s="28">
        <v>32.94</v>
      </c>
      <c r="AN423" s="28">
        <v>215.96</v>
      </c>
      <c r="BN423"/>
      <c r="BO423"/>
      <c r="BQ423"/>
      <c r="BR423"/>
    </row>
    <row r="424" spans="4:70" ht="15">
      <c r="D424" s="19" t="s">
        <v>2236</v>
      </c>
      <c r="E424" s="28">
        <v>1</v>
      </c>
      <c r="AD424" s="19" t="s">
        <v>1960</v>
      </c>
      <c r="AE424" s="28">
        <v>1</v>
      </c>
      <c r="AF424" s="28">
        <v>183.02</v>
      </c>
      <c r="AG424" s="28">
        <v>32.94</v>
      </c>
      <c r="AH424" s="28">
        <v>215.96</v>
      </c>
      <c r="AJ424" s="19" t="s">
        <v>444</v>
      </c>
      <c r="AK424" s="28">
        <v>1</v>
      </c>
      <c r="AL424" s="28">
        <v>298.87</v>
      </c>
      <c r="AM424" s="28">
        <v>53.8</v>
      </c>
      <c r="AN424" s="28">
        <v>352.67</v>
      </c>
      <c r="BN424"/>
      <c r="BO424"/>
      <c r="BQ424"/>
      <c r="BR424"/>
    </row>
    <row r="425" spans="4:70" ht="15">
      <c r="D425" s="19" t="s">
        <v>2237</v>
      </c>
      <c r="E425" s="28">
        <v>1</v>
      </c>
      <c r="AD425" s="19" t="s">
        <v>1959</v>
      </c>
      <c r="AE425" s="28">
        <v>1</v>
      </c>
      <c r="AF425" s="28">
        <v>298.87</v>
      </c>
      <c r="AG425" s="28">
        <v>53.8</v>
      </c>
      <c r="AH425" s="28">
        <v>352.67</v>
      </c>
      <c r="AJ425" s="19" t="s">
        <v>441</v>
      </c>
      <c r="AK425" s="28">
        <v>1</v>
      </c>
      <c r="AL425" s="28">
        <v>308</v>
      </c>
      <c r="AM425" s="28">
        <v>55.44</v>
      </c>
      <c r="AN425" s="28">
        <v>363.44</v>
      </c>
      <c r="BN425"/>
      <c r="BO425"/>
      <c r="BQ425"/>
      <c r="BR425"/>
    </row>
    <row r="426" spans="4:70" ht="15">
      <c r="D426" s="19" t="s">
        <v>2238</v>
      </c>
      <c r="E426" s="28">
        <v>1</v>
      </c>
      <c r="AD426" s="19" t="s">
        <v>1958</v>
      </c>
      <c r="AE426" s="28">
        <v>1</v>
      </c>
      <c r="AF426" s="28">
        <v>308</v>
      </c>
      <c r="AG426" s="28">
        <v>55.44</v>
      </c>
      <c r="AH426" s="28">
        <v>363.44</v>
      </c>
      <c r="AJ426" s="19" t="s">
        <v>439</v>
      </c>
      <c r="AK426" s="28">
        <v>1</v>
      </c>
      <c r="AL426" s="28">
        <v>660</v>
      </c>
      <c r="AM426" s="28">
        <v>118.8</v>
      </c>
      <c r="AN426" s="28">
        <v>778.8</v>
      </c>
      <c r="BN426"/>
      <c r="BO426"/>
      <c r="BQ426"/>
      <c r="BR426"/>
    </row>
    <row r="427" spans="4:70" ht="15">
      <c r="D427" s="19" t="s">
        <v>2239</v>
      </c>
      <c r="E427" s="28">
        <v>1</v>
      </c>
      <c r="AD427" s="19" t="s">
        <v>1957</v>
      </c>
      <c r="AE427" s="28">
        <v>1</v>
      </c>
      <c r="AF427" s="28">
        <v>660</v>
      </c>
      <c r="AG427" s="28">
        <v>118.8</v>
      </c>
      <c r="AH427" s="28">
        <v>778.8</v>
      </c>
      <c r="AJ427" s="19" t="s">
        <v>437</v>
      </c>
      <c r="AK427" s="28">
        <v>1</v>
      </c>
      <c r="AL427" s="28">
        <v>1693.39</v>
      </c>
      <c r="AM427" s="28">
        <v>304.81</v>
      </c>
      <c r="AN427" s="28">
        <v>1998.2</v>
      </c>
      <c r="BN427"/>
      <c r="BO427"/>
      <c r="BQ427"/>
      <c r="BR427"/>
    </row>
    <row r="428" spans="4:70" ht="15">
      <c r="D428" s="19" t="s">
        <v>2240</v>
      </c>
      <c r="E428" s="28">
        <v>1</v>
      </c>
      <c r="AD428" s="19" t="s">
        <v>1956</v>
      </c>
      <c r="AE428" s="28">
        <v>1</v>
      </c>
      <c r="AF428" s="28">
        <v>1693.39</v>
      </c>
      <c r="AG428" s="28">
        <v>304.81</v>
      </c>
      <c r="AH428" s="28">
        <v>1998.2</v>
      </c>
      <c r="AJ428" s="19" t="s">
        <v>435</v>
      </c>
      <c r="AK428" s="28">
        <v>1</v>
      </c>
      <c r="AL428" s="28">
        <v>1200</v>
      </c>
      <c r="AM428" s="28">
        <v>216</v>
      </c>
      <c r="AN428" s="28">
        <v>1416</v>
      </c>
      <c r="BN428"/>
      <c r="BO428"/>
      <c r="BQ428"/>
      <c r="BR428"/>
    </row>
    <row r="429" spans="4:70" ht="15">
      <c r="D429" s="19" t="s">
        <v>2241</v>
      </c>
      <c r="E429" s="28">
        <v>1</v>
      </c>
      <c r="AD429" s="19" t="s">
        <v>1955</v>
      </c>
      <c r="AE429" s="28">
        <v>1</v>
      </c>
      <c r="AF429" s="28">
        <v>1200</v>
      </c>
      <c r="AG429" s="28">
        <v>216</v>
      </c>
      <c r="AH429" s="28">
        <v>1416</v>
      </c>
      <c r="AJ429" s="19" t="s">
        <v>433</v>
      </c>
      <c r="AK429" s="28">
        <v>1</v>
      </c>
      <c r="AL429" s="28">
        <v>600</v>
      </c>
      <c r="AM429" s="28">
        <v>108</v>
      </c>
      <c r="AN429" s="28">
        <v>708</v>
      </c>
      <c r="BN429"/>
      <c r="BO429"/>
      <c r="BQ429"/>
      <c r="BR429"/>
    </row>
    <row r="430" spans="4:70" ht="15">
      <c r="D430" s="19" t="s">
        <v>2242</v>
      </c>
      <c r="E430" s="28">
        <v>1</v>
      </c>
      <c r="AD430" s="19" t="s">
        <v>1954</v>
      </c>
      <c r="AE430" s="28">
        <v>1</v>
      </c>
      <c r="AF430" s="28">
        <v>600</v>
      </c>
      <c r="AG430" s="28">
        <v>108</v>
      </c>
      <c r="AH430" s="28">
        <v>708</v>
      </c>
      <c r="AJ430" s="19" t="s">
        <v>430</v>
      </c>
      <c r="AK430" s="28">
        <v>1</v>
      </c>
      <c r="AL430" s="28">
        <v>10</v>
      </c>
      <c r="AM430" s="28">
        <v>1.8</v>
      </c>
      <c r="AN430" s="28">
        <v>11.8</v>
      </c>
      <c r="BN430"/>
      <c r="BO430"/>
      <c r="BQ430"/>
      <c r="BR430"/>
    </row>
    <row r="431" spans="4:70" ht="15">
      <c r="D431" s="19" t="s">
        <v>2243</v>
      </c>
      <c r="E431" s="28">
        <v>1</v>
      </c>
      <c r="AD431" s="19" t="s">
        <v>1953</v>
      </c>
      <c r="AE431" s="28">
        <v>1</v>
      </c>
      <c r="AF431" s="28">
        <v>10</v>
      </c>
      <c r="AG431" s="28">
        <v>1.8</v>
      </c>
      <c r="AH431" s="28">
        <v>11.8</v>
      </c>
      <c r="AJ431" s="19" t="s">
        <v>428</v>
      </c>
      <c r="AK431" s="28">
        <v>1</v>
      </c>
      <c r="AL431" s="28">
        <v>42.58</v>
      </c>
      <c r="AM431" s="28">
        <v>7.66</v>
      </c>
      <c r="AN431" s="28">
        <v>50.24</v>
      </c>
      <c r="BN431"/>
      <c r="BO431"/>
      <c r="BQ431"/>
      <c r="BR431"/>
    </row>
    <row r="432" spans="4:70" ht="15">
      <c r="D432" s="19" t="s">
        <v>2244</v>
      </c>
      <c r="E432" s="28">
        <v>1</v>
      </c>
      <c r="AD432" s="19" t="s">
        <v>1949</v>
      </c>
      <c r="AE432" s="28">
        <v>1</v>
      </c>
      <c r="AF432" s="28">
        <v>42.58</v>
      </c>
      <c r="AG432" s="28">
        <v>7.66</v>
      </c>
      <c r="AH432" s="28">
        <v>50.24</v>
      </c>
      <c r="AJ432" s="19" t="s">
        <v>426</v>
      </c>
      <c r="AK432" s="28">
        <v>1</v>
      </c>
      <c r="AL432" s="28">
        <v>69.42</v>
      </c>
      <c r="AM432" s="28">
        <v>12.5</v>
      </c>
      <c r="AN432" s="28">
        <v>81.92</v>
      </c>
      <c r="BN432"/>
      <c r="BO432"/>
      <c r="BQ432"/>
      <c r="BR432"/>
    </row>
    <row r="433" spans="4:70" ht="15">
      <c r="D433" s="19" t="s">
        <v>2245</v>
      </c>
      <c r="E433" s="28">
        <v>1</v>
      </c>
      <c r="AD433" s="19" t="s">
        <v>1948</v>
      </c>
      <c r="AE433" s="28">
        <v>1</v>
      </c>
      <c r="AF433" s="28">
        <v>69.42</v>
      </c>
      <c r="AG433" s="28">
        <v>12.5</v>
      </c>
      <c r="AH433" s="28">
        <v>81.92</v>
      </c>
      <c r="AJ433" s="19" t="s">
        <v>424</v>
      </c>
      <c r="AK433" s="28">
        <v>1</v>
      </c>
      <c r="AL433" s="28">
        <v>200</v>
      </c>
      <c r="AM433" s="28">
        <v>36</v>
      </c>
      <c r="AN433" s="28">
        <v>236</v>
      </c>
      <c r="BN433"/>
      <c r="BO433"/>
      <c r="BQ433"/>
      <c r="BR433"/>
    </row>
    <row r="434" spans="4:70" ht="15">
      <c r="D434" s="19" t="s">
        <v>2246</v>
      </c>
      <c r="E434" s="28">
        <v>1</v>
      </c>
      <c r="AD434" s="19" t="s">
        <v>1947</v>
      </c>
      <c r="AE434" s="28">
        <v>1</v>
      </c>
      <c r="AF434" s="28">
        <v>200</v>
      </c>
      <c r="AG434" s="28">
        <v>36</v>
      </c>
      <c r="AH434" s="28">
        <v>236</v>
      </c>
      <c r="AJ434" s="19" t="s">
        <v>421</v>
      </c>
      <c r="AK434" s="28">
        <v>1</v>
      </c>
      <c r="AL434" s="28">
        <v>1</v>
      </c>
      <c r="AM434" s="28">
        <v>0.18</v>
      </c>
      <c r="AN434" s="28">
        <v>1.18</v>
      </c>
      <c r="BN434"/>
      <c r="BO434"/>
      <c r="BQ434"/>
      <c r="BR434"/>
    </row>
    <row r="435" spans="4:70" ht="15">
      <c r="D435" s="19" t="s">
        <v>2247</v>
      </c>
      <c r="E435" s="28">
        <v>1</v>
      </c>
      <c r="AD435" s="19" t="s">
        <v>1946</v>
      </c>
      <c r="AE435" s="28">
        <v>1</v>
      </c>
      <c r="AF435" s="28">
        <v>1</v>
      </c>
      <c r="AG435" s="28">
        <v>0.18</v>
      </c>
      <c r="AH435" s="28">
        <v>1.18</v>
      </c>
      <c r="AJ435" s="19" t="s">
        <v>419</v>
      </c>
      <c r="AK435" s="28">
        <v>1</v>
      </c>
      <c r="AL435" s="28">
        <v>4.58</v>
      </c>
      <c r="AM435" s="28">
        <v>0.82</v>
      </c>
      <c r="AN435" s="28">
        <v>5.4</v>
      </c>
      <c r="BN435"/>
      <c r="BO435"/>
      <c r="BQ435"/>
      <c r="BR435"/>
    </row>
    <row r="436" spans="4:70" ht="15">
      <c r="D436" s="19" t="s">
        <v>2248</v>
      </c>
      <c r="E436" s="28">
        <v>1</v>
      </c>
      <c r="AD436" s="19" t="s">
        <v>1942</v>
      </c>
      <c r="AE436" s="28">
        <v>1</v>
      </c>
      <c r="AF436" s="28">
        <v>4.58</v>
      </c>
      <c r="AG436" s="28">
        <v>0.82</v>
      </c>
      <c r="AH436" s="28">
        <v>5.4</v>
      </c>
      <c r="AJ436" s="19" t="s">
        <v>417</v>
      </c>
      <c r="AK436" s="28">
        <v>1</v>
      </c>
      <c r="AL436" s="28">
        <v>6.95</v>
      </c>
      <c r="AM436" s="28">
        <v>1.25</v>
      </c>
      <c r="AN436" s="28">
        <v>8.1999999999999993</v>
      </c>
      <c r="BN436"/>
      <c r="BO436"/>
      <c r="BQ436"/>
      <c r="BR436"/>
    </row>
    <row r="437" spans="4:70" ht="15">
      <c r="D437" s="19" t="s">
        <v>2249</v>
      </c>
      <c r="E437" s="28">
        <v>1</v>
      </c>
      <c r="AD437" s="19" t="s">
        <v>1941</v>
      </c>
      <c r="AE437" s="28">
        <v>1</v>
      </c>
      <c r="AF437" s="28">
        <v>6.95</v>
      </c>
      <c r="AG437" s="28">
        <v>1.25</v>
      </c>
      <c r="AH437" s="28">
        <v>8.1999999999999993</v>
      </c>
      <c r="AJ437" s="19" t="s">
        <v>415</v>
      </c>
      <c r="AK437" s="28">
        <v>1</v>
      </c>
      <c r="AL437" s="28">
        <v>12.71</v>
      </c>
      <c r="AM437" s="28">
        <v>2.29</v>
      </c>
      <c r="AN437" s="28">
        <v>15</v>
      </c>
      <c r="BN437"/>
      <c r="BO437"/>
      <c r="BQ437"/>
      <c r="BR437"/>
    </row>
    <row r="438" spans="4:70" ht="15">
      <c r="D438" s="19" t="s">
        <v>2250</v>
      </c>
      <c r="E438" s="28">
        <v>1</v>
      </c>
      <c r="AD438" s="19" t="s">
        <v>1940</v>
      </c>
      <c r="AE438" s="28">
        <v>1</v>
      </c>
      <c r="AF438" s="28">
        <v>12.71</v>
      </c>
      <c r="AG438" s="28">
        <v>2.29</v>
      </c>
      <c r="AH438" s="28">
        <v>15</v>
      </c>
      <c r="AJ438" s="19" t="s">
        <v>412</v>
      </c>
      <c r="AK438" s="28">
        <v>1</v>
      </c>
      <c r="AL438" s="28">
        <v>18.64</v>
      </c>
      <c r="AM438" s="28">
        <v>3.36</v>
      </c>
      <c r="AN438" s="28">
        <v>22</v>
      </c>
      <c r="BN438"/>
      <c r="BO438"/>
      <c r="BQ438"/>
      <c r="BR438"/>
    </row>
    <row r="439" spans="4:70" ht="15">
      <c r="D439" s="19" t="s">
        <v>2251</v>
      </c>
      <c r="E439" s="28">
        <v>1</v>
      </c>
      <c r="AD439" s="19" t="s">
        <v>1939</v>
      </c>
      <c r="AE439" s="28">
        <v>1</v>
      </c>
      <c r="AF439" s="28">
        <v>18.64</v>
      </c>
      <c r="AG439" s="28">
        <v>3.36</v>
      </c>
      <c r="AH439" s="28">
        <v>22</v>
      </c>
      <c r="AJ439" s="19" t="s">
        <v>410</v>
      </c>
      <c r="AK439" s="28">
        <v>1</v>
      </c>
      <c r="AL439" s="28">
        <v>140.34</v>
      </c>
      <c r="AM439" s="28">
        <v>25.26</v>
      </c>
      <c r="AN439" s="28">
        <v>165.6</v>
      </c>
      <c r="BN439"/>
      <c r="BO439"/>
      <c r="BQ439"/>
      <c r="BR439"/>
    </row>
    <row r="440" spans="4:70" ht="15">
      <c r="D440" s="19" t="s">
        <v>2252</v>
      </c>
      <c r="E440" s="28">
        <v>1</v>
      </c>
      <c r="AD440" s="19" t="s">
        <v>1938</v>
      </c>
      <c r="AE440" s="28">
        <v>1</v>
      </c>
      <c r="AF440" s="28">
        <v>140.34</v>
      </c>
      <c r="AG440" s="28">
        <v>25.26</v>
      </c>
      <c r="AH440" s="28">
        <v>165.6</v>
      </c>
      <c r="AJ440" s="19" t="s">
        <v>407</v>
      </c>
      <c r="AK440" s="28">
        <v>1</v>
      </c>
      <c r="AL440" s="28">
        <v>190.17</v>
      </c>
      <c r="AM440" s="28">
        <v>34.229999999999997</v>
      </c>
      <c r="AN440" s="28">
        <v>224.4</v>
      </c>
      <c r="BN440"/>
      <c r="BO440"/>
    </row>
    <row r="441" spans="4:70" ht="15">
      <c r="D441" s="19" t="s">
        <v>2253</v>
      </c>
      <c r="E441" s="28">
        <v>1</v>
      </c>
      <c r="AD441" s="19" t="s">
        <v>1937</v>
      </c>
      <c r="AE441" s="28">
        <v>1</v>
      </c>
      <c r="AF441" s="28">
        <v>190.17</v>
      </c>
      <c r="AG441" s="28">
        <v>34.229999999999997</v>
      </c>
      <c r="AH441" s="28">
        <v>224.4</v>
      </c>
      <c r="AJ441" s="19" t="s">
        <v>405</v>
      </c>
      <c r="AK441" s="28">
        <v>1</v>
      </c>
      <c r="AL441" s="28">
        <v>527.39</v>
      </c>
      <c r="AM441" s="28">
        <v>94.93</v>
      </c>
      <c r="AN441" s="28">
        <v>622.32000000000005</v>
      </c>
      <c r="BN441"/>
      <c r="BO441"/>
    </row>
    <row r="442" spans="4:70" ht="15">
      <c r="D442" s="19" t="s">
        <v>2254</v>
      </c>
      <c r="E442" s="28">
        <v>1</v>
      </c>
      <c r="AD442" s="19" t="s">
        <v>1924</v>
      </c>
      <c r="AE442" s="28">
        <v>1</v>
      </c>
      <c r="AF442" s="28">
        <v>527.39</v>
      </c>
      <c r="AG442" s="28">
        <v>94.93</v>
      </c>
      <c r="AH442" s="28">
        <v>622.32000000000005</v>
      </c>
      <c r="AJ442" s="19" t="s">
        <v>403</v>
      </c>
      <c r="AK442" s="28">
        <v>1</v>
      </c>
      <c r="AL442" s="28">
        <v>392.2</v>
      </c>
      <c r="AM442" s="28">
        <v>70.599999999999994</v>
      </c>
      <c r="AN442" s="28">
        <v>462.8</v>
      </c>
      <c r="BN442"/>
      <c r="BO442"/>
    </row>
    <row r="443" spans="4:70" ht="15">
      <c r="D443" s="19" t="s">
        <v>2255</v>
      </c>
      <c r="E443" s="28">
        <v>1</v>
      </c>
      <c r="AD443" s="19" t="s">
        <v>1923</v>
      </c>
      <c r="AE443" s="28">
        <v>1</v>
      </c>
      <c r="AF443" s="28">
        <v>392.2</v>
      </c>
      <c r="AG443" s="28">
        <v>70.599999999999994</v>
      </c>
      <c r="AH443" s="28">
        <v>462.8</v>
      </c>
      <c r="AJ443" s="19" t="s">
        <v>400</v>
      </c>
      <c r="AK443" s="28">
        <v>1</v>
      </c>
      <c r="AL443" s="28">
        <v>12.75</v>
      </c>
      <c r="AM443" s="28">
        <v>2.29</v>
      </c>
      <c r="AN443" s="28">
        <v>15.04</v>
      </c>
      <c r="BN443"/>
      <c r="BO443"/>
    </row>
    <row r="444" spans="4:70" ht="15">
      <c r="D444" s="19" t="s">
        <v>2256</v>
      </c>
      <c r="E444" s="28">
        <v>1</v>
      </c>
      <c r="AD444" s="19" t="s">
        <v>1922</v>
      </c>
      <c r="AE444" s="28">
        <v>1</v>
      </c>
      <c r="AF444" s="28">
        <v>12.75</v>
      </c>
      <c r="AG444" s="28">
        <v>2.29</v>
      </c>
      <c r="AH444" s="28">
        <v>15.04</v>
      </c>
      <c r="AJ444" s="19" t="s">
        <v>393</v>
      </c>
      <c r="AK444" s="28">
        <v>1</v>
      </c>
      <c r="AL444" s="28">
        <v>20.190000000000001</v>
      </c>
      <c r="AM444" s="28">
        <v>3.64</v>
      </c>
      <c r="AN444" s="28">
        <v>23.83</v>
      </c>
      <c r="BN444"/>
      <c r="BO444"/>
    </row>
    <row r="445" spans="4:70" ht="15">
      <c r="D445" s="19" t="s">
        <v>2257</v>
      </c>
      <c r="E445" s="28">
        <v>1</v>
      </c>
      <c r="AD445" s="19" t="s">
        <v>1919</v>
      </c>
      <c r="AE445" s="28">
        <v>1</v>
      </c>
      <c r="AF445" s="28">
        <v>20.190000000000001</v>
      </c>
      <c r="AG445" s="28">
        <v>3.64</v>
      </c>
      <c r="AH445" s="28">
        <v>23.83</v>
      </c>
      <c r="AJ445" s="19" t="s">
        <v>391</v>
      </c>
      <c r="AK445" s="28">
        <v>1</v>
      </c>
      <c r="AL445" s="28">
        <v>30.68</v>
      </c>
      <c r="AM445" s="28">
        <v>5.52</v>
      </c>
      <c r="AN445" s="28">
        <v>36.200000000000003</v>
      </c>
      <c r="BN445"/>
      <c r="BO445"/>
    </row>
    <row r="446" spans="4:70" ht="15">
      <c r="D446" s="19" t="s">
        <v>2258</v>
      </c>
      <c r="E446" s="28">
        <v>1</v>
      </c>
      <c r="AD446" s="19" t="s">
        <v>1918</v>
      </c>
      <c r="AE446" s="28">
        <v>1</v>
      </c>
      <c r="AF446" s="28">
        <v>30.68</v>
      </c>
      <c r="AG446" s="28">
        <v>5.52</v>
      </c>
      <c r="AH446" s="28">
        <v>36.200000000000003</v>
      </c>
      <c r="AJ446" s="19" t="s">
        <v>389</v>
      </c>
      <c r="AK446" s="28">
        <v>1</v>
      </c>
      <c r="AL446" s="28">
        <v>107.37</v>
      </c>
      <c r="AM446" s="28">
        <v>19.329999999999998</v>
      </c>
      <c r="AN446" s="28">
        <v>126.7</v>
      </c>
      <c r="BN446"/>
      <c r="BO446"/>
    </row>
    <row r="447" spans="4:70" ht="15">
      <c r="D447" s="19" t="s">
        <v>2259</v>
      </c>
      <c r="E447" s="28">
        <v>1</v>
      </c>
      <c r="AD447" s="19" t="s">
        <v>1843</v>
      </c>
      <c r="AE447" s="28">
        <v>1</v>
      </c>
      <c r="AF447" s="28">
        <v>107.37</v>
      </c>
      <c r="AG447" s="28">
        <v>19.329999999999998</v>
      </c>
      <c r="AH447" s="28">
        <v>126.7</v>
      </c>
      <c r="AJ447" s="19" t="s">
        <v>959</v>
      </c>
      <c r="AK447" s="28">
        <v>1</v>
      </c>
      <c r="AL447" s="28">
        <v>970</v>
      </c>
      <c r="AM447" s="28">
        <v>174.6</v>
      </c>
      <c r="AN447" s="28">
        <v>1144.5999999999999</v>
      </c>
      <c r="BN447"/>
      <c r="BO447"/>
    </row>
    <row r="448" spans="4:70" ht="15">
      <c r="D448" s="19" t="s">
        <v>2260</v>
      </c>
      <c r="E448" s="28">
        <v>1</v>
      </c>
      <c r="AD448" s="19" t="s">
        <v>2179</v>
      </c>
      <c r="AE448" s="28">
        <v>1</v>
      </c>
      <c r="AF448" s="28">
        <v>970</v>
      </c>
      <c r="AG448" s="28">
        <v>174.6</v>
      </c>
      <c r="AH448" s="28">
        <v>1144.5999999999999</v>
      </c>
      <c r="AJ448" s="19" t="s">
        <v>957</v>
      </c>
      <c r="AK448" s="28">
        <v>1</v>
      </c>
      <c r="AL448" s="28">
        <v>976.5</v>
      </c>
      <c r="AM448" s="28">
        <v>175.77</v>
      </c>
      <c r="AN448" s="28">
        <v>1152.27</v>
      </c>
      <c r="BN448"/>
      <c r="BO448"/>
    </row>
    <row r="449" spans="4:67" ht="15">
      <c r="D449" s="19" t="s">
        <v>2261</v>
      </c>
      <c r="E449" s="28">
        <v>1</v>
      </c>
      <c r="AD449" s="19" t="s">
        <v>2178</v>
      </c>
      <c r="AE449" s="28">
        <v>1</v>
      </c>
      <c r="AF449" s="28">
        <v>976.5</v>
      </c>
      <c r="AG449" s="28">
        <v>175.77</v>
      </c>
      <c r="AH449" s="28">
        <v>1152.27</v>
      </c>
      <c r="AJ449" s="19" t="s">
        <v>934</v>
      </c>
      <c r="AK449" s="28">
        <v>1</v>
      </c>
      <c r="AL449" s="28">
        <v>209.66</v>
      </c>
      <c r="AM449" s="28">
        <v>37.74</v>
      </c>
      <c r="AN449" s="28">
        <v>247.4</v>
      </c>
      <c r="BN449"/>
      <c r="BO449"/>
    </row>
    <row r="450" spans="4:67" ht="15">
      <c r="D450" s="19" t="s">
        <v>2262</v>
      </c>
      <c r="E450" s="28">
        <v>1</v>
      </c>
      <c r="AD450" s="19" t="s">
        <v>2167</v>
      </c>
      <c r="AE450" s="28">
        <v>1</v>
      </c>
      <c r="AF450" s="28">
        <v>209.66</v>
      </c>
      <c r="AG450" s="28">
        <v>37.74</v>
      </c>
      <c r="AH450" s="28">
        <v>247.4</v>
      </c>
      <c r="AJ450" s="19" t="s">
        <v>932</v>
      </c>
      <c r="AK450" s="28">
        <v>1</v>
      </c>
      <c r="AL450" s="28">
        <v>720</v>
      </c>
      <c r="AM450" s="28">
        <v>129.6</v>
      </c>
      <c r="AN450" s="28">
        <v>849.6</v>
      </c>
      <c r="BN450"/>
      <c r="BO450"/>
    </row>
    <row r="451" spans="4:67" ht="15">
      <c r="D451" s="19" t="s">
        <v>2263</v>
      </c>
      <c r="E451" s="28">
        <v>1</v>
      </c>
      <c r="AD451" s="19" t="s">
        <v>2166</v>
      </c>
      <c r="AE451" s="28">
        <v>1</v>
      </c>
      <c r="AF451" s="28">
        <v>720</v>
      </c>
      <c r="AG451" s="28">
        <v>129.6</v>
      </c>
      <c r="AH451" s="28">
        <v>849.6</v>
      </c>
      <c r="AJ451" s="19" t="s">
        <v>930</v>
      </c>
      <c r="AK451" s="28">
        <v>1</v>
      </c>
      <c r="AL451" s="28">
        <v>720</v>
      </c>
      <c r="AM451" s="28">
        <v>129.6</v>
      </c>
      <c r="AN451" s="28">
        <v>849.6</v>
      </c>
      <c r="BN451"/>
      <c r="BO451"/>
    </row>
    <row r="452" spans="4:67" ht="15">
      <c r="D452" s="19" t="s">
        <v>2264</v>
      </c>
      <c r="E452" s="28">
        <v>1</v>
      </c>
      <c r="AD452" s="19" t="s">
        <v>2165</v>
      </c>
      <c r="AE452" s="28">
        <v>1</v>
      </c>
      <c r="AF452" s="28">
        <v>720</v>
      </c>
      <c r="AG452" s="28">
        <v>129.6</v>
      </c>
      <c r="AH452" s="28">
        <v>849.6</v>
      </c>
      <c r="AJ452" s="19" t="s">
        <v>927</v>
      </c>
      <c r="AK452" s="28">
        <v>1</v>
      </c>
      <c r="AL452" s="28">
        <v>1230</v>
      </c>
      <c r="AM452" s="28">
        <v>221.4</v>
      </c>
      <c r="AN452" s="28">
        <v>1451.4</v>
      </c>
      <c r="BN452"/>
      <c r="BO452"/>
    </row>
    <row r="453" spans="4:67" ht="15">
      <c r="D453" s="19" t="s">
        <v>2265</v>
      </c>
      <c r="E453" s="28">
        <v>1</v>
      </c>
      <c r="AD453" s="19" t="s">
        <v>2164</v>
      </c>
      <c r="AE453" s="28">
        <v>1</v>
      </c>
      <c r="AF453" s="28">
        <v>1230</v>
      </c>
      <c r="AG453" s="28">
        <v>221.4</v>
      </c>
      <c r="AH453" s="28">
        <v>1451.4</v>
      </c>
      <c r="AJ453" s="19" t="s">
        <v>760</v>
      </c>
      <c r="AK453" s="28">
        <v>1</v>
      </c>
      <c r="AL453" s="28">
        <v>910</v>
      </c>
      <c r="AM453" s="28">
        <v>163.80000000000001</v>
      </c>
      <c r="AN453" s="28">
        <v>1073.8</v>
      </c>
      <c r="BN453"/>
      <c r="BO453"/>
    </row>
    <row r="454" spans="4:67" ht="15">
      <c r="D454" s="19" t="s">
        <v>2266</v>
      </c>
      <c r="E454" s="28">
        <v>1</v>
      </c>
      <c r="AD454" s="19" t="s">
        <v>2083</v>
      </c>
      <c r="AE454" s="28">
        <v>1</v>
      </c>
      <c r="AF454" s="28">
        <v>910</v>
      </c>
      <c r="AG454" s="28">
        <v>163.80000000000001</v>
      </c>
      <c r="AH454" s="28">
        <v>1073.8</v>
      </c>
      <c r="AJ454" s="19" t="s">
        <v>758</v>
      </c>
      <c r="AK454" s="28">
        <v>1</v>
      </c>
      <c r="AL454" s="28">
        <v>800</v>
      </c>
      <c r="AM454" s="28">
        <v>144</v>
      </c>
      <c r="AN454" s="28">
        <v>944</v>
      </c>
      <c r="BN454"/>
      <c r="BO454"/>
    </row>
    <row r="455" spans="4:67" ht="15">
      <c r="D455" s="19" t="s">
        <v>2267</v>
      </c>
      <c r="E455" s="28">
        <v>1</v>
      </c>
      <c r="AD455" s="19" t="s">
        <v>2082</v>
      </c>
      <c r="AE455" s="28">
        <v>1</v>
      </c>
      <c r="AF455" s="28">
        <v>800</v>
      </c>
      <c r="AG455" s="28">
        <v>144</v>
      </c>
      <c r="AH455" s="28">
        <v>944</v>
      </c>
      <c r="AJ455" s="19" t="s">
        <v>689</v>
      </c>
      <c r="AK455" s="28">
        <v>1</v>
      </c>
      <c r="AL455" s="28">
        <v>2080</v>
      </c>
      <c r="AM455" s="28">
        <v>374.4</v>
      </c>
      <c r="AN455" s="28">
        <v>2454.4</v>
      </c>
      <c r="BN455"/>
      <c r="BO455"/>
    </row>
    <row r="456" spans="4:67" ht="15">
      <c r="D456" s="19" t="s">
        <v>2268</v>
      </c>
      <c r="E456" s="28">
        <v>1</v>
      </c>
      <c r="AD456" s="19" t="s">
        <v>2081</v>
      </c>
      <c r="AE456" s="28">
        <v>1</v>
      </c>
      <c r="AF456" s="28">
        <v>2080</v>
      </c>
      <c r="AG456" s="28">
        <v>374.4</v>
      </c>
      <c r="AH456" s="28">
        <v>2454.4</v>
      </c>
      <c r="AJ456" s="19" t="s">
        <v>595</v>
      </c>
      <c r="AK456" s="28">
        <v>1</v>
      </c>
      <c r="AL456" s="28">
        <v>830</v>
      </c>
      <c r="AM456" s="28">
        <v>149.4</v>
      </c>
      <c r="AN456" s="28">
        <v>979.4</v>
      </c>
      <c r="BN456"/>
      <c r="BO456"/>
    </row>
    <row r="457" spans="4:67" ht="15">
      <c r="D457" s="19" t="s">
        <v>2269</v>
      </c>
      <c r="E457" s="28">
        <v>1</v>
      </c>
      <c r="AD457" s="19" t="s">
        <v>2008</v>
      </c>
      <c r="AE457" s="28">
        <v>1</v>
      </c>
      <c r="AF457" s="28">
        <v>830</v>
      </c>
      <c r="AG457" s="28">
        <v>149.4</v>
      </c>
      <c r="AH457" s="28">
        <v>979.4</v>
      </c>
      <c r="AJ457" s="19" t="s">
        <v>387</v>
      </c>
      <c r="AK457" s="28">
        <v>1</v>
      </c>
      <c r="AL457" s="28">
        <v>400</v>
      </c>
      <c r="AM457" s="28">
        <v>72</v>
      </c>
      <c r="AN457" s="28">
        <v>472</v>
      </c>
      <c r="BN457"/>
      <c r="BO457"/>
    </row>
    <row r="458" spans="4:67" ht="15">
      <c r="D458" s="19" t="s">
        <v>2270</v>
      </c>
      <c r="E458" s="28">
        <v>1</v>
      </c>
      <c r="AD458" s="19" t="s">
        <v>234</v>
      </c>
      <c r="AE458" s="28">
        <v>1</v>
      </c>
      <c r="AF458" s="28">
        <v>400</v>
      </c>
      <c r="AG458" s="28">
        <v>72</v>
      </c>
      <c r="AH458" s="28">
        <v>472</v>
      </c>
      <c r="AJ458" s="19" t="s">
        <v>385</v>
      </c>
      <c r="AK458" s="28">
        <v>1</v>
      </c>
      <c r="AL458" s="28">
        <v>1241</v>
      </c>
      <c r="AM458" s="28">
        <v>223.38</v>
      </c>
      <c r="AN458" s="28">
        <v>1464.38</v>
      </c>
      <c r="BN458"/>
      <c r="BO458"/>
    </row>
    <row r="459" spans="4:67" ht="15">
      <c r="D459" s="19" t="s">
        <v>2271</v>
      </c>
      <c r="E459" s="28">
        <v>1</v>
      </c>
      <c r="AD459" s="19" t="s">
        <v>235</v>
      </c>
      <c r="AE459" s="28">
        <v>1</v>
      </c>
      <c r="AF459" s="28">
        <v>1241</v>
      </c>
      <c r="AG459" s="28">
        <v>223.38</v>
      </c>
      <c r="AH459" s="28">
        <v>1464.38</v>
      </c>
      <c r="AJ459" s="19" t="s">
        <v>382</v>
      </c>
      <c r="AK459" s="28">
        <v>1</v>
      </c>
      <c r="AL459" s="28">
        <v>1230</v>
      </c>
      <c r="AM459" s="28">
        <v>221.4</v>
      </c>
      <c r="AN459" s="28">
        <v>1451.4</v>
      </c>
      <c r="BN459"/>
      <c r="BO459"/>
    </row>
    <row r="460" spans="4:67" ht="15">
      <c r="D460" s="19" t="s">
        <v>2272</v>
      </c>
      <c r="E460" s="28">
        <v>1</v>
      </c>
      <c r="AD460" s="19" t="s">
        <v>1917</v>
      </c>
      <c r="AE460" s="28">
        <v>1</v>
      </c>
      <c r="AF460" s="28">
        <v>1230</v>
      </c>
      <c r="AG460" s="28">
        <v>221.4</v>
      </c>
      <c r="AH460" s="28">
        <v>1451.4</v>
      </c>
      <c r="AJ460" s="19" t="s">
        <v>52</v>
      </c>
      <c r="AK460" s="28">
        <v>457</v>
      </c>
      <c r="AL460" s="28">
        <v>361701.79000000004</v>
      </c>
      <c r="AM460" s="28">
        <v>65106.269999999953</v>
      </c>
      <c r="AN460" s="28">
        <v>426808.06000000029</v>
      </c>
      <c r="BN460"/>
      <c r="BO460"/>
    </row>
    <row r="461" spans="4:67" ht="15">
      <c r="D461" s="19" t="s">
        <v>2273</v>
      </c>
      <c r="E461" s="28">
        <v>1</v>
      </c>
      <c r="AD461" s="19" t="s">
        <v>52</v>
      </c>
      <c r="AE461" s="28">
        <v>457</v>
      </c>
      <c r="AF461" s="28">
        <v>361701.79000000004</v>
      </c>
      <c r="AG461" s="28">
        <v>65106.269999999953</v>
      </c>
      <c r="AH461" s="28">
        <v>426808.06000000029</v>
      </c>
      <c r="BN461"/>
      <c r="BO461"/>
    </row>
    <row r="462" spans="4:67" ht="15">
      <c r="D462" s="19" t="s">
        <v>2274</v>
      </c>
      <c r="E462" s="28">
        <v>1</v>
      </c>
      <c r="BN462"/>
      <c r="BO462"/>
    </row>
    <row r="463" spans="4:67" ht="15">
      <c r="D463" s="19" t="s">
        <v>2275</v>
      </c>
      <c r="E463" s="28">
        <v>1</v>
      </c>
      <c r="BN463"/>
      <c r="BO463"/>
    </row>
    <row r="464" spans="4:67" ht="15">
      <c r="D464" s="19" t="s">
        <v>2276</v>
      </c>
      <c r="E464" s="28">
        <v>1</v>
      </c>
      <c r="BN464"/>
      <c r="BO464"/>
    </row>
    <row r="465" spans="4:67" ht="15">
      <c r="D465" s="19" t="s">
        <v>2277</v>
      </c>
      <c r="E465" s="28">
        <v>1</v>
      </c>
      <c r="BN465"/>
      <c r="BO465"/>
    </row>
    <row r="466" spans="4:67" ht="15">
      <c r="D466" s="19" t="s">
        <v>2278</v>
      </c>
      <c r="E466" s="28">
        <v>1</v>
      </c>
      <c r="BN466"/>
      <c r="BO466"/>
    </row>
    <row r="467" spans="4:67" ht="15">
      <c r="D467" s="19" t="s">
        <v>2279</v>
      </c>
      <c r="E467" s="28">
        <v>1</v>
      </c>
      <c r="BN467"/>
      <c r="BO467"/>
    </row>
    <row r="468" spans="4:67" ht="15">
      <c r="D468" s="19" t="s">
        <v>2280</v>
      </c>
      <c r="E468" s="28">
        <v>1</v>
      </c>
      <c r="BN468"/>
      <c r="BO468"/>
    </row>
    <row r="469" spans="4:67">
      <c r="D469" s="19" t="s">
        <v>2281</v>
      </c>
      <c r="E469" s="28">
        <v>1</v>
      </c>
    </row>
    <row r="470" spans="4:67">
      <c r="D470" s="19" t="s">
        <v>2282</v>
      </c>
      <c r="E470" s="28">
        <v>1</v>
      </c>
    </row>
    <row r="471" spans="4:67">
      <c r="D471" s="19" t="s">
        <v>2283</v>
      </c>
      <c r="E471" s="28">
        <v>1</v>
      </c>
    </row>
    <row r="472" spans="4:67">
      <c r="D472" s="19" t="s">
        <v>2284</v>
      </c>
      <c r="E472" s="28">
        <v>1</v>
      </c>
    </row>
    <row r="473" spans="4:67">
      <c r="D473" s="19" t="s">
        <v>2285</v>
      </c>
      <c r="E473" s="28">
        <v>1</v>
      </c>
    </row>
    <row r="474" spans="4:67">
      <c r="D474" s="19" t="s">
        <v>2286</v>
      </c>
      <c r="E474" s="28">
        <v>1</v>
      </c>
    </row>
    <row r="475" spans="4:67">
      <c r="D475" s="19" t="s">
        <v>2287</v>
      </c>
      <c r="E475" s="28">
        <v>1</v>
      </c>
    </row>
    <row r="476" spans="4:67">
      <c r="D476" s="19" t="s">
        <v>2288</v>
      </c>
      <c r="E476" s="28">
        <v>1</v>
      </c>
    </row>
    <row r="477" spans="4:67">
      <c r="D477" s="19" t="s">
        <v>2289</v>
      </c>
      <c r="E477" s="28">
        <v>1</v>
      </c>
    </row>
    <row r="478" spans="4:67">
      <c r="D478" s="19" t="s">
        <v>2290</v>
      </c>
      <c r="E478" s="28">
        <v>1</v>
      </c>
    </row>
    <row r="479" spans="4:67">
      <c r="D479" s="19" t="s">
        <v>2291</v>
      </c>
      <c r="E479" s="28">
        <v>1</v>
      </c>
    </row>
    <row r="480" spans="4:67">
      <c r="D480" s="19" t="s">
        <v>2292</v>
      </c>
      <c r="E480" s="28">
        <v>1</v>
      </c>
    </row>
    <row r="481" spans="4:5">
      <c r="D481" s="19" t="s">
        <v>2293</v>
      </c>
      <c r="E481" s="28">
        <v>1</v>
      </c>
    </row>
    <row r="482" spans="4:5">
      <c r="D482" s="19" t="s">
        <v>2294</v>
      </c>
      <c r="E482" s="28">
        <v>1</v>
      </c>
    </row>
    <row r="483" spans="4:5">
      <c r="D483" s="19" t="s">
        <v>2295</v>
      </c>
      <c r="E483" s="28">
        <v>1</v>
      </c>
    </row>
    <row r="484" spans="4:5">
      <c r="D484" s="19" t="s">
        <v>2296</v>
      </c>
      <c r="E484" s="28">
        <v>1</v>
      </c>
    </row>
    <row r="485" spans="4:5">
      <c r="D485" s="19" t="s">
        <v>2297</v>
      </c>
      <c r="E485" s="28">
        <v>1</v>
      </c>
    </row>
    <row r="486" spans="4:5">
      <c r="D486" s="19" t="s">
        <v>52</v>
      </c>
      <c r="E486" s="28">
        <v>457</v>
      </c>
    </row>
  </sheetData>
  <pageMargins left="0.7" right="0.7" top="0.75" bottom="0.75" header="0.3" footer="0.3"/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5" sqref="G5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47</v>
      </c>
      <c r="B1" s="6" t="s">
        <v>48</v>
      </c>
    </row>
    <row r="2" spans="1:10">
      <c r="A2" s="6" t="s">
        <v>49</v>
      </c>
      <c r="B2" s="6">
        <v>11</v>
      </c>
    </row>
    <row r="3" spans="1:10">
      <c r="A3" s="6" t="s">
        <v>50</v>
      </c>
      <c r="B3" s="6">
        <v>11</v>
      </c>
      <c r="E3" s="9" t="s">
        <v>7</v>
      </c>
      <c r="F3" s="9" t="s">
        <v>62</v>
      </c>
      <c r="G3" s="9" t="s">
        <v>63</v>
      </c>
      <c r="H3" s="9" t="s">
        <v>64</v>
      </c>
      <c r="I3" s="9" t="s">
        <v>65</v>
      </c>
      <c r="J3" s="15" t="s">
        <v>106</v>
      </c>
    </row>
    <row r="4" spans="1:10">
      <c r="E4" s="10" t="s">
        <v>66</v>
      </c>
      <c r="F4" s="10" t="s">
        <v>67</v>
      </c>
      <c r="G4" s="10" t="s">
        <v>68</v>
      </c>
      <c r="H4" s="10" t="s">
        <v>69</v>
      </c>
      <c r="I4" s="10" t="s">
        <v>97</v>
      </c>
      <c r="J4" s="10"/>
    </row>
    <row r="5" spans="1:10">
      <c r="E5" s="10" t="s">
        <v>66</v>
      </c>
      <c r="F5" s="10" t="s">
        <v>70</v>
      </c>
      <c r="G5" s="10" t="s">
        <v>71</v>
      </c>
      <c r="H5" s="10" t="s">
        <v>69</v>
      </c>
      <c r="I5" s="10" t="s">
        <v>97</v>
      </c>
      <c r="J5" s="10"/>
    </row>
    <row r="6" spans="1:10">
      <c r="E6" s="10" t="s">
        <v>66</v>
      </c>
      <c r="F6" s="10" t="s">
        <v>72</v>
      </c>
      <c r="G6" s="10" t="s">
        <v>102</v>
      </c>
      <c r="H6" s="10" t="s">
        <v>69</v>
      </c>
      <c r="I6" s="10" t="s">
        <v>97</v>
      </c>
      <c r="J6" s="10"/>
    </row>
    <row r="7" spans="1:10">
      <c r="E7" s="10" t="s">
        <v>66</v>
      </c>
      <c r="F7" s="10" t="s">
        <v>73</v>
      </c>
      <c r="G7" s="11" t="s">
        <v>74</v>
      </c>
      <c r="H7" s="10" t="s">
        <v>69</v>
      </c>
      <c r="I7" s="10" t="s">
        <v>97</v>
      </c>
      <c r="J7" s="10"/>
    </row>
    <row r="8" spans="1:10">
      <c r="E8" s="10" t="s">
        <v>75</v>
      </c>
      <c r="F8" s="10" t="s">
        <v>67</v>
      </c>
      <c r="G8" s="10" t="s">
        <v>76</v>
      </c>
      <c r="H8" s="10" t="s">
        <v>69</v>
      </c>
      <c r="I8" s="10" t="s">
        <v>97</v>
      </c>
      <c r="J8" s="10"/>
    </row>
    <row r="9" spans="1:10">
      <c r="E9" s="10" t="s">
        <v>75</v>
      </c>
      <c r="F9" s="10" t="s">
        <v>70</v>
      </c>
      <c r="G9" s="10" t="s">
        <v>77</v>
      </c>
      <c r="H9" s="10" t="s">
        <v>69</v>
      </c>
      <c r="I9" s="10" t="s">
        <v>97</v>
      </c>
      <c r="J9" s="10"/>
    </row>
    <row r="10" spans="1:10">
      <c r="E10" s="12" t="s">
        <v>78</v>
      </c>
      <c r="F10" s="12" t="s">
        <v>79</v>
      </c>
      <c r="G10" s="12" t="s">
        <v>80</v>
      </c>
      <c r="H10" s="12" t="s">
        <v>81</v>
      </c>
      <c r="I10" s="12" t="s">
        <v>97</v>
      </c>
      <c r="J10" s="12"/>
    </row>
    <row r="11" spans="1:10">
      <c r="E11" s="12" t="s">
        <v>78</v>
      </c>
      <c r="F11" s="12" t="s">
        <v>82</v>
      </c>
      <c r="G11" s="12" t="s">
        <v>83</v>
      </c>
      <c r="H11" s="12" t="s">
        <v>81</v>
      </c>
      <c r="I11" s="12" t="s">
        <v>97</v>
      </c>
      <c r="J11" s="12"/>
    </row>
    <row r="12" spans="1:10">
      <c r="E12" s="12" t="s">
        <v>78</v>
      </c>
      <c r="F12" s="12" t="s">
        <v>84</v>
      </c>
      <c r="G12" s="12" t="s">
        <v>85</v>
      </c>
      <c r="H12" s="12" t="s">
        <v>81</v>
      </c>
      <c r="I12" s="12" t="s">
        <v>97</v>
      </c>
      <c r="J12" s="12"/>
    </row>
    <row r="13" spans="1:10">
      <c r="E13" s="12" t="s">
        <v>78</v>
      </c>
      <c r="F13" s="12" t="s">
        <v>86</v>
      </c>
      <c r="G13" s="12" t="s">
        <v>87</v>
      </c>
      <c r="H13" s="12" t="s">
        <v>81</v>
      </c>
      <c r="I13" s="12" t="s">
        <v>97</v>
      </c>
      <c r="J13" s="12"/>
    </row>
    <row r="14" spans="1:10">
      <c r="E14" s="13" t="s">
        <v>88</v>
      </c>
      <c r="F14" s="13" t="s">
        <v>84</v>
      </c>
      <c r="G14" s="13" t="s">
        <v>89</v>
      </c>
      <c r="H14" s="13" t="s">
        <v>90</v>
      </c>
      <c r="I14" s="13" t="s">
        <v>97</v>
      </c>
      <c r="J14" s="13"/>
    </row>
    <row r="15" spans="1:10">
      <c r="E15" s="13" t="s">
        <v>88</v>
      </c>
      <c r="F15" s="13" t="s">
        <v>91</v>
      </c>
      <c r="G15" s="13" t="s">
        <v>92</v>
      </c>
      <c r="H15" s="13" t="s">
        <v>90</v>
      </c>
      <c r="I15" s="13" t="s">
        <v>97</v>
      </c>
      <c r="J15" s="13"/>
    </row>
    <row r="16" spans="1:10">
      <c r="E16" s="14" t="s">
        <v>93</v>
      </c>
      <c r="F16" s="14" t="s">
        <v>94</v>
      </c>
      <c r="G16" s="14" t="s">
        <v>95</v>
      </c>
      <c r="H16" s="14" t="s">
        <v>96</v>
      </c>
      <c r="I16" s="14" t="s">
        <v>97</v>
      </c>
      <c r="J16" s="14"/>
    </row>
    <row r="17" spans="5:10">
      <c r="E17" s="14" t="s">
        <v>93</v>
      </c>
      <c r="F17" s="14" t="s">
        <v>98</v>
      </c>
      <c r="G17" s="14" t="s">
        <v>99</v>
      </c>
      <c r="H17" s="14" t="s">
        <v>96</v>
      </c>
      <c r="I17" s="14" t="s">
        <v>97</v>
      </c>
      <c r="J17" s="14"/>
    </row>
    <row r="18" spans="5:10">
      <c r="E18" s="14" t="s">
        <v>93</v>
      </c>
      <c r="F18" s="14" t="s">
        <v>100</v>
      </c>
      <c r="G18" s="14" t="s">
        <v>101</v>
      </c>
      <c r="H18" s="14" t="s">
        <v>96</v>
      </c>
      <c r="I18" s="14" t="s">
        <v>97</v>
      </c>
      <c r="J1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236</v>
      </c>
    </row>
    <row r="3" spans="1:44">
      <c r="A3" t="s">
        <v>113</v>
      </c>
      <c r="B3" t="s">
        <v>114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232</v>
      </c>
    </row>
    <row r="4" spans="1:44">
      <c r="A4" t="s">
        <v>159</v>
      </c>
      <c r="B4" t="s">
        <v>160</v>
      </c>
      <c r="C4" s="8">
        <v>45919</v>
      </c>
      <c r="D4" s="22">
        <v>45932.448761574073</v>
      </c>
      <c r="E4" t="s">
        <v>33</v>
      </c>
      <c r="G4">
        <v>6</v>
      </c>
      <c r="H4">
        <v>20609168961</v>
      </c>
      <c r="I4" t="s">
        <v>161</v>
      </c>
      <c r="J4" s="8">
        <v>45919</v>
      </c>
      <c r="P4">
        <v>2</v>
      </c>
      <c r="Q4">
        <v>228</v>
      </c>
      <c r="R4" t="s">
        <v>167</v>
      </c>
      <c r="S4" t="s">
        <v>163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156</v>
      </c>
      <c r="AE4" t="s">
        <v>157</v>
      </c>
      <c r="AF4">
        <v>2</v>
      </c>
      <c r="AG4" t="s">
        <v>25</v>
      </c>
      <c r="AH4">
        <v>101</v>
      </c>
      <c r="AI4" t="s">
        <v>164</v>
      </c>
      <c r="AJ4" t="s">
        <v>165</v>
      </c>
      <c r="AK4">
        <v>2</v>
      </c>
      <c r="AL4" t="s">
        <v>166</v>
      </c>
      <c r="AM4" s="8">
        <v>44204</v>
      </c>
      <c r="AN4" s="8">
        <v>44204</v>
      </c>
      <c r="AP4" t="s">
        <v>33</v>
      </c>
      <c r="AR4" t="s">
        <v>233</v>
      </c>
    </row>
    <row r="5" spans="1:44">
      <c r="A5" t="s">
        <v>159</v>
      </c>
      <c r="B5" t="s">
        <v>160</v>
      </c>
      <c r="C5" s="8">
        <v>45919</v>
      </c>
      <c r="D5" s="22">
        <v>45932.448761574073</v>
      </c>
      <c r="E5" t="s">
        <v>33</v>
      </c>
      <c r="G5">
        <v>6</v>
      </c>
      <c r="H5">
        <v>20609168961</v>
      </c>
      <c r="I5" t="s">
        <v>161</v>
      </c>
      <c r="J5" s="8">
        <v>45919</v>
      </c>
      <c r="P5">
        <v>1</v>
      </c>
      <c r="Q5">
        <v>232</v>
      </c>
      <c r="R5" t="s">
        <v>162</v>
      </c>
      <c r="S5" t="s">
        <v>163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156</v>
      </c>
      <c r="AE5" t="s">
        <v>157</v>
      </c>
      <c r="AF5">
        <v>2</v>
      </c>
      <c r="AG5" t="s">
        <v>25</v>
      </c>
      <c r="AH5">
        <v>101</v>
      </c>
      <c r="AI5" t="s">
        <v>164</v>
      </c>
      <c r="AJ5" t="s">
        <v>165</v>
      </c>
      <c r="AK5">
        <v>2</v>
      </c>
      <c r="AL5" t="s">
        <v>166</v>
      </c>
      <c r="AM5" s="8">
        <v>44204</v>
      </c>
      <c r="AN5" s="8">
        <v>44204</v>
      </c>
      <c r="AP5" t="s">
        <v>33</v>
      </c>
      <c r="AR5" t="s">
        <v>233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103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FactClientes_InterfaceODOO</vt:lpstr>
      <vt:lpstr>Validaciones_odoo_inteface</vt:lpstr>
      <vt:lpstr>facturas_con_items_json</vt:lpstr>
      <vt:lpstr>Detalle1</vt:lpstr>
      <vt:lpstr>Detalle3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2025-10-16T18:18:41Z</dcterms:modified>
</cp:coreProperties>
</file>