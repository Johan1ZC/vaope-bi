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"/>
    </mc:Choice>
  </mc:AlternateContent>
  <xr:revisionPtr revIDLastSave="0" documentId="13_ncr:1_{6C1EA996-1111-444E-AB63-818B26872888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FactClientes_InterfaceODOO" sheetId="1" r:id="rId1"/>
    <sheet name="Validaciones_odoo_inteface" sheetId="3" r:id="rId2"/>
    <sheet name="facturas_con_items_json" sheetId="7" r:id="rId3"/>
    <sheet name="Detalle1" sheetId="11" r:id="rId4"/>
    <sheet name="validaciones_json" sheetId="8" r:id="rId5"/>
    <sheet name="Checklist" sheetId="2" state="hidden" r:id="rId6"/>
    <sheet name="Detalle2" sheetId="10" state="hidden" r:id="rId7"/>
    <sheet name="Comparacion nuevos campos" sheetId="4" state="hidden" r:id="rId8"/>
  </sheets>
  <definedNames>
    <definedName name="_xlnm._FilterDatabase" localSheetId="0" hidden="1">FactClientes_InterfaceODOO!$A$1:$AK$84</definedName>
    <definedName name="_xlnm._FilterDatabase" localSheetId="2" hidden="1">facturas_con_items_json!$A$1:$AR$85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5" i="7" l="1"/>
  <c r="AR84" i="7"/>
  <c r="AR83" i="7"/>
  <c r="AR82" i="7"/>
  <c r="AR81" i="7"/>
  <c r="AR80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62" i="7"/>
  <c r="AR61" i="7"/>
  <c r="AR60" i="7"/>
  <c r="AR59" i="7"/>
  <c r="AR58" i="7"/>
  <c r="AR57" i="7"/>
  <c r="AR56" i="7"/>
  <c r="AR55" i="7"/>
  <c r="AR54" i="7"/>
  <c r="AR53" i="7"/>
  <c r="AR52" i="7"/>
  <c r="AR51" i="7"/>
  <c r="AR50" i="7"/>
  <c r="AR49" i="7"/>
  <c r="AR48" i="7"/>
  <c r="AR47" i="7"/>
  <c r="AR46" i="7"/>
  <c r="AR45" i="7"/>
  <c r="AR44" i="7"/>
  <c r="AR43" i="7"/>
  <c r="AR42" i="7"/>
  <c r="AR41" i="7"/>
  <c r="AR40" i="7"/>
  <c r="AR39" i="7"/>
  <c r="AR38" i="7"/>
  <c r="AR37" i="7"/>
  <c r="AR36" i="7"/>
  <c r="AR35" i="7"/>
  <c r="AR34" i="7"/>
  <c r="AR33" i="7"/>
  <c r="AR32" i="7"/>
  <c r="AR31" i="7"/>
  <c r="AR30" i="7"/>
  <c r="AR29" i="7"/>
  <c r="AR28" i="7"/>
  <c r="AR27" i="7"/>
  <c r="AR26" i="7"/>
  <c r="AR25" i="7"/>
  <c r="AR24" i="7"/>
  <c r="AR23" i="7"/>
  <c r="AR22" i="7"/>
  <c r="AR21" i="7"/>
  <c r="AR20" i="7"/>
  <c r="AR19" i="7"/>
  <c r="AR18" i="7"/>
  <c r="AR17" i="7"/>
  <c r="AR16" i="7"/>
  <c r="AR15" i="7"/>
  <c r="AR14" i="7"/>
  <c r="AR13" i="7"/>
  <c r="AR12" i="7"/>
  <c r="AR11" i="7"/>
  <c r="AR10" i="7"/>
  <c r="AR9" i="7"/>
  <c r="AR8" i="7"/>
  <c r="AR7" i="7"/>
  <c r="AR6" i="7"/>
  <c r="AR5" i="7"/>
  <c r="AR4" i="7"/>
  <c r="AR3" i="7"/>
  <c r="AR2" i="7"/>
  <c r="AK2" i="1"/>
  <c r="AK4" i="1"/>
  <c r="AK3" i="1"/>
  <c r="AK5" i="1"/>
  <c r="AK14" i="1"/>
  <c r="AK13" i="1"/>
  <c r="AK12" i="1"/>
  <c r="AK11" i="1"/>
  <c r="AK10" i="1"/>
  <c r="AK9" i="1"/>
  <c r="AK8" i="1"/>
  <c r="AK7" i="1"/>
  <c r="AK6" i="1"/>
  <c r="AK24" i="1"/>
  <c r="AK23" i="1"/>
  <c r="AK22" i="1"/>
  <c r="AK21" i="1"/>
  <c r="AK20" i="1"/>
  <c r="AK19" i="1"/>
  <c r="AK18" i="1"/>
  <c r="AK17" i="1"/>
  <c r="AK16" i="1"/>
  <c r="AK15" i="1"/>
  <c r="AK27" i="1"/>
  <c r="AK26" i="1"/>
  <c r="AK25" i="1"/>
  <c r="AK35" i="1"/>
  <c r="AK34" i="1"/>
  <c r="AK33" i="1"/>
  <c r="AK32" i="1"/>
  <c r="AK31" i="1"/>
  <c r="AK30" i="1"/>
  <c r="AK29" i="1"/>
  <c r="AK28" i="1"/>
  <c r="AK36" i="1"/>
  <c r="AK41" i="1"/>
  <c r="AK40" i="1"/>
  <c r="AK39" i="1"/>
  <c r="AK38" i="1"/>
  <c r="AK37" i="1"/>
  <c r="AK42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61" i="1"/>
  <c r="AK62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84" i="1"/>
  <c r="AK83" i="1"/>
  <c r="AK82" i="1"/>
  <c r="AK81" i="1"/>
  <c r="AK80" i="1"/>
  <c r="AK79" i="1"/>
</calcChain>
</file>

<file path=xl/sharedStrings.xml><?xml version="1.0" encoding="utf-8"?>
<sst xmlns="http://schemas.openxmlformats.org/spreadsheetml/2006/main" count="2555" uniqueCount="531">
  <si>
    <t>Número de Documento</t>
  </si>
  <si>
    <t>VAOPE Codigo Evento</t>
  </si>
  <si>
    <t>Nombre del tipo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</si>
  <si>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</si>
  <si>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</si>
  <si>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</si>
  <si>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</si>
  <si>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</si>
  <si>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</si>
  <si>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Vendedor</t>
  </si>
  <si>
    <t>Equipo de ventas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</si>
  <si>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</si>
  <si>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</si>
  <si>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</si>
  <si>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</si>
  <si>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</si>
  <si>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</si>
  <si>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</si>
  <si>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</si>
  <si>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</si>
  <si>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</si>
  <si>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</si>
  <si>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</si>
  <si>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</si>
  <si>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</si>
  <si>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01-FB01-00000051</t>
  </si>
  <si>
    <t>Factura</t>
  </si>
  <si>
    <t>CORPORACION MUKANRANKO S.A.C.</t>
  </si>
  <si>
    <t>SAMUEL CHUQUISTA</t>
  </si>
  <si>
    <t>Ventas</t>
  </si>
  <si>
    <t>COLABORATIVA S.A.C.</t>
  </si>
  <si>
    <t>PEN</t>
  </si>
  <si>
    <t>Sin pagar</t>
  </si>
  <si>
    <t>Enviado</t>
  </si>
  <si>
    <t>Registrado</t>
  </si>
  <si>
    <t>JP Producciones Generales EIRL</t>
  </si>
  <si>
    <t>RF PROMOTORA DE ESPECTACULOS E.I.R.L</t>
  </si>
  <si>
    <t>A &amp; Q AYLLU S.A.C.</t>
  </si>
  <si>
    <t>G &amp; N MUSIC S.A.C.</t>
  </si>
  <si>
    <t>MACHA MUNIVE JULIO</t>
  </si>
  <si>
    <t>REYNOSO BENDEZU CARLOS ARTURO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</si>
  <si>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</si>
  <si>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</si>
  <si>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</si>
  <si>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</si>
  <si>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</si>
  <si>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</si>
  <si>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</si>
  <si>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</si>
  <si>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</si>
  <si>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</si>
  <si>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</si>
  <si>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</si>
  <si>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</si>
  <si>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</si>
  <si>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</si>
  <si>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</si>
  <si>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</si>
  <si>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</si>
  <si>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</si>
  <si>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Feb</t>
  </si>
  <si>
    <t>Mar</t>
  </si>
  <si>
    <t>Ago</t>
  </si>
  <si>
    <t>Set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</si>
  <si>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</si>
  <si>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</si>
  <si>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</si>
  <si>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</si>
  <si>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</si>
  <si>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</si>
  <si>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</si>
  <si>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</si>
  <si>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</si>
  <si>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</si>
  <si>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</si>
  <si>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</si>
  <si>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</si>
  <si>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</si>
  <si>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</si>
  <si>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</si>
  <si>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</si>
  <si>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</si>
  <si>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</si>
  <si>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</si>
  <si>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</si>
  <si>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</si>
  <si>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</si>
  <si>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</si>
  <si>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</si>
  <si>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</si>
  <si>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</si>
  <si>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</si>
  <si>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</si>
  <si>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</si>
  <si>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</si>
  <si>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</si>
  <si>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</si>
  <si>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</si>
  <si>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</si>
  <si>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</si>
  <si>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</si>
  <si>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</si>
  <si>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</si>
  <si>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</si>
  <si>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</si>
  <si>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</si>
  <si>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</si>
  <si>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</si>
  <si>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</si>
  <si>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</si>
  <si>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Evento</t>
  </si>
  <si>
    <t>01-FB01-00000075</t>
  </si>
  <si>
    <t>CORPORACION LA CHOZA S.A.C.</t>
  </si>
  <si>
    <t>01-FB01-00000074</t>
  </si>
  <si>
    <t>01-F001-00000104</t>
  </si>
  <si>
    <t>Corazón Serrano - Almuerzo de camaradería</t>
  </si>
  <si>
    <t>S00117</t>
  </si>
  <si>
    <t>01-F001-00000103</t>
  </si>
  <si>
    <t>S00111</t>
  </si>
  <si>
    <t>01-F001-00000102</t>
  </si>
  <si>
    <t>S00105</t>
  </si>
  <si>
    <t>01-F001-00000101</t>
  </si>
  <si>
    <t>S00100</t>
  </si>
  <si>
    <t>Pagado</t>
  </si>
  <si>
    <t>01-FB01-00000073</t>
  </si>
  <si>
    <t>01-FB01-00000072</t>
  </si>
  <si>
    <t>01-FB01-00000071</t>
  </si>
  <si>
    <t>01-FB01-00000070</t>
  </si>
  <si>
    <t>01-FB01-00000069</t>
  </si>
  <si>
    <t>01-FB01-00000068</t>
  </si>
  <si>
    <t>01-FB01-00000067</t>
  </si>
  <si>
    <t>01-FB01-00000066</t>
  </si>
  <si>
    <t>01-FB01-00000065</t>
  </si>
  <si>
    <t>01-FB01-00000064</t>
  </si>
  <si>
    <t>01-FB01-00000063</t>
  </si>
  <si>
    <t>01-FB01-00000062</t>
  </si>
  <si>
    <t>01-FB01-00000061</t>
  </si>
  <si>
    <t>01-FB01-00000060</t>
  </si>
  <si>
    <t>01-FB01-00000059</t>
  </si>
  <si>
    <t>01-FB01-00000058</t>
  </si>
  <si>
    <t>01-F001-00000100</t>
  </si>
  <si>
    <t>S00097</t>
  </si>
  <si>
    <t>01-FB01-00000057</t>
  </si>
  <si>
    <t>01-FB01-00000056</t>
  </si>
  <si>
    <t>01-FB01-00000055</t>
  </si>
  <si>
    <t>01-FB01-00000054</t>
  </si>
  <si>
    <t>01-FB01-00000053</t>
  </si>
  <si>
    <t>01-FB01-00000052</t>
  </si>
  <si>
    <t>01-FB01-00000050</t>
  </si>
  <si>
    <t>01-FB01-00000049</t>
  </si>
  <si>
    <t>01-FB01-00000048</t>
  </si>
  <si>
    <t>Por enviar</t>
  </si>
  <si>
    <t>01-FB01-00000047</t>
  </si>
  <si>
    <t>01-FB01-00000046</t>
  </si>
  <si>
    <t>01-FB01-00000045</t>
  </si>
  <si>
    <t>01-FB01-00000044</t>
  </si>
  <si>
    <t>01-FB01-00000043</t>
  </si>
  <si>
    <t>01-FB01-00000042</t>
  </si>
  <si>
    <t>01-FB01-00000041</t>
  </si>
  <si>
    <t>01-FB01-00000040</t>
  </si>
  <si>
    <t>01-FB01-00000039</t>
  </si>
  <si>
    <t>01-FB01-00000038</t>
  </si>
  <si>
    <t>01-FB01-00000036</t>
  </si>
  <si>
    <t>01-FB01-00000035</t>
  </si>
  <si>
    <t>01-FB01-00000033</t>
  </si>
  <si>
    <t>01-FB01-00000032</t>
  </si>
  <si>
    <t>01-FB01-00000030</t>
  </si>
  <si>
    <t>01-FB01-00000029</t>
  </si>
  <si>
    <t>01-FB01-00000028</t>
  </si>
  <si>
    <t>01-FB01-00000027</t>
  </si>
  <si>
    <t>01-FB01-00000026</t>
  </si>
  <si>
    <t>01-FB01-00000025</t>
  </si>
  <si>
    <t>01-FB01-00000024</t>
  </si>
  <si>
    <t>01-FB01-00000023</t>
  </si>
  <si>
    <t>01-FB01-00000022</t>
  </si>
  <si>
    <t>01-FB01-00000021</t>
  </si>
  <si>
    <t>01-F001-00000014</t>
  </si>
  <si>
    <t>01-F001-00000013</t>
  </si>
  <si>
    <t>Error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</si>
  <si>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20250000000000219531611 error: Error en envio de documento '&lt;/p&gt;</t>
  </si>
  <si>
    <t>01-F001-00000011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</si>
  <si>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20250000000000219531206 error: Error en envio de documento '&lt;/p&gt;</t>
  </si>
  <si>
    <t>01-F001-00000015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</si>
  <si>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20250000000000219542213 error: Error en envio de documento '&lt;/p&gt;</t>
  </si>
  <si>
    <t>01-F001-00000012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</si>
  <si>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20250000000000219531484 error: Error en envio de documento '&lt;/p&gt;</t>
  </si>
  <si>
    <t>01-F001-00000010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</si>
  <si>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20250000000000219381562 error: Error en envio de documento '&lt;/p&gt;</t>
  </si>
  <si>
    <t>01-F001-00000009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</si>
  <si>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20250000000000219381126 error: Error en envio de documento '&lt;/p&gt;</t>
  </si>
  <si>
    <t>01-F001-00000008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</si>
  <si>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20250000000000219380996 error: Error en envio de documento '&lt;/p&gt;</t>
  </si>
  <si>
    <t>01-F001-00000007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</si>
  <si>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20250000000000219378878 error: Error en envio de documento '&lt;/p&gt;</t>
  </si>
  <si>
    <t>01-F001-00000006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</si>
  <si>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20250000000000219378822 error: Error en envio de documento '&lt;/p&gt;</t>
  </si>
  <si>
    <t>01-F001-00000004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</si>
  <si>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20250000000000219378571 error: Error en envio de documento '&lt;/p&gt;</t>
  </si>
  <si>
    <t>01-F001-00000003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</si>
  <si>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20250000000000219377864 error: Error en envio de documento '&lt;/p&gt;</t>
  </si>
  <si>
    <t>01-F001-00000002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</si>
  <si>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20250000000000219376776 error: Error en envio de documento '&lt;/p&gt;</t>
  </si>
  <si>
    <t>01-FB01-00000034</t>
  </si>
  <si>
    <t>01-FB01-00000031</t>
  </si>
  <si>
    <t>01-FB01-00000020</t>
  </si>
  <si>
    <t>01-FB01-00000019</t>
  </si>
  <si>
    <t>01-FB01-00000018</t>
  </si>
  <si>
    <t>01-FB01-00000017</t>
  </si>
  <si>
    <t>01-FB01-00000016</t>
  </si>
  <si>
    <t>01-F001-00000005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</si>
  <si>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20250000000000219378770 error: Error en envio de documento '&lt;/p&gt;</t>
  </si>
  <si>
    <t>01-F001-00000001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</si>
  <si>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20250000000000219307111 error: Error en envio de documento '&lt;/p&gt;</t>
  </si>
  <si>
    <t>01-</t>
  </si>
  <si>
    <t>S00060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</si>
  <si>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20250000000000208663785 error: Error en envio de documeto '&lt;/p&gt;</t>
  </si>
  <si>
    <t>ESTADO</t>
  </si>
  <si>
    <t>Cuenta de Fecha de factura</t>
  </si>
  <si>
    <t>Suma de Impuesto firmado</t>
  </si>
  <si>
    <t>Suma de Total firmado</t>
  </si>
  <si>
    <t>Importe IGV por estado factura</t>
  </si>
  <si>
    <t>Importe Total por estado factura</t>
  </si>
  <si>
    <t>Cantidad</t>
  </si>
  <si>
    <t>serie_correlativo</t>
  </si>
  <si>
    <t>numero</t>
  </si>
  <si>
    <t>fecha_de_emision</t>
  </si>
  <si>
    <t>hora_de_emision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</si>
  <si>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</si>
  <si>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</si>
  <si>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</si>
  <si>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</si>
  <si>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</si>
  <si>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</si>
  <si>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</si>
  <si>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</si>
  <si>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</si>
  <si>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</si>
  <si>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</si>
  <si>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item.id_producto</t>
  </si>
  <si>
    <t>item.codigo_producto</t>
  </si>
  <si>
    <t>item.nom_producto</t>
  </si>
  <si>
    <t>item.categoria_producto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</si>
  <si>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</si>
  <si>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</si>
  <si>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</si>
  <si>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</si>
  <si>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</si>
  <si>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</si>
  <si>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</si>
  <si>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</si>
  <si>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</si>
  <si>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</si>
  <si>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item.id_estado</t>
  </si>
  <si>
    <t>item.nombre_estado</t>
  </si>
  <si>
    <t>item.id_vendedor</t>
  </si>
  <si>
    <t>item.nom_vendedor</t>
  </si>
  <si>
    <t>item.id_cuenta_analitica</t>
  </si>
  <si>
    <t>item.nom_cuenta_analitica</t>
  </si>
  <si>
    <t>item.distribucion_analitica</t>
  </si>
  <si>
    <t>item.evento.id_evento</t>
  </si>
  <si>
    <t>item.evento.nom_evento</t>
  </si>
  <si>
    <t>item.evento.Fecha_hora_ini_event</t>
  </si>
  <si>
    <t>item.evento.Fecha_hora_fin_event</t>
  </si>
  <si>
    <t>item.evento.id_organizador</t>
  </si>
  <si>
    <t>item.evento.nom_organizador</t>
  </si>
  <si>
    <t>item.evento.tipo_organizador</t>
  </si>
  <si>
    <t>(01) Factura FB01</t>
  </si>
  <si>
    <t>00000075</t>
  </si>
  <si>
    <t>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'posted', 'nombre_estado': 'Publicado', 'evento': {'id_evento': '', 'nom_evento': '', 'Fecha_hora_ini_event': '', 'Fecha_hora_fin_event': '',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</si>
  <si>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COMISIÃ“N PAGOS DIGITALES SEGUN CONTRATO -</t>
  </si>
  <si>
    <t>posted</t>
  </si>
  <si>
    <t>Publicado</t>
  </si>
  <si>
    <t>TI</t>
  </si>
  <si>
    <t>[[{'cÃ³digo': 137, 'nom_distribucion': 'TI', 'sub_categoria': '', 'porcentaje': '100.00'}]]</t>
  </si>
  <si>
    <t>00000074</t>
  </si>
  <si>
    <t>Cliente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</si>
  <si>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</si>
  <si>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(01) Factura F001</t>
  </si>
  <si>
    <t>00000104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</si>
  <si>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</si>
  <si>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DESARROLLO DE CONTENIDO</t>
  </si>
  <si>
    <t>service</t>
  </si>
  <si>
    <t>[Validadores] DELIVERY</t>
  </si>
  <si>
    <t>[[{'cÃ³digo': 101, 'nom_distribucion': 'DELIVERY', 'sub_categoria': '', 'porcentaje': '100.00'}, {'cÃ³digo': 102, 'nom_distribucion': 'IME', 'sub_categoria': '', 'porcentaje': '100.00'}]]</t>
  </si>
  <si>
    <t>CorazÃ³n Serrano - Almuerzo de camaraderÃ­a</t>
  </si>
  <si>
    <t>COMBO ANCLADOS</t>
  </si>
  <si>
    <t>00000103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</si>
  <si>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</si>
  <si>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00000102</t>
  </si>
  <si>
    <t>00000101</t>
  </si>
  <si>
    <t>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</si>
  <si>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00000073</t>
  </si>
  <si>
    <t>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</si>
  <si>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00000072</t>
  </si>
  <si>
    <t>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</si>
  <si>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00000071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</si>
  <si>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</si>
  <si>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00000070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</si>
  <si>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</si>
  <si>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00000069</t>
  </si>
  <si>
    <t>00000068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</si>
  <si>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</si>
  <si>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00000067</t>
  </si>
  <si>
    <t>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</si>
  <si>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COMISIÃ“N VAOPE SEGUN CONTRATO -</t>
  </si>
  <si>
    <t>00000066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</si>
  <si>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</si>
  <si>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00000065</t>
  </si>
  <si>
    <t>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</si>
  <si>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00000064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</si>
  <si>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</si>
  <si>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00000063</t>
  </si>
  <si>
    <t>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</si>
  <si>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PERSONAL -</t>
  </si>
  <si>
    <t>00000062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</si>
  <si>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</si>
  <si>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00000061</t>
  </si>
  <si>
    <t>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</si>
  <si>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00000060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</si>
  <si>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</si>
  <si>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00000059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</si>
  <si>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</si>
  <si>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00000058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</si>
  <si>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</si>
  <si>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00000100</t>
  </si>
  <si>
    <t>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</si>
  <si>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00000057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</si>
  <si>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</si>
  <si>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00000056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</si>
  <si>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</si>
  <si>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00000055</t>
  </si>
  <si>
    <t>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</si>
  <si>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00000054</t>
  </si>
  <si>
    <t>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</si>
  <si>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00000053</t>
  </si>
  <si>
    <t>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</si>
  <si>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00000052</t>
  </si>
  <si>
    <t>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</si>
  <si>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00000051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</si>
  <si>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</si>
  <si>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00000050</t>
  </si>
  <si>
    <t>00000049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</si>
  <si>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</si>
  <si>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00000048</t>
  </si>
  <si>
    <t>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</si>
  <si>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00000047</t>
  </si>
  <si>
    <t>00000046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</si>
  <si>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</si>
  <si>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ENTRADAS IMPRESAS - ORDEN DE VENTA N663  Corazn Serrano en el Centro de Convenciones Scencia de la Molina /  FULL COLOR GENERAL /  BRAZALETES PLATINUM / BRAZALETES VIP</t>
  </si>
  <si>
    <t>[]</t>
  </si>
  <si>
    <t>00000045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</si>
  <si>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</si>
  <si>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00000044</t>
  </si>
  <si>
    <t>00000043</t>
  </si>
  <si>
    <t>00000042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</si>
  <si>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</t>
  </si>
  <si>
    <t>00000041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</si>
  <si>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</t>
  </si>
  <si>
    <t>[Validadores] VIAJE</t>
  </si>
  <si>
    <t>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</t>
  </si>
  <si>
    <t>00000040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</si>
  <si>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</si>
  <si>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00000039</t>
  </si>
  <si>
    <t>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</si>
  <si>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00000038</t>
  </si>
  <si>
    <t>00000036</t>
  </si>
  <si>
    <t>00000035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</si>
  <si>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</si>
  <si>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00000033</t>
  </si>
  <si>
    <t>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</si>
  <si>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COMISIÃ“N PAGOS DIGITALES SEGUN CONTRATO</t>
  </si>
  <si>
    <t>00000032</t>
  </si>
  <si>
    <t>00000030</t>
  </si>
  <si>
    <t>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</si>
  <si>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00000029</t>
  </si>
  <si>
    <t>00000028</t>
  </si>
  <si>
    <t>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</si>
  <si>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DIFUSION MAILING</t>
  </si>
  <si>
    <t>00000027</t>
  </si>
  <si>
    <t>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</si>
  <si>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00000026</t>
  </si>
  <si>
    <t>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</si>
  <si>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00000025</t>
  </si>
  <si>
    <t>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</si>
  <si>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00000024</t>
  </si>
  <si>
    <t>00000023</t>
  </si>
  <si>
    <t>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</si>
  <si>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00000022</t>
  </si>
  <si>
    <t>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</si>
  <si>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00000021</t>
  </si>
  <si>
    <t>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</si>
  <si>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00000014</t>
  </si>
  <si>
    <t>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</si>
  <si>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00000013</t>
  </si>
  <si>
    <t>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</si>
  <si>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00000011</t>
  </si>
  <si>
    <t>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</t>
  </si>
  <si>
    <t>COMISIÃ“N PAGOS DIGITALES SEGÃšN CONTRATO</t>
  </si>
  <si>
    <t>00000015</t>
  </si>
  <si>
    <t>00000012</t>
  </si>
  <si>
    <t>00000010</t>
  </si>
  <si>
    <t>00000009</t>
  </si>
  <si>
    <t>00000008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</si>
  <si>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</t>
  </si>
  <si>
    <t>00000007</t>
  </si>
  <si>
    <t>00000006</t>
  </si>
  <si>
    <t>00000004</t>
  </si>
  <si>
    <t>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</t>
  </si>
  <si>
    <t>COMISION CORTESIA - emision cortesia</t>
  </si>
  <si>
    <t>00000003</t>
  </si>
  <si>
    <t>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</t>
  </si>
  <si>
    <t>COMISION CORTESIA - CortesÃ­a</t>
  </si>
  <si>
    <t>00000002</t>
  </si>
  <si>
    <t>00000034</t>
  </si>
  <si>
    <t>00000031</t>
  </si>
  <si>
    <t>00000020</t>
  </si>
  <si>
    <t>00000019</t>
  </si>
  <si>
    <t>00000018</t>
  </si>
  <si>
    <t>00000017</t>
  </si>
  <si>
    <t>00000016</t>
  </si>
  <si>
    <t>00000005</t>
  </si>
  <si>
    <t>00000001</t>
  </si>
  <si>
    <t>FFF1</t>
  </si>
  <si>
    <t>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</t>
  </si>
  <si>
    <t>ENTRADAS IMPRESAS FULL COLOR GENERAL, BRAZALETES VIP -CORAZÃ“N SERRANO BARRANCA - 09/02 Y PERSONAL DELIVERY</t>
  </si>
  <si>
    <t>consu</t>
  </si>
  <si>
    <t>[Impresos] INSUMO</t>
  </si>
  <si>
    <t>[[{'cÃ³digo': 83, 'nom_distribucion': 'INSUMO', 'sub_categoria': '', 'porcentaje': '100.00'}]]</t>
  </si>
  <si>
    <t>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'posted', 'nombre_estado': 'Publicado',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</t>
  </si>
  <si>
    <t xml:space="preserve">ENTRADAS IMPRESAS * FULL COLOR GENERAL </t>
  </si>
  <si>
    <t>FB01</t>
  </si>
  <si>
    <t>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'posted', 'nombre_estado': 'Publicado',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</t>
  </si>
  <si>
    <t>COMISION CORTESIA - ACTUALIZACION GRAFICA</t>
  </si>
  <si>
    <t>[Administrativo] COMISIÃ“N</t>
  </si>
  <si>
    <t>[[{'cÃ³digo': 105, 'nom_distribucion': 'COMISIÃ“N', 'sub_categoria': '', 'porcentaje': '100.00'}]]</t>
  </si>
  <si>
    <t>Cuenta de fecha_de_emision</t>
  </si>
  <si>
    <t>Suma de item.subtotal</t>
  </si>
  <si>
    <t>Suma de item.igv</t>
  </si>
  <si>
    <t>Suma de item.total</t>
  </si>
  <si>
    <t>Importes por codigo</t>
  </si>
  <si>
    <t>Importes por 1.Fecha Evento o 2.Fecha factura</t>
  </si>
  <si>
    <t>Importes por Fecha factura</t>
  </si>
  <si>
    <t>Importes por Fecha factura JSON</t>
  </si>
  <si>
    <t>Importes por Fecha factura ODOO</t>
  </si>
  <si>
    <t>UNIFICADO</t>
  </si>
  <si>
    <t>(01) Factura F00100000001</t>
  </si>
  <si>
    <t>(01) Factura F00100000002</t>
  </si>
  <si>
    <t>(01) Factura F00100000003</t>
  </si>
  <si>
    <t>(01) Factura F00100000004</t>
  </si>
  <si>
    <t>(01) Factura F00100000005</t>
  </si>
  <si>
    <t>(01) Factura F00100000006</t>
  </si>
  <si>
    <t>(01) Factura F00100000007</t>
  </si>
  <si>
    <t>(01) Factura F00100000008</t>
  </si>
  <si>
    <t>(01) Factura F00100000009</t>
  </si>
  <si>
    <t>(01) Factura F00100000010</t>
  </si>
  <si>
    <t>(01) Factura F00100000011</t>
  </si>
  <si>
    <t>(01) Factura F00100000012</t>
  </si>
  <si>
    <t>(01) Factura F00100000013</t>
  </si>
  <si>
    <t>(01) Factura F00100000014</t>
  </si>
  <si>
    <t>(01) Factura F00100000015</t>
  </si>
  <si>
    <t>(01) Factura F00100000100</t>
  </si>
  <si>
    <t>(01) Factura F00100000101</t>
  </si>
  <si>
    <t>(01) Factura F00100000102</t>
  </si>
  <si>
    <t>(01) Factura F00100000103</t>
  </si>
  <si>
    <t>(01) Factura F00100000104</t>
  </si>
  <si>
    <t>(01) Factura FB0100000016</t>
  </si>
  <si>
    <t>(01) Factura FB0100000017</t>
  </si>
  <si>
    <t>(01) Factura FB0100000018</t>
  </si>
  <si>
    <t>(01) Factura FB0100000019</t>
  </si>
  <si>
    <t>(01) Factura FB0100000020</t>
  </si>
  <si>
    <t>(01) Factura FB0100000021</t>
  </si>
  <si>
    <t>(01) Factura FB0100000022</t>
  </si>
  <si>
    <t>(01) Factura FB0100000023</t>
  </si>
  <si>
    <t>(01) Factura FB0100000024</t>
  </si>
  <si>
    <t>(01) Factura FB0100000025</t>
  </si>
  <si>
    <t>(01) Factura FB0100000026</t>
  </si>
  <si>
    <t>(01) Factura FB0100000027</t>
  </si>
  <si>
    <t>(01) Factura FB0100000028</t>
  </si>
  <si>
    <t>(01) Factura FB0100000029</t>
  </si>
  <si>
    <t>(01) Factura FB0100000030</t>
  </si>
  <si>
    <t>(01) Factura FB0100000031</t>
  </si>
  <si>
    <t>(01) Factura FB0100000032</t>
  </si>
  <si>
    <t>(01) Factura FB0100000033</t>
  </si>
  <si>
    <t>(01) Factura FB0100000034</t>
  </si>
  <si>
    <t>(01) Factura FB0100000035</t>
  </si>
  <si>
    <t>(01) Factura FB0100000036</t>
  </si>
  <si>
    <t>(01) Factura FB0100000038</t>
  </si>
  <si>
    <t>(01) Factura FB0100000039</t>
  </si>
  <si>
    <t>(01) Factura FB0100000040</t>
  </si>
  <si>
    <t>(01) Factura FB0100000041</t>
  </si>
  <si>
    <t>(01) Factura FB0100000042</t>
  </si>
  <si>
    <t>(01) Factura FB0100000043</t>
  </si>
  <si>
    <t>(01) Factura FB0100000044</t>
  </si>
  <si>
    <t>(01) Factura FB0100000045</t>
  </si>
  <si>
    <t>(01) Factura FB0100000046</t>
  </si>
  <si>
    <t>(01) Factura FB0100000047</t>
  </si>
  <si>
    <t>(01) Factura FB0100000048</t>
  </si>
  <si>
    <t>(01) Factura FB0100000049</t>
  </si>
  <si>
    <t>(01) Factura FB0100000050</t>
  </si>
  <si>
    <t>(01) Factura FB0100000051</t>
  </si>
  <si>
    <t>(01) Factura FB0100000052</t>
  </si>
  <si>
    <t>(01) Factura FB0100000053</t>
  </si>
  <si>
    <t>(01) Factura FB0100000054</t>
  </si>
  <si>
    <t>(01) Factura FB0100000055</t>
  </si>
  <si>
    <t>(01) Factura FB0100000056</t>
  </si>
  <si>
    <t>(01) Factura FB0100000057</t>
  </si>
  <si>
    <t>(01) Factura FB0100000058</t>
  </si>
  <si>
    <t>(01) Factura FB0100000059</t>
  </si>
  <si>
    <t>(01) Factura FB0100000060</t>
  </si>
  <si>
    <t>(01) Factura FB0100000061</t>
  </si>
  <si>
    <t>(01) Factura FB0100000062</t>
  </si>
  <si>
    <t>(01) Factura FB0100000063</t>
  </si>
  <si>
    <t>(01) Factura FB0100000064</t>
  </si>
  <si>
    <t>(01) Factura FB0100000065</t>
  </si>
  <si>
    <t>(01) Factura FB0100000066</t>
  </si>
  <si>
    <t>(01) Factura FB0100000067</t>
  </si>
  <si>
    <t>(01) Factura FB0100000068</t>
  </si>
  <si>
    <t>(01) Factura FB0100000069</t>
  </si>
  <si>
    <t>(01) Factura FB0100000070</t>
  </si>
  <si>
    <t>(01) Factura FB0100000071</t>
  </si>
  <si>
    <t>(01) Factura FB0100000072</t>
  </si>
  <si>
    <t>(01) Factura FB0100000073</t>
  </si>
  <si>
    <t>(01) Factura FB0100000074</t>
  </si>
  <si>
    <t>(01) Factura FB0100000075</t>
  </si>
  <si>
    <t>FB011420</t>
  </si>
  <si>
    <t>FFF1219</t>
  </si>
  <si>
    <t>FFF1220</t>
  </si>
  <si>
    <t>Detalles para Suma de item.total - UNIFICADO: (01) Factura F00100000104</t>
  </si>
  <si>
    <t>JSON</t>
  </si>
  <si>
    <t>DESCARGA ODOO</t>
  </si>
  <si>
    <t>Detalles para Suma de Total firmado - Número de Documento: 01-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</si>
</sst>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quotePrefix="1"/>
    <xf numFmtId="22" fontId="0" fillId="0" borderId="0" xfId="0" applyNumberFormat="1"/>
    <xf numFmtId="14" fontId="5" fillId="0" borderId="0" xfId="0" applyNumberFormat="1" applyFont="1" applyAlignment="1">
      <alignment horizontal="left" indent="1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0" fillId="3" borderId="0" xfId="0" applyFill="1"/>
    <xf numFmtId="0" fontId="0" fillId="3" borderId="0" xfId="0" quotePrefix="1" applyFill="1"/>
    <xf numFmtId="14" fontId="0" fillId="3" borderId="0" xfId="0" applyNumberFormat="1" applyFill="1"/>
    <xf numFmtId="22" fontId="0" fillId="3" borderId="0" xfId="0" applyNumberFormat="1" applyFill="1"/>
    <xf numFmtId="0" fontId="6" fillId="3" borderId="0" xfId="0" applyFont="1" applyFill="1"/>
    <xf numFmtId="0" fontId="6" fillId="3" borderId="0" xfId="0" quotePrefix="1" applyFont="1" applyFill="1"/>
    <xf numFmtId="14" fontId="6" fillId="3" borderId="0" xfId="0" applyNumberFormat="1" applyFont="1" applyFill="1"/>
    <xf numFmtId="22" fontId="6" fillId="3" borderId="0" xfId="0" applyNumberFormat="1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37"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659131</xdr:colOff>
      <xdr:row>25</xdr:row>
      <xdr:rowOff>30480</xdr:rowOff>
    </xdr:from>
    <xdr:to>
      <xdr:col>6</xdr:col>
      <xdr:colOff>2428875</xdr:colOff>
      <xdr:row>43</xdr:row>
      <xdr:rowOff>152399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807CEC-D183-917B-42C7-D82614A2E394}"/>
            </a:ext>
          </a:extLst>
        </xdr:cNvPr>
        <xdr:cNvSpPr txBox="1"/>
      </xdr:nvSpPr>
      <xdr:spPr>
        <a:xfrm>
          <a:off x="6355081" y="4107180"/>
          <a:ext cx="2969894" cy="3036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r>
            <a:rPr lang="es-PE" sz="1100"/>
            <a:t>- IDVENTO</a:t>
          </a:r>
          <a:r>
            <a:rPr lang="es-PE" sz="1100" baseline="0"/>
            <a:t> -&gt; Solo visualizo el codigo nro 2, hay otros codigos en odoo en ese campo que no llegan dentro de los 83 regisros (2,544.00) </a:t>
          </a:r>
          <a:br>
            <a:rPr lang="es-PE" sz="1100" baseline="0"/>
          </a:br>
          <a:r>
            <a:rPr lang="es-PE" sz="1100" baseline="0"/>
            <a:t>- EN JSON el registro fecha emision 06-02-2025 con nro FB-01-1420 sale en descarga odoo para el dia 07-02-2025 con codigo 01-</a:t>
          </a:r>
          <a:br>
            <a:rPr lang="es-PE" sz="1100" baseline="0"/>
          </a:br>
          <a:r>
            <a:rPr lang="es-PE" sz="1100" baseline="0"/>
            <a:t>- La cantidad de registros cuadran pero no los montos de subtotal vs sin impuesto firmado / igv vs impuesto firmado / total vs Total firmado </a:t>
          </a:r>
          <a:br>
            <a:rPr lang="es-PE" sz="1100" baseline="0"/>
          </a:br>
          <a:r>
            <a:rPr lang="es-PE" sz="1100" baseline="0"/>
            <a:t>- Al parecer falta 1 registro en el json vs el exportado de odoo, salen 83 en el json pero 1 registro tiene 2 productos factura = </a:t>
          </a:r>
          <a:r>
            <a:rPr lang="es-P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00000104, en el exportado salen 83 facturas</a:t>
          </a:r>
          <a:r>
            <a:rPr lang="es-PE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acumuladas.</a:t>
          </a:r>
          <a:r>
            <a:rPr lang="es-PE">
              <a:effectLst/>
            </a:rPr>
            <a:t> </a:t>
          </a:r>
          <a:endParaRPr lang="es-P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2.515147106482" createdVersion="8" refreshedVersion="8" minRefreshableVersion="3" recordCount="445" xr:uid="{6502BB74-7290-4CC9-ACE6-2CC1C563353D}">
  <cacheSource type="worksheet">
    <worksheetSource ref="A1:AK446" sheet="FactClientes_InterfaceODOO"/>
  </cacheSource>
  <cacheFields count="39">
    <cacheField name="Número de Documento" numFmtId="4">
      <sharedItems containsBlank="1" count="81">
        <s v="01-FB01-00000075"/>
        <s v="01-FB01-00000074"/>
        <s v="01-F001-00000104"/>
        <s v="01-F001-00000103"/>
        <s v="01-F001-00000102"/>
        <s v="01-F001-00000101"/>
        <s v="01-FB01-00000073"/>
        <s v="01-FB01-00000072"/>
        <s v="01-FB01-00000071"/>
        <s v="01-FB01-00000070"/>
        <s v="01-FB01-00000069"/>
        <s v="01-FB01-00000068"/>
        <s v="01-FB01-00000067"/>
        <s v="01-FB01-00000066"/>
        <s v="01-FB01-00000065"/>
        <s v="01-FB01-00000064"/>
        <s v="01-FB01-00000063"/>
        <s v="01-FB01-00000062"/>
        <s v="01-FB01-00000061"/>
        <s v="01-FB01-00000060"/>
        <s v="01-FB01-00000059"/>
        <s v="01-FB01-00000058"/>
        <s v="01-F001-00000100"/>
        <s v="01-FB01-00000057"/>
        <s v="01-FB01-00000056"/>
        <s v="01-FB01-00000055"/>
        <s v="01-FB01-00000054"/>
        <s v="01-FB01-00000053"/>
        <s v="01-FB01-00000052"/>
        <s v="01-FB01-00000051"/>
        <s v="01-FB01-00000050"/>
        <s v="01-FB01-00000049"/>
        <s v="01-FB01-00000048"/>
        <s v="01-FB01-00000047"/>
        <s v="01-FB01-00000046"/>
        <s v="01-FB01-00000045"/>
        <s v="01-FB01-00000044"/>
        <s v="01-FB01-00000043"/>
        <s v="01-FB01-00000042"/>
        <s v="01-FB01-00000041"/>
        <s v="01-FB01-00000040"/>
        <s v="01-FB01-00000039"/>
        <s v="01-FB01-00000038"/>
        <s v="01-FB01-00000036"/>
        <s v="01-FB01-00000035"/>
        <s v="01-FB01-00000033"/>
        <s v="01-FB01-00000032"/>
        <s v="01-FB01-00000030"/>
        <s v="01-FB01-00000029"/>
        <s v="01-FB01-00000028"/>
        <s v="01-FB01-00000027"/>
        <s v="01-FB01-00000026"/>
        <s v="01-FB01-00000025"/>
        <s v="01-FB01-00000024"/>
        <s v="01-FB01-00000023"/>
        <s v="01-FB01-00000022"/>
        <s v="01-FB01-00000021"/>
        <s v="01-F001-00000014"/>
        <s v="01-F001-00000013"/>
        <s v="01-F001-00000011"/>
        <s v="01-F001-00000015"/>
        <s v="01-F001-00000012"/>
        <s v="01-F001-00000010"/>
        <s v="01-F001-00000009"/>
        <s v="01-F001-00000008"/>
        <s v="01-F001-00000007"/>
        <s v="01-F001-00000006"/>
        <s v="01-F001-00000004"/>
        <s v="01-F001-00000003"/>
        <s v="01-F001-00000002"/>
        <s v="01-FB01-00000034"/>
        <s v="01-FB01-00000031"/>
        <s v="01-FB01-00000020"/>
        <s v="01-FB01-00000019"/>
        <s v="01-FB01-00000018"/>
        <s v="01-FB01-00000017"/>
        <s v="01-FB01-00000016"/>
        <s v="01-F001-00000005"/>
        <s v="01-F001-00000001"/>
        <s v="01-"/>
        <m/>
      </sharedItems>
    </cacheField>
    <cacheField name="VAOPE Codigo Evento" numFmtId="4">
      <sharedItems containsString="0" containsBlank="1" containsNumber="1" containsInteger="1" minValue="0" maxValue="2544"/>
    </cacheField>
    <cacheField name="Evento" numFmtId="4">
      <sharedItems containsBlank="1"/>
    </cacheField>
    <cacheField name="Nombre del tipo" numFmtId="4">
      <sharedItems containsBlank="1"/>
    </cacheField>
    <cacheField name="Nombre del contacto a mostrar en la factura" numFmtId="4">
      <sharedItems containsBlank="1"/>
    </cacheField>
    <cacheField name="Fecha de factura" numFmtId="164">
      <sharedItems containsNonDate="0" containsDate="1" containsString="0" containsBlank="1" minDate="2025-01-03T00:00:00" maxDate="2025-09-20T00:00:00" count="31"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  <m/>
        <d v="2025-02-05T00:00:00" u="1"/>
        <d v="2025-02-04T00:00:00" u="1"/>
        <d v="2025-02-03T00:00:00" u="1"/>
        <d v="2025-01-31T00:00:00" u="1"/>
        <d v="2025-01-30T00:00:00" u="1"/>
        <d v="2025-01-29T00:00:00" u="1"/>
        <d v="2025-01-28T00:00:00" u="1"/>
        <d v="2025-01-27T00:00:00" u="1"/>
        <d v="2025-01-23T00:00:00" u="1"/>
        <d v="2025-01-16T00:00:00" u="1"/>
        <d v="2025-01-15T00:00:00" u="1"/>
        <d v="2025-01-09T00:00:00" u="1"/>
        <d v="2025-01-08T00:00:00" u="1"/>
        <d v="2025-01-06T00:00:00" u="1"/>
        <d v="2025-01-03T00:00:00" u="1"/>
      </sharedItems>
      <fieldGroup par="38"/>
    </cacheField>
    <cacheField name="Fecha" numFmtId="164">
      <sharedItems containsNonDate="0" containsDate="1" containsString="0" containsBlank="1" minDate="2025-02-07T00:00:00" maxDate="2025-09-20T00:00:00"/>
    </cacheField>
    <cacheField name="Fecha de vencimiento" numFmtId="164">
      <sharedItems containsNonDate="0" containsDate="1" containsString="0" containsBlank="1" minDate="2025-02-07T00:00:00" maxDate="2025-09-20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 containsBlank="1"/>
    </cacheField>
    <cacheField name="Equipo de ventas" numFmtId="4">
      <sharedItems containsBlank="1"/>
    </cacheField>
    <cacheField name="Actividades" numFmtId="4">
      <sharedItems containsNonDate="0" containsString="0" containsBlank="1"/>
    </cacheField>
    <cacheField name="Empresa" numFmtId="4">
      <sharedItems containsBlank="1"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 containsBlank="1"/>
    </cacheField>
    <cacheField name="Por revisar" numFmtId="4">
      <sharedItems containsBlank="1"/>
    </cacheField>
    <cacheField name="Estado de pago" numFmtId="4">
      <sharedItems containsBlank="1"/>
    </cacheField>
    <cacheField name="Facturación electrónica" numFmtId="4">
      <sharedItems containsBlank="1"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ntainsBlank="1"/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NonDate="0" containsDate="1" containsString="0" containsBlank="1" minDate="1899-12-30T00:00:00" maxDate="2025-09-20T00:00:00" count="32"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/>
        <m/>
        <d v="1899-12-30T00:00:00" u="1"/>
        <d v="2025-02-05T00:00:00" u="1"/>
        <d v="2025-02-04T00:00:00" u="1"/>
        <d v="2025-02-03T00:00:00" u="1"/>
        <d v="2025-01-31T00:00:00" u="1"/>
        <d v="2025-01-30T00:00:00" u="1"/>
        <d v="2025-01-29T00:00:00" u="1"/>
        <d v="2025-01-28T00:00:00" u="1"/>
        <d v="2025-01-27T00:00:00" u="1"/>
        <d v="2025-01-23T00:00:00" u="1"/>
        <d v="2025-01-16T00:00:00" u="1"/>
        <d v="2025-01-15T00:00:00" u="1"/>
        <d v="2025-01-09T00:00:00" u="1"/>
        <d v="2025-01-08T00:00:00" u="1"/>
        <d v="2025-01-06T00:00:00" u="1"/>
        <d v="2025-01-03T00:00:00" u="1"/>
      </sharedItems>
    </cacheField>
    <cacheField name="Días (Fecha de factura)" numFmtId="0" databaseField="0">
      <fieldGroup base="5">
        <rangePr groupBy="days" startDate="2025-02-07T00:00:00" endDate="2025-09-20T00:00:00"/>
        <groupItems count="368">
          <s v="&lt;7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 de factura)" numFmtId="0" databaseField="0">
      <fieldGroup base="5">
        <rangePr groupBy="months" startDate="2025-02-07T00:00:00" endDate="2025-09-20T00:00:00"/>
        <groupItems count="14">
          <s v="&lt;7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2.515899999999" createdVersion="8" refreshedVersion="8" minRefreshableVersion="3" recordCount="445" xr:uid="{F2631290-5F5C-4E28-B690-1197C93482C5}">
  <cacheSource type="worksheet">
    <worksheetSource ref="A1:AJ446" sheet="FactClientes_InterfaceODOO"/>
  </cacheSource>
  <cacheFields count="36">
    <cacheField name="Número de Documento" numFmtId="4">
      <sharedItems containsBlank="1"/>
    </cacheField>
    <cacheField name="VAOPE Codigo Evento" numFmtId="4">
      <sharedItems containsString="0" containsBlank="1" containsNumber="1" containsInteger="1" minValue="0" maxValue="2544"/>
    </cacheField>
    <cacheField name="Evento" numFmtId="4">
      <sharedItems containsBlank="1"/>
    </cacheField>
    <cacheField name="Nombre del tipo" numFmtId="4">
      <sharedItems containsBlank="1"/>
    </cacheField>
    <cacheField name="Nombre del contacto a mostrar en la factura" numFmtId="4">
      <sharedItems containsBlank="1" count="81">
        <s v="CORPORACION LA CHOZA S.A.C."/>
        <s v="JP Producciones Generales EIRL"/>
        <s v="A &amp; Q AYLLU S.A.C."/>
        <s v="G &amp; N MUSIC S.A.C."/>
        <s v="CORPORACION MUKANRANKO S.A.C."/>
        <s v="RF PROMOTORA DE ESPECTACULOS E.I.R.L"/>
        <s v="MACHA MUNIVE JULIO"/>
        <s v="REYNOSO BENDEZU CARLOS ARTURO"/>
        <m/>
        <s v="PERUVIAN PRODUCTIONS SOCIEDAD ANONIMA CERRADA" u="1"/>
        <s v="RODRIGO ANTONIO QUISPE MONTAÑEZ" u="1"/>
        <s v="FIESTA KARIBEÑA SOCIEDAD ANONIMA CERRADA" u="1"/>
        <s v="MAKWA ENTERTAINMENT S.A.C." u="1"/>
        <s v="LA MATARINA PUENTE PIEDRA E.I.R.L." u="1"/>
        <s v="CONSORCIO CHUNGA &amp; ASOCIADOS S.A.C." u="1"/>
        <s v="COMPLEJO TURISTICO EL REMANSO SAC" u="1"/>
        <s v="TARPUY PRODUCCIONES E.I.R.L." u="1"/>
        <s v="SEVAFRA SAC" u="1"/>
        <s v="MULTISERVICIOS YATACO E.I.R.L." u="1"/>
        <s v="EL PADRINO DIVERSIONES S.A.C." u="1"/>
        <s v="INVERSIONES SAM &amp; ASOCIADOS SAC" u="1"/>
        <s v="NEGOCIACIONES Y PRODUCCIONES VEGA S.A.C" u="1"/>
        <s v="CARDANO PRODUCCIONES S.A.C." u="1"/>
        <s v="JDA BUSINESS PERU S.A.C." u="1"/>
        <s v="RAMOS CRUZ MILAGRITOS" u="1"/>
        <s v="TORRES TOVAR WILDER" u="1"/>
        <s v="EULALIA GAUDENCIA PEREZ CARHUAMACA" u="1"/>
        <s v="JULIO MACHA MUNIVE" u="1"/>
        <s v="YARIT ZARI ALANYA PEREZ" u="1"/>
        <s v="Erol Aylas Marquiño" u="1"/>
        <s v="Humberto Ronald Mendoza Chacha" u="1"/>
        <s v="Piero Macha Perez" u="1"/>
        <s v="GARELD ZAID HERRERA CARDENAS" u="1"/>
        <s v="JAVIER ABEL SANCHEZ NUNTON" u="1"/>
        <s v="JESUS MANUEL COTRINA CORPUS" u="1"/>
        <s v="CHAMORRO AYALA ERIKA SOLEDAD" u="1"/>
        <s v="JHON DANNY BERNABLE BERNABLE" u="1"/>
        <s v="SILVIA SEMIRA SANCHEZ SANGAMA" u="1"/>
        <s v="ALEJANDRA FLORES TICONA" u="1"/>
        <s v="JORGE ANDRES RAMOS VILCAS" u="1"/>
        <s v="MOGROVEJO RAMOS ERWIN KERMER" u="1"/>
        <s v="RESTAURANTE RECEPCIONES CHEPITA ROYAL EMPRESA INDIVIDUAL DE RESPONSABILIDAD LIMITADA" u="1"/>
        <s v="MARIA ANTONELA GUERRERO GONZALES" u="1"/>
        <s v="EMPRESA PROMOTORA DE EVENTOS MAGDA PERU S.A.C." u="1"/>
        <s v="3A BUSINESS EMPRESA INDIVIDUAL DE RESPONSABILIDAD LIMITADA" u="1"/>
        <s v="JC SAN MARTIN EN SU SALSA E.I.R.L." u="1"/>
        <s v="MARIA ALICIA CORONADO MALUQUIS" u="1"/>
        <s v="ORLANDO ALDAIR POMACAJA CARVO" u="1"/>
        <s v="NAHOMY TRILCE CHAMORRO TORRES" u="1"/>
        <s v="JOHEL EDWIN RICALDI ARIAS" u="1"/>
        <s v="JESSMIR PRODUCCIONES S.A.C." u="1"/>
        <s v="FENCO GORDILLO MAXIMO" u="1"/>
        <s v="M.C.A. SERVICIOS INDUSTRIALES E.I.R.L." u="1"/>
        <s v="JHONATHAN CALDERON QUISPE" u="1"/>
        <s v="JORGE NIKITA GALLO PEREZ" u="1"/>
        <s v="FIESTAS BRAVAS GROUP S.A.C." u="1"/>
        <s v="GEINER DAVID QUIROZ GIL" u="1"/>
        <s v="PROMOTORA Y SONIDO MUSICAL WC E.I.R.L." u="1"/>
        <s v="LIMA VIAJES Y TURISMO S.A.C." u="1"/>
        <s v="ALFREDO CALDERON MEDINA" u="1"/>
        <s v="ALAN GUILLERMO PAUCAR GARRO" u="1"/>
        <s v="EMILIANO MINCHOLA RIVEROS" u="1"/>
        <s v="EMPRESA OK MEDIOS PERU S.A.C." u="1"/>
        <s v="ESPECTACULOS MARCABALITO S.A.C." u="1"/>
        <s v="LA PLAZA GASTRONOMICA S.A.C." u="1"/>
        <s v="ECO CABAÑAS DEL ESTE S.A.C." u="1"/>
        <s v="SABORES CRIOLLOS DEL PERU S.A.C." u="1"/>
        <s v="SAOCO FR E.I.R.L." u="1"/>
        <s v="PROMOTORA SR. DE MURUHUAY E.I.R.L." u="1"/>
        <s v="COJAL ARROYO JAVIER MARCIANO" u="1"/>
        <s v="SUPER LEO SAC" u="1"/>
        <s v="MAQUINA DEL TIEMPO S.A.C." u="1"/>
        <s v="ADRIAN DOLORES FLORES" u="1"/>
        <s v="ALEX DARWIN MUERAS PORRAS" u="1"/>
        <s v="Dilbert Aguilar" u="1"/>
        <s v="MARGARITA ARROYO FLORES" u="1"/>
        <s v="HERMOGENES HUAMAN ESPINOZA" u="1"/>
        <s v="JOSE CORPUS CERDAN DIAZ" u="1"/>
        <s v="JENNER ROBERTO CRISANTA RIOS" u="1"/>
        <s v="CRISTHIAM ABEL ALDANA CASTILLO" u="1"/>
        <s v="PERCY ORDINOLA" u="1"/>
      </sharedItems>
    </cacheField>
    <cacheField name="Fecha de factura" numFmtId="164">
      <sharedItems containsNonDate="0" containsDate="1" containsString="0" containsBlank="1" minDate="2025-02-07T00:00:00" maxDate="2025-09-20T00:00:00"/>
    </cacheField>
    <cacheField name="Fecha" numFmtId="164">
      <sharedItems containsNonDate="0" containsDate="1" containsString="0" containsBlank="1" minDate="2025-02-07T00:00:00" maxDate="2025-09-20T00:00:00"/>
    </cacheField>
    <cacheField name="Fecha de vencimiento" numFmtId="164">
      <sharedItems containsNonDate="0" containsDate="1" containsString="0" containsBlank="1" minDate="2025-02-07T00:00:00" maxDate="2025-09-20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 containsBlank="1"/>
    </cacheField>
    <cacheField name="Equipo de ventas" numFmtId="4">
      <sharedItems containsBlank="1"/>
    </cacheField>
    <cacheField name="Actividades" numFmtId="4">
      <sharedItems containsNonDate="0" containsString="0" containsBlank="1"/>
    </cacheField>
    <cacheField name="Empresa" numFmtId="4">
      <sharedItems containsBlank="1"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 containsBlank="1"/>
    </cacheField>
    <cacheField name="Por revisar" numFmtId="4">
      <sharedItems containsBlank="1"/>
    </cacheField>
    <cacheField name="Estado de pago" numFmtId="4">
      <sharedItems containsBlank="1"/>
    </cacheField>
    <cacheField name="Facturación electrónica" numFmtId="4">
      <sharedItems containsBlank="1"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ntainsBlank="1" count="4">
        <s v="Registrado"/>
        <m/>
        <s v="Borrador" u="1"/>
        <s v="Cancelado" u="1"/>
      </sharedItems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/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2.519933796299" createdVersion="8" refreshedVersion="8" minRefreshableVersion="3" recordCount="83" xr:uid="{5C6292C8-0752-4BC3-A6EA-EB09BCD9042C}">
  <cacheSource type="worksheet">
    <worksheetSource ref="A1:AQ84" sheet="facturas_con_items_json"/>
  </cacheSource>
  <cacheFields count="45">
    <cacheField name="serie_correlativo" numFmtId="0">
      <sharedItems count="4">
        <s v="(01) Factura FB01"/>
        <s v="(01) Factura F001"/>
        <s v="FFF1"/>
        <s v="FB01"/>
      </sharedItems>
    </cacheField>
    <cacheField name="numero" numFmtId="0">
      <sharedItems containsMixedTypes="1" containsNumber="1" containsInteger="1" minValue="219" maxValue="1420" count="82">
        <s v="00000075"/>
        <s v="00000074"/>
        <s v="00000104"/>
        <s v="00000103"/>
        <s v="00000102"/>
        <s v="00000101"/>
        <s v="00000073"/>
        <s v="00000072"/>
        <s v="00000071"/>
        <s v="00000070"/>
        <s v="00000069"/>
        <s v="00000068"/>
        <s v="00000067"/>
        <s v="00000066"/>
        <s v="00000065"/>
        <s v="00000064"/>
        <s v="00000063"/>
        <s v="00000062"/>
        <s v="00000061"/>
        <s v="00000060"/>
        <s v="00000059"/>
        <s v="00000058"/>
        <s v="00000100"/>
        <s v="00000057"/>
        <s v="00000056"/>
        <s v="00000055"/>
        <s v="00000054"/>
        <s v="00000053"/>
        <s v="00000052"/>
        <s v="00000051"/>
        <s v="00000050"/>
        <s v="00000049"/>
        <s v="00000048"/>
        <s v="00000047"/>
        <s v="00000046"/>
        <s v="00000045"/>
        <s v="00000044"/>
        <s v="00000043"/>
        <s v="00000042"/>
        <s v="00000041"/>
        <s v="00000040"/>
        <s v="00000039"/>
        <s v="00000038"/>
        <s v="00000036"/>
        <s v="00000035"/>
        <s v="00000033"/>
        <s v="00000032"/>
        <s v="00000030"/>
        <s v="00000029"/>
        <s v="00000028"/>
        <s v="00000027"/>
        <s v="00000026"/>
        <s v="00000025"/>
        <s v="00000024"/>
        <s v="00000023"/>
        <s v="00000022"/>
        <s v="00000021"/>
        <s v="00000014"/>
        <s v="00000013"/>
        <s v="00000011"/>
        <s v="00000015"/>
        <s v="00000012"/>
        <s v="00000010"/>
        <s v="00000009"/>
        <s v="00000008"/>
        <s v="00000007"/>
        <s v="00000006"/>
        <s v="00000004"/>
        <s v="00000003"/>
        <s v="00000002"/>
        <s v="00000034"/>
        <s v="00000031"/>
        <s v="00000020"/>
        <s v="00000019"/>
        <s v="00000018"/>
        <s v="00000017"/>
        <s v="00000016"/>
        <s v="00000005"/>
        <s v="00000001"/>
        <n v="220"/>
        <n v="219"/>
        <n v="1420"/>
      </sharedItems>
    </cacheField>
    <cacheField name="fecha_de_emision" numFmtId="14">
      <sharedItems containsSemiMixedTypes="0" containsNonDate="0" containsDate="1" containsString="0" minDate="2025-02-06T00:00:00" maxDate="2025-09-20T00:00:00" count="14">
        <d v="2025-09-19T00:00:00"/>
        <d v="2025-09-17T00:00:00"/>
        <d v="2025-09-16T00:00:00"/>
        <d v="2025-09-12T00:00:00"/>
        <d v="2025-09-08T00:00:00"/>
        <d v="2025-09-02T00:00:00"/>
        <d v="2025-08-29T00:00:00"/>
        <d v="2025-08-27T00:00:00"/>
        <d v="2025-08-25T00:00:00"/>
        <d v="2025-08-22T00:00:00"/>
        <d v="2025-08-26T00:00:00"/>
        <d v="2025-08-21T00:00:00"/>
        <d v="2025-02-09T00:00:00"/>
        <d v="2025-02-06T00:00:00"/>
      </sharedItems>
      <fieldGroup par="44"/>
    </cacheField>
    <cacheField name="hora_de_emision" numFmtId="22">
      <sharedItems containsSemiMixedTypes="0" containsNonDate="0" containsDate="1" containsString="0" minDate="2025-10-02T08:54:19" maxDate="2025-10-02T19:00:00"/>
    </cacheField>
    <cacheField name="nom_proveedor" numFmtId="0">
      <sharedItems count="8">
        <s v="CORPORACION LA CHOZA S.A.C."/>
        <s v="JP Producciones Generales EIRL"/>
        <s v="A &amp; Q AYLLU S.A.C."/>
        <s v="G &amp; N MUSIC S.A.C."/>
        <s v="CORPORACION MUKANRANKO S.A.C."/>
        <s v="RF PROMOTORA DE ESPECTACULOS E.I.R.L"/>
        <s v="MACHA MUNIVE JULIO"/>
        <s v="REYNOSO BENDEZU CARLOS ARTURO"/>
      </sharedItems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6" maxValue="6"/>
    </cacheField>
    <cacheField name="doc_proveedor" numFmtId="0">
      <sharedItems containsSemiMixedTypes="0" containsString="0" containsNumber="1" containsInteger="1" minValue="10198893710" maxValue="20612433489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2-06T00:00:00" maxDate="2025-09-20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 count="1">
        <m/>
      </sharedItems>
    </cacheField>
    <cacheField name="item.id_producto" numFmtId="0">
      <sharedItems containsSemiMixedTypes="0" containsString="0" containsNumber="1" containsInteger="1" minValue="1" maxValue="2"/>
    </cacheField>
    <cacheField name="item.codigo_producto" numFmtId="0">
      <sharedItems containsString="0" containsBlank="1" containsNumber="1" containsInteger="1" minValue="228" maxValue="984"/>
    </cacheField>
    <cacheField name="item.nom_producto" numFmtId="0">
      <sharedItems count="14">
        <s v="COMISIÃ“N PAGOS DIGITALES SEGUN CONTRATO -"/>
        <s v="DESARROLLO DE CONTENIDO"/>
        <s v="COMBO ANCLADOS"/>
        <s v="COMISIÃ“N VAOPE SEGUN CONTRATO -"/>
        <s v="PERSONAL -"/>
        <s v="ENTRADAS IMPRESAS - ORDEN DE VENTA N663  Corazn Serrano en el Centro de Convenciones Scencia de la Molina /  FULL COLOR GENERAL /  BRAZALETES PLATINUM / BRAZALETES VIP"/>
        <s v="COMISIÃ“N PAGOS DIGITALES SEGUN CONTRATO"/>
        <s v="DIFUSION MAILING"/>
        <s v="COMISIÃ“N PAGOS DIGITALES SEGÃšN CONTRATO"/>
        <s v="COMISION CORTESIA - emision cortesia"/>
        <s v="COMISION CORTESIA - CortesÃ­a"/>
        <s v="ENTRADAS IMPRESAS FULL COLOR GENERAL, BRAZALETES VIP -CORAZÃ“N SERRANO BARRANCA - 09/02 Y PERSONAL DELIVERY"/>
        <s v="ENTRADAS IMPRESAS * FULL COLOR GENERAL "/>
        <s v="COMISION CORTESIA - ACTUALIZACION GRAFICA"/>
      </sharedItems>
    </cacheField>
    <cacheField name="item.categoria_producto" numFmtId="0">
      <sharedItems containsBlank="1"/>
    </cacheField>
    <cacheField name="item.cantidad" numFmtId="0">
      <sharedItems containsSemiMixedTypes="0" containsString="0" containsNumber="1" containsInteger="1" minValue="1" maxValue="2"/>
    </cacheField>
    <cacheField name="item.valor_unitario" numFmtId="0">
      <sharedItems containsSemiMixedTypes="0" containsString="0" containsNumber="1" minValue="0" maxValue="1355.93"/>
    </cacheField>
    <cacheField name="item.precio_unitario" numFmtId="0">
      <sharedItems containsSemiMixedTypes="0" containsString="0" containsNumber="1" minValue="0" maxValue="1600"/>
    </cacheField>
    <cacheField name="item.descuento" numFmtId="0">
      <sharedItems containsNonDate="0" containsString="0" containsBlank="1"/>
    </cacheField>
    <cacheField name="item.subtotal" numFmtId="0">
      <sharedItems containsSemiMixedTypes="0" containsString="0" containsNumber="1" minValue="0" maxValue="2000"/>
    </cacheField>
    <cacheField name="item.porcentaje_de_igv" numFmtId="0">
      <sharedItems containsSemiMixedTypes="0" containsString="0" containsNumber="1" minValue="0" maxValue="18.010000000000002"/>
    </cacheField>
    <cacheField name="item.igv" numFmtId="0">
      <sharedItems containsSemiMixedTypes="0" containsString="0" containsNumber="1" minValue="0" maxValue="360"/>
    </cacheField>
    <cacheField name="item.total" numFmtId="0">
      <sharedItems containsSemiMixedTypes="0" containsString="0" containsNumber="1" minValue="0" maxValue="2360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estado" numFmtId="0">
      <sharedItems/>
    </cacheField>
    <cacheField name="item.nombre_estado" numFmtId="0">
      <sharedItems count="1">
        <s v="Publicado"/>
      </sharedItems>
    </cacheField>
    <cacheField name="item.id_vendedor" numFmtId="0">
      <sharedItems containsSemiMixedTypes="0" containsString="0" containsNumber="1" containsInteger="1" minValue="2" maxValue="2"/>
    </cacheField>
    <cacheField name="item.nom_vendedor" numFmtId="0">
      <sharedItems/>
    </cacheField>
    <cacheField name="item.id_cuenta_analitica" numFmtId="0">
      <sharedItems containsString="0" containsBlank="1" containsNumber="1" containsInteger="1" minValue="83" maxValue="137"/>
    </cacheField>
    <cacheField name="item.nom_cuenta_analitica" numFmtId="0">
      <sharedItems containsBlank="1"/>
    </cacheField>
    <cacheField name="item.distribucion_analitica" numFmtId="0">
      <sharedItems longText="1"/>
    </cacheField>
    <cacheField name="item.evento.id_evento" numFmtId="0">
      <sharedItems containsString="0" containsBlank="1" containsNumber="1" containsInteger="1" minValue="2" maxValue="2"/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1-01-08T00:00:00" maxDate="2021-01-09T00:00:00"/>
    </cacheField>
    <cacheField name="item.evento.Fecha_hora_fin_event" numFmtId="0">
      <sharedItems containsNonDate="0" containsDate="1" containsString="0" containsBlank="1" minDate="2021-01-08T00:00:00" maxDate="2021-01-09T00:00:00"/>
    </cacheField>
    <cacheField name="item.evento.id_organizador" numFmtId="0">
      <sharedItems containsNonDate="0" containsString="0" containsBlank="1"/>
    </cacheField>
    <cacheField name="item.evento.nom_organizador" numFmtId="0">
      <sharedItems/>
    </cacheField>
    <cacheField name="item.evento.tipo_organizador" numFmtId="0">
      <sharedItems containsNonDate="0" containsString="0" containsBlank="1"/>
    </cacheField>
    <cacheField name="Días (fecha_de_emision)" numFmtId="0" databaseField="0">
      <fieldGroup base="2">
        <rangePr groupBy="days" startDate="2025-02-06T00:00:00" endDate="2025-09-20T00:00:00"/>
        <groupItems count="368">
          <s v="&lt;6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_de_emision)" numFmtId="0" databaseField="0">
      <fieldGroup base="2">
        <rangePr groupBy="months" startDate="2025-02-06T00:00:00" endDate="2025-09-20T00:00:00"/>
        <groupItems count="14">
          <s v="&lt;6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2.552869212966" createdVersion="8" refreshedVersion="8" minRefreshableVersion="3" recordCount="83" xr:uid="{6770CC6D-35E5-415B-BFC1-F847066933CE}">
  <cacheSource type="worksheet">
    <worksheetSource ref="A1:AR84" sheet="facturas_con_items_json"/>
  </cacheSource>
  <cacheFields count="46">
    <cacheField name="serie_correlativo" numFmtId="0">
      <sharedItems/>
    </cacheField>
    <cacheField name="numero" numFmtId="0">
      <sharedItems containsMixedTypes="1" containsNumber="1" containsInteger="1" minValue="219" maxValue="1420"/>
    </cacheField>
    <cacheField name="fecha_de_emision" numFmtId="14">
      <sharedItems containsSemiMixedTypes="0" containsNonDate="0" containsDate="1" containsString="0" minDate="2025-02-06T00:00:00" maxDate="2025-09-20T00:00:00" count="14">
        <d v="2025-09-19T00:00:00"/>
        <d v="2025-09-17T00:00:00"/>
        <d v="2025-09-16T00:00:00"/>
        <d v="2025-09-12T00:00:00"/>
        <d v="2025-09-08T00:00:00"/>
        <d v="2025-09-02T00:00:00"/>
        <d v="2025-08-29T00:00:00"/>
        <d v="2025-08-27T00:00:00"/>
        <d v="2025-08-25T00:00:00"/>
        <d v="2025-08-22T00:00:00"/>
        <d v="2025-08-26T00:00:00"/>
        <d v="2025-08-21T00:00:00"/>
        <d v="2025-02-09T00:00:00"/>
        <d v="2025-02-06T00:00:00"/>
      </sharedItems>
      <fieldGroup par="45"/>
    </cacheField>
    <cacheField name="hora_de_emision" numFmtId="22">
      <sharedItems containsSemiMixedTypes="0" containsNonDate="0" containsDate="1" containsString="0" minDate="2025-10-02T08:54:19" maxDate="2025-10-02T19:00:00"/>
    </cacheField>
    <cacheField name="nom_proveedor" numFmtId="0">
      <sharedItems/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6" maxValue="6"/>
    </cacheField>
    <cacheField name="doc_proveedor" numFmtId="0">
      <sharedItems containsSemiMixedTypes="0" containsString="0" containsNumber="1" containsInteger="1" minValue="10198893710" maxValue="20612433489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2-06T00:00:00" maxDate="2025-09-20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id_producto" numFmtId="0">
      <sharedItems containsSemiMixedTypes="0" containsString="0" containsNumber="1" containsInteger="1" minValue="1" maxValue="2"/>
    </cacheField>
    <cacheField name="item.codigo_producto" numFmtId="0">
      <sharedItems containsString="0" containsBlank="1" containsNumber="1" containsInteger="1" minValue="228" maxValue="984"/>
    </cacheField>
    <cacheField name="item.nom_producto" numFmtId="0">
      <sharedItems/>
    </cacheField>
    <cacheField name="item.categoria_producto" numFmtId="0">
      <sharedItems containsBlank="1"/>
    </cacheField>
    <cacheField name="item.cantidad" numFmtId="0">
      <sharedItems containsSemiMixedTypes="0" containsString="0" containsNumber="1" containsInteger="1" minValue="1" maxValue="2"/>
    </cacheField>
    <cacheField name="item.valor_unitario" numFmtId="0">
      <sharedItems containsSemiMixedTypes="0" containsString="0" containsNumber="1" minValue="0" maxValue="1355.93"/>
    </cacheField>
    <cacheField name="item.precio_unitario" numFmtId="0">
      <sharedItems containsSemiMixedTypes="0" containsString="0" containsNumber="1" minValue="0" maxValue="1600"/>
    </cacheField>
    <cacheField name="item.descuento" numFmtId="0">
      <sharedItems containsNonDate="0" containsString="0" containsBlank="1"/>
    </cacheField>
    <cacheField name="item.subtotal" numFmtId="0">
      <sharedItems containsSemiMixedTypes="0" containsString="0" containsNumber="1" minValue="0" maxValue="2000"/>
    </cacheField>
    <cacheField name="item.porcentaje_de_igv" numFmtId="0">
      <sharedItems containsSemiMixedTypes="0" containsString="0" containsNumber="1" minValue="0" maxValue="18.010000000000002"/>
    </cacheField>
    <cacheField name="item.igv" numFmtId="0">
      <sharedItems containsSemiMixedTypes="0" containsString="0" containsNumber="1" minValue="0" maxValue="360"/>
    </cacheField>
    <cacheField name="item.total" numFmtId="0">
      <sharedItems containsSemiMixedTypes="0" containsString="0" containsNumber="1" minValue="0" maxValue="2360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estado" numFmtId="0">
      <sharedItems/>
    </cacheField>
    <cacheField name="item.nombre_estado" numFmtId="0">
      <sharedItems/>
    </cacheField>
    <cacheField name="item.id_vendedor" numFmtId="0">
      <sharedItems containsSemiMixedTypes="0" containsString="0" containsNumber="1" containsInteger="1" minValue="2" maxValue="2"/>
    </cacheField>
    <cacheField name="item.nom_vendedor" numFmtId="0">
      <sharedItems/>
    </cacheField>
    <cacheField name="item.id_cuenta_analitica" numFmtId="0">
      <sharedItems containsString="0" containsBlank="1" containsNumber="1" containsInteger="1" minValue="83" maxValue="137"/>
    </cacheField>
    <cacheField name="item.nom_cuenta_analitica" numFmtId="0">
      <sharedItems containsBlank="1"/>
    </cacheField>
    <cacheField name="item.distribucion_analitica" numFmtId="0">
      <sharedItems longText="1"/>
    </cacheField>
    <cacheField name="item.evento.id_evento" numFmtId="0">
      <sharedItems containsString="0" containsBlank="1" containsNumber="1" containsInteger="1" minValue="2" maxValue="2"/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1-01-08T00:00:00" maxDate="2021-01-09T00:00:00"/>
    </cacheField>
    <cacheField name="item.evento.Fecha_hora_fin_event" numFmtId="0">
      <sharedItems containsNonDate="0" containsDate="1" containsString="0" containsBlank="1" minDate="2021-01-08T00:00:00" maxDate="2021-01-09T00:00:00"/>
    </cacheField>
    <cacheField name="item.evento.id_organizador" numFmtId="0">
      <sharedItems containsNonDate="0" containsString="0" containsBlank="1"/>
    </cacheField>
    <cacheField name="item.evento.nom_organizador" numFmtId="0">
      <sharedItems/>
    </cacheField>
    <cacheField name="item.evento.tipo_organizador" numFmtId="0">
      <sharedItems containsNonDate="0" containsString="0" containsBlank="1"/>
    </cacheField>
    <cacheField name="UNIFICADO" numFmtId="0">
      <sharedItems count="82">
        <s v="(01) Factura FB0100000075"/>
        <s v="(01) Factura FB0100000074"/>
        <s v="(01) Factura F00100000104"/>
        <s v="(01) Factura F00100000103"/>
        <s v="(01) Factura F00100000102"/>
        <s v="(01) Factura F00100000101"/>
        <s v="(01) Factura FB0100000073"/>
        <s v="(01) Factura FB0100000072"/>
        <s v="(01) Factura FB0100000071"/>
        <s v="(01) Factura FB0100000070"/>
        <s v="(01) Factura FB0100000069"/>
        <s v="(01) Factura FB0100000068"/>
        <s v="(01) Factura FB0100000067"/>
        <s v="(01) Factura FB0100000066"/>
        <s v="(01) Factura FB0100000065"/>
        <s v="(01) Factura FB0100000064"/>
        <s v="(01) Factura FB0100000063"/>
        <s v="(01) Factura FB0100000062"/>
        <s v="(01) Factura FB0100000061"/>
        <s v="(01) Factura FB0100000060"/>
        <s v="(01) Factura FB0100000059"/>
        <s v="(01) Factura FB0100000058"/>
        <s v="(01) Factura F00100000100"/>
        <s v="(01) Factura FB0100000057"/>
        <s v="(01) Factura FB0100000056"/>
        <s v="(01) Factura FB0100000055"/>
        <s v="(01) Factura FB0100000054"/>
        <s v="(01) Factura FB0100000053"/>
        <s v="(01) Factura FB0100000052"/>
        <s v="(01) Factura FB0100000051"/>
        <s v="(01) Factura FB0100000050"/>
        <s v="(01) Factura FB0100000049"/>
        <s v="(01) Factura FB0100000048"/>
        <s v="(01) Factura FB0100000047"/>
        <s v="(01) Factura FB0100000046"/>
        <s v="(01) Factura FB0100000045"/>
        <s v="(01) Factura FB0100000044"/>
        <s v="(01) Factura FB0100000043"/>
        <s v="(01) Factura FB0100000042"/>
        <s v="(01) Factura FB0100000041"/>
        <s v="(01) Factura FB0100000040"/>
        <s v="(01) Factura FB0100000039"/>
        <s v="(01) Factura FB0100000038"/>
        <s v="(01) Factura FB0100000036"/>
        <s v="(01) Factura FB0100000035"/>
        <s v="(01) Factura FB0100000033"/>
        <s v="(01) Factura FB0100000032"/>
        <s v="(01) Factura FB0100000030"/>
        <s v="(01) Factura FB0100000029"/>
        <s v="(01) Factura FB0100000028"/>
        <s v="(01) Factura FB0100000027"/>
        <s v="(01) Factura FB0100000026"/>
        <s v="(01) Factura FB0100000025"/>
        <s v="(01) Factura FB0100000024"/>
        <s v="(01) Factura FB0100000023"/>
        <s v="(01) Factura FB0100000022"/>
        <s v="(01) Factura FB0100000021"/>
        <s v="(01) Factura F00100000014"/>
        <s v="(01) Factura F00100000013"/>
        <s v="(01) Factura F00100000011"/>
        <s v="(01) Factura F00100000015"/>
        <s v="(01) Factura F00100000012"/>
        <s v="(01) Factura F00100000010"/>
        <s v="(01) Factura F00100000009"/>
        <s v="(01) Factura F00100000008"/>
        <s v="(01) Factura F00100000007"/>
        <s v="(01) Factura F00100000006"/>
        <s v="(01) Factura F00100000004"/>
        <s v="(01) Factura F00100000003"/>
        <s v="(01) Factura F00100000002"/>
        <s v="(01) Factura FB0100000034"/>
        <s v="(01) Factura FB0100000031"/>
        <s v="(01) Factura FB0100000020"/>
        <s v="(01) Factura FB0100000019"/>
        <s v="(01) Factura FB0100000018"/>
        <s v="(01) Factura FB0100000017"/>
        <s v="(01) Factura FB0100000016"/>
        <s v="(01) Factura F00100000005"/>
        <s v="(01) Factura F00100000001"/>
        <s v="FFF1220"/>
        <s v="FFF1219"/>
        <s v="FB011420"/>
      </sharedItems>
    </cacheField>
    <cacheField name="Días (fecha_de_emision)" numFmtId="0" databaseField="0">
      <fieldGroup base="2">
        <rangePr groupBy="days" startDate="2025-02-06T00:00:00" endDate="2025-09-20T00:00:00"/>
        <groupItems count="368">
          <s v="&lt;6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9/2025"/>
        </groupItems>
      </fieldGroup>
    </cacheField>
    <cacheField name="Meses (fecha_de_emision)" numFmtId="0" databaseField="0">
      <fieldGroup base="2">
        <rangePr groupBy="months" startDate="2025-02-06T00:00:00" endDate="2025-09-20T00:00:00"/>
        <groupItems count="14">
          <s v="&lt;6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0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x v="0"/>
    <n v="2461"/>
    <m/>
    <s v="Factura"/>
    <s v="CORPORACION LA CHOZA S.A.C."/>
    <x v="0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s v="Registrado"/>
    <m/>
    <m/>
    <m/>
    <m/>
    <m/>
    <m/>
    <m/>
    <x v="0"/>
    <m/>
    <m/>
    <x v="0"/>
  </r>
  <r>
    <x v="1"/>
    <n v="2259"/>
    <m/>
    <s v="Factura"/>
    <s v="JP Producciones Generales EIRL"/>
    <x v="0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x v="0"/>
    <m/>
    <m/>
    <x v="0"/>
  </r>
  <r>
    <x v="2"/>
    <n v="2"/>
    <s v="Corazón Serrano - Almuerzo de camaradería"/>
    <s v="Factura"/>
    <s v="A &amp; Q AYLLU S.A.C."/>
    <x v="0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s v="Registrado"/>
    <m/>
    <m/>
    <m/>
    <m/>
    <m/>
    <m/>
    <m/>
    <x v="0"/>
    <m/>
    <m/>
    <x v="0"/>
  </r>
  <r>
    <x v="3"/>
    <n v="2"/>
    <s v="Corazón Serrano - Almuerzo de camaradería"/>
    <s v="Factura"/>
    <s v="A &amp; Q AYLLU S.A.C."/>
    <x v="0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x v="0"/>
    <m/>
    <m/>
    <x v="0"/>
  </r>
  <r>
    <x v="4"/>
    <n v="2"/>
    <s v="Corazón Serrano - Almuerzo de camaradería"/>
    <s v="Factura"/>
    <s v="A &amp; Q AYLLU S.A.C."/>
    <x v="0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s v="Registrado"/>
    <m/>
    <m/>
    <m/>
    <m/>
    <m/>
    <m/>
    <m/>
    <x v="0"/>
    <m/>
    <m/>
    <x v="0"/>
  </r>
  <r>
    <x v="5"/>
    <n v="2"/>
    <s v="Corazón Serrano - Almuerzo de camaradería"/>
    <s v="Factura"/>
    <s v="A &amp; Q AYLLU S.A.C."/>
    <x v="0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x v="0"/>
    <m/>
    <m/>
    <x v="0"/>
  </r>
  <r>
    <x v="6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s v="Registrado"/>
    <m/>
    <m/>
    <m/>
    <m/>
    <m/>
    <m/>
    <m/>
    <x v="0"/>
    <m/>
    <m/>
    <x v="1"/>
  </r>
  <r>
    <x v="7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x v="0"/>
    <m/>
    <m/>
    <x v="1"/>
  </r>
  <r>
    <x v="8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x v="0"/>
    <m/>
    <m/>
    <x v="1"/>
  </r>
  <r>
    <x v="9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x v="0"/>
    <m/>
    <m/>
    <x v="1"/>
  </r>
  <r>
    <x v="10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s v="Registrado"/>
    <m/>
    <m/>
    <m/>
    <m/>
    <m/>
    <m/>
    <m/>
    <x v="0"/>
    <m/>
    <m/>
    <x v="1"/>
  </r>
  <r>
    <x v="11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s v="Registrado"/>
    <m/>
    <m/>
    <m/>
    <m/>
    <m/>
    <m/>
    <m/>
    <x v="0"/>
    <m/>
    <m/>
    <x v="1"/>
  </r>
  <r>
    <x v="12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x v="0"/>
    <m/>
    <m/>
    <x v="1"/>
  </r>
  <r>
    <x v="13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x v="0"/>
    <m/>
    <m/>
    <x v="1"/>
  </r>
  <r>
    <x v="14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s v="Registrado"/>
    <m/>
    <m/>
    <m/>
    <m/>
    <m/>
    <m/>
    <m/>
    <x v="0"/>
    <m/>
    <m/>
    <x v="1"/>
  </r>
  <r>
    <x v="15"/>
    <n v="2544"/>
    <m/>
    <s v="Factura"/>
    <s v="G &amp; N MUSIC S.A.C."/>
    <x v="1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x v="0"/>
    <m/>
    <m/>
    <x v="1"/>
  </r>
  <r>
    <x v="16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s v="Registrado"/>
    <m/>
    <m/>
    <m/>
    <m/>
    <m/>
    <m/>
    <m/>
    <x v="0"/>
    <m/>
    <m/>
    <x v="1"/>
  </r>
  <r>
    <x v="17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x v="0"/>
    <m/>
    <m/>
    <x v="1"/>
  </r>
  <r>
    <x v="18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s v="Registrado"/>
    <m/>
    <m/>
    <m/>
    <m/>
    <m/>
    <m/>
    <m/>
    <x v="0"/>
    <m/>
    <m/>
    <x v="1"/>
  </r>
  <r>
    <x v="19"/>
    <n v="2259"/>
    <m/>
    <s v="Factura"/>
    <s v="JP Producciones Generales EIRL"/>
    <x v="1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x v="0"/>
    <m/>
    <m/>
    <x v="1"/>
  </r>
  <r>
    <x v="20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s v="Registrado"/>
    <m/>
    <m/>
    <m/>
    <m/>
    <m/>
    <m/>
    <m/>
    <x v="0"/>
    <m/>
    <m/>
    <x v="1"/>
  </r>
  <r>
    <x v="21"/>
    <n v="2337"/>
    <m/>
    <s v="Factura"/>
    <s v="CORPORACION MUKANRANKO S.A.C."/>
    <x v="1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s v="Registrado"/>
    <m/>
    <m/>
    <m/>
    <m/>
    <m/>
    <m/>
    <m/>
    <x v="0"/>
    <m/>
    <m/>
    <x v="1"/>
  </r>
  <r>
    <x v="22"/>
    <n v="2"/>
    <s v="Corazón Serrano - Almuerzo de camaradería"/>
    <s v="Factura"/>
    <s v="A &amp; Q AYLLU S.A.C."/>
    <x v="2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s v="Registrado"/>
    <m/>
    <m/>
    <m/>
    <m/>
    <m/>
    <m/>
    <m/>
    <x v="0"/>
    <m/>
    <m/>
    <x v="2"/>
  </r>
  <r>
    <x v="23"/>
    <n v="2337"/>
    <m/>
    <s v="Factura"/>
    <s v="CORPORACION MUKANRANKO S.A.C."/>
    <x v="3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s v="Registrado"/>
    <m/>
    <m/>
    <m/>
    <m/>
    <m/>
    <m/>
    <m/>
    <x v="0"/>
    <m/>
    <m/>
    <x v="3"/>
  </r>
  <r>
    <x v="2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2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s v="Registrado"/>
    <m/>
    <m/>
    <m/>
    <m/>
    <m/>
    <m/>
    <m/>
    <x v="0"/>
    <m/>
    <m/>
    <x v="4"/>
  </r>
  <r>
    <x v="2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x v="0"/>
    <m/>
    <m/>
    <x v="4"/>
  </r>
  <r>
    <x v="2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s v="Registrado"/>
    <m/>
    <m/>
    <m/>
    <m/>
    <m/>
    <m/>
    <m/>
    <x v="0"/>
    <m/>
    <m/>
    <x v="4"/>
  </r>
  <r>
    <x v="28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s v="Registrado"/>
    <m/>
    <m/>
    <m/>
    <m/>
    <m/>
    <m/>
    <m/>
    <x v="0"/>
    <m/>
    <m/>
    <x v="4"/>
  </r>
  <r>
    <x v="29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x v="0"/>
    <m/>
    <m/>
    <x v="4"/>
  </r>
  <r>
    <x v="3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x v="0"/>
    <m/>
    <m/>
    <x v="4"/>
  </r>
  <r>
    <x v="3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x v="0"/>
    <m/>
    <m/>
    <x v="4"/>
  </r>
  <r>
    <x v="32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s v="Registrado"/>
    <m/>
    <m/>
    <m/>
    <m/>
    <m/>
    <m/>
    <m/>
    <x v="0"/>
    <m/>
    <m/>
    <x v="4"/>
  </r>
  <r>
    <x v="33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4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5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6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7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4"/>
  </r>
  <r>
    <x v="38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4"/>
  </r>
  <r>
    <x v="39"/>
    <n v="1254"/>
    <m/>
    <s v="Factura"/>
    <s v="JP Producciones Generales EIRL"/>
    <x v="4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4"/>
  </r>
  <r>
    <x v="40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x v="0"/>
    <m/>
    <m/>
    <x v="4"/>
  </r>
  <r>
    <x v="41"/>
    <n v="2337"/>
    <m/>
    <s v="Factura"/>
    <s v="CORPORACION MUKANRANKO S.A.C."/>
    <x v="4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s v="Registrado"/>
    <m/>
    <m/>
    <m/>
    <m/>
    <m/>
    <m/>
    <m/>
    <x v="0"/>
    <m/>
    <m/>
    <x v="4"/>
  </r>
  <r>
    <x v="42"/>
    <n v="1254"/>
    <m/>
    <s v="Factura"/>
    <s v="JP Producciones Generales EIRL"/>
    <x v="5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5"/>
  </r>
  <r>
    <x v="43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4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5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6"/>
    <n v="1254"/>
    <m/>
    <s v="Factura"/>
    <s v="JP Producciones Generales EIRL"/>
    <x v="6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6"/>
  </r>
  <r>
    <x v="47"/>
    <n v="2337"/>
    <m/>
    <s v="Factura"/>
    <s v="CORPORACION MUKANRANKO S.A.C."/>
    <x v="6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6"/>
  </r>
  <r>
    <x v="48"/>
    <n v="2337"/>
    <m/>
    <s v="Factura"/>
    <s v="CORPORACION MUKANRANKO S.A.C."/>
    <x v="7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7"/>
  </r>
  <r>
    <x v="49"/>
    <n v="0"/>
    <m/>
    <s v="Factura"/>
    <s v="CORPORACION MUKANRANKO S.A.C."/>
    <x v="8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s v="Registrado"/>
    <m/>
    <m/>
    <m/>
    <m/>
    <m/>
    <m/>
    <m/>
    <x v="0"/>
    <m/>
    <m/>
    <x v="8"/>
  </r>
  <r>
    <x v="50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s v="Registrado"/>
    <m/>
    <m/>
    <m/>
    <m/>
    <m/>
    <m/>
    <m/>
    <x v="0"/>
    <m/>
    <m/>
    <x v="8"/>
  </r>
  <r>
    <x v="51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s v="Registrado"/>
    <m/>
    <m/>
    <m/>
    <m/>
    <m/>
    <m/>
    <m/>
    <x v="0"/>
    <m/>
    <m/>
    <x v="8"/>
  </r>
  <r>
    <x v="52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s v="Registrado"/>
    <m/>
    <m/>
    <m/>
    <m/>
    <m/>
    <m/>
    <m/>
    <x v="0"/>
    <m/>
    <m/>
    <x v="8"/>
  </r>
  <r>
    <x v="53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s v="Registrado"/>
    <m/>
    <m/>
    <m/>
    <m/>
    <m/>
    <m/>
    <m/>
    <x v="0"/>
    <m/>
    <m/>
    <x v="8"/>
  </r>
  <r>
    <x v="54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s v="Registrado"/>
    <m/>
    <m/>
    <m/>
    <m/>
    <m/>
    <m/>
    <m/>
    <x v="0"/>
    <m/>
    <m/>
    <x v="8"/>
  </r>
  <r>
    <x v="55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s v="Registrado"/>
    <m/>
    <m/>
    <m/>
    <m/>
    <m/>
    <m/>
    <m/>
    <x v="0"/>
    <m/>
    <m/>
    <x v="8"/>
  </r>
  <r>
    <x v="56"/>
    <n v="2337"/>
    <m/>
    <s v="Factura"/>
    <s v="CORPORACION MUKANRANKO S.A.C."/>
    <x v="8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s v="Registrado"/>
    <m/>
    <m/>
    <m/>
    <m/>
    <m/>
    <m/>
    <m/>
    <x v="0"/>
    <m/>
    <m/>
    <x v="8"/>
  </r>
  <r>
    <x v="57"/>
    <n v="2525"/>
    <m/>
    <s v="Factura"/>
    <s v="CORPORACION MUKANRANKO S.A.C."/>
    <x v="9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s v="Registrado"/>
    <m/>
    <m/>
    <m/>
    <m/>
    <m/>
    <m/>
    <m/>
    <x v="0"/>
    <m/>
    <m/>
    <x v="9"/>
  </r>
  <r>
    <x v="58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s v="Registrado"/>
    <m/>
    <m/>
    <m/>
    <m/>
    <m/>
    <m/>
    <m/>
    <x v="0"/>
    <m/>
    <m/>
    <x v="9"/>
  </r>
  <r>
    <x v="59"/>
    <n v="0"/>
    <m/>
    <s v="Factura"/>
    <s v="CORPORACION MUKANRANKO S.A.C."/>
    <x v="9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s v="Registrado"/>
    <m/>
    <m/>
    <m/>
    <m/>
    <m/>
    <m/>
    <m/>
    <x v="0"/>
    <m/>
    <m/>
    <x v="9"/>
  </r>
  <r>
    <x v="60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s v="Registrado"/>
    <m/>
    <m/>
    <m/>
    <m/>
    <m/>
    <m/>
    <m/>
    <x v="0"/>
    <m/>
    <m/>
    <x v="10"/>
  </r>
  <r>
    <x v="61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s v="Registrado"/>
    <m/>
    <m/>
    <m/>
    <m/>
    <m/>
    <m/>
    <m/>
    <x v="0"/>
    <m/>
    <m/>
    <x v="10"/>
  </r>
  <r>
    <x v="62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s v="Registrado"/>
    <m/>
    <m/>
    <m/>
    <m/>
    <m/>
    <m/>
    <m/>
    <x v="0"/>
    <m/>
    <m/>
    <x v="10"/>
  </r>
  <r>
    <x v="63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s v="Registrado"/>
    <m/>
    <m/>
    <m/>
    <m/>
    <m/>
    <m/>
    <m/>
    <x v="0"/>
    <m/>
    <m/>
    <x v="10"/>
  </r>
  <r>
    <x v="64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s v="Registrado"/>
    <m/>
    <m/>
    <m/>
    <m/>
    <m/>
    <m/>
    <m/>
    <x v="0"/>
    <m/>
    <m/>
    <x v="10"/>
  </r>
  <r>
    <x v="65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s v="Registrado"/>
    <m/>
    <m/>
    <m/>
    <m/>
    <m/>
    <m/>
    <m/>
    <x v="0"/>
    <m/>
    <m/>
    <x v="10"/>
  </r>
  <r>
    <x v="66"/>
    <n v="0"/>
    <m/>
    <s v="Factura"/>
    <s v="JP Producciones Generales EIR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s v="Registrado"/>
    <m/>
    <m/>
    <m/>
    <m/>
    <m/>
    <m/>
    <m/>
    <x v="0"/>
    <m/>
    <m/>
    <x v="10"/>
  </r>
  <r>
    <x v="67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s v="Registrado"/>
    <m/>
    <m/>
    <m/>
    <m/>
    <m/>
    <m/>
    <m/>
    <x v="0"/>
    <m/>
    <m/>
    <x v="10"/>
  </r>
  <r>
    <x v="68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s v="Registrado"/>
    <m/>
    <m/>
    <m/>
    <m/>
    <m/>
    <m/>
    <m/>
    <x v="0"/>
    <m/>
    <m/>
    <x v="10"/>
  </r>
  <r>
    <x v="69"/>
    <n v="0"/>
    <m/>
    <s v="Factura"/>
    <s v="RF PROMOTORA DE ESPECTACULOS E.I.R.L"/>
    <x v="1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s v="Registrado"/>
    <m/>
    <m/>
    <m/>
    <m/>
    <m/>
    <m/>
    <m/>
    <x v="0"/>
    <m/>
    <m/>
    <x v="10"/>
  </r>
  <r>
    <x v="70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1"/>
    <n v="125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2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3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4"/>
    <n v="1234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5"/>
    <n v="1233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6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1"/>
  </r>
  <r>
    <x v="77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s v="Registrado"/>
    <m/>
    <m/>
    <m/>
    <m/>
    <m/>
    <m/>
    <m/>
    <x v="0"/>
    <m/>
    <m/>
    <x v="11"/>
  </r>
  <r>
    <x v="78"/>
    <n v="0"/>
    <m/>
    <s v="Factura"/>
    <s v="JP Producciones Generales EIRL"/>
    <x v="11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s v="Registrado"/>
    <m/>
    <m/>
    <m/>
    <m/>
    <m/>
    <m/>
    <m/>
    <x v="0"/>
    <m/>
    <m/>
    <x v="11"/>
  </r>
  <r>
    <x v="79"/>
    <n v="0"/>
    <m/>
    <s v="Factura"/>
    <s v="A &amp; Q AYLLU S.A.C."/>
    <x v="12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s v="Registrado"/>
    <m/>
    <m/>
    <m/>
    <m/>
    <m/>
    <m/>
    <m/>
    <x v="0"/>
    <m/>
    <m/>
    <x v="12"/>
  </r>
  <r>
    <x v="79"/>
    <n v="0"/>
    <m/>
    <s v="Factura"/>
    <s v="G &amp; N MUSIC S.A.C."/>
    <x v="13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s v="Registrado"/>
    <m/>
    <m/>
    <m/>
    <m/>
    <m/>
    <m/>
    <m/>
    <x v="0"/>
    <m/>
    <m/>
    <x v="13"/>
  </r>
  <r>
    <x v="79"/>
    <n v="0"/>
    <m/>
    <s v="Factura"/>
    <s v="MACHA MUNIVE JULIO"/>
    <x v="13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s v="Registrado"/>
    <m/>
    <m/>
    <m/>
    <m/>
    <m/>
    <m/>
    <m/>
    <x v="0"/>
    <m/>
    <m/>
    <x v="13"/>
  </r>
  <r>
    <x v="79"/>
    <n v="0"/>
    <m/>
    <s v="Factura"/>
    <s v="REYNOSO BENDEZU CARLOS ARTURO"/>
    <x v="14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s v="Registrado"/>
    <m/>
    <m/>
    <m/>
    <m/>
    <m/>
    <m/>
    <m/>
    <x v="0"/>
    <m/>
    <m/>
    <x v="14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  <r>
    <x v="80"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01-FB01-00000075"/>
    <n v="2461"/>
    <m/>
    <s v="Factura"/>
    <x v="0"/>
    <d v="2025-09-19T00:00:00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x v="0"/>
    <m/>
    <m/>
    <m/>
    <m/>
    <m/>
    <m/>
    <x v="0"/>
    <m/>
    <m/>
    <m/>
  </r>
  <r>
    <s v="01-FB01-00000074"/>
    <n v="2259"/>
    <m/>
    <s v="Factura"/>
    <x v="1"/>
    <d v="2025-09-19T00:00:00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m/>
    <m/>
    <m/>
  </r>
  <r>
    <s v="01-F001-00000104"/>
    <n v="2"/>
    <s v="Corazón Serrano - Almuerzo de camaradería"/>
    <s v="Factura"/>
    <x v="2"/>
    <d v="2025-09-19T00:00:00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x v="0"/>
    <m/>
    <m/>
    <m/>
    <m/>
    <m/>
    <m/>
    <x v="0"/>
    <m/>
    <m/>
    <m/>
  </r>
  <r>
    <s v="01-F001-00000103"/>
    <n v="2"/>
    <s v="Corazón Serrano - Almuerzo de camaradería"/>
    <s v="Factura"/>
    <x v="2"/>
    <d v="2025-09-19T00:00:00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m/>
    <m/>
    <m/>
  </r>
  <r>
    <s v="01-F001-00000102"/>
    <n v="2"/>
    <s v="Corazón Serrano - Almuerzo de camaradería"/>
    <s v="Factura"/>
    <x v="2"/>
    <d v="2025-09-19T00:00:00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m/>
    <m/>
    <m/>
  </r>
  <r>
    <s v="01-F001-00000101"/>
    <n v="2"/>
    <s v="Corazón Serrano - Almuerzo de camaradería"/>
    <s v="Factura"/>
    <x v="2"/>
    <d v="2025-09-19T00:00:00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m/>
    <m/>
    <m/>
  </r>
  <r>
    <s v="01-FB01-00000073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x v="0"/>
    <m/>
    <m/>
    <m/>
    <m/>
    <m/>
    <m/>
    <x v="0"/>
    <m/>
    <m/>
    <m/>
  </r>
  <r>
    <s v="01-FB01-00000072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m/>
    <m/>
    <m/>
  </r>
  <r>
    <s v="01-FB01-00000071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m/>
    <m/>
    <m/>
  </r>
  <r>
    <s v="01-FB01-00000070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m/>
    <m/>
    <m/>
  </r>
  <r>
    <s v="01-FB01-00000069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m/>
    <m/>
    <m/>
  </r>
  <r>
    <s v="01-FB01-00000068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m/>
    <m/>
    <m/>
  </r>
  <r>
    <s v="01-FB01-00000067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m/>
    <m/>
    <m/>
  </r>
  <r>
    <s v="01-FB01-00000066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m/>
    <m/>
    <m/>
  </r>
  <r>
    <s v="01-FB01-00000065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x v="0"/>
    <m/>
    <m/>
    <m/>
    <m/>
    <m/>
    <m/>
    <x v="0"/>
    <m/>
    <m/>
    <m/>
  </r>
  <r>
    <s v="01-FB01-00000064"/>
    <n v="2544"/>
    <m/>
    <s v="Factura"/>
    <x v="3"/>
    <d v="2025-09-17T00:00:00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m/>
    <m/>
    <m/>
  </r>
  <r>
    <s v="01-FB01-00000063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x v="0"/>
    <m/>
    <m/>
    <m/>
    <m/>
    <m/>
    <m/>
    <x v="0"/>
    <m/>
    <m/>
    <m/>
  </r>
  <r>
    <s v="01-FB01-00000062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m/>
    <m/>
    <m/>
  </r>
  <r>
    <s v="01-FB01-00000061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x v="0"/>
    <m/>
    <m/>
    <m/>
    <m/>
    <m/>
    <m/>
    <x v="0"/>
    <m/>
    <m/>
    <m/>
  </r>
  <r>
    <s v="01-FB01-00000060"/>
    <n v="2259"/>
    <m/>
    <s v="Factura"/>
    <x v="1"/>
    <d v="2025-09-17T00:00:00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m/>
    <m/>
    <m/>
  </r>
  <r>
    <s v="01-FB01-00000059"/>
    <n v="2337"/>
    <m/>
    <s v="Factura"/>
    <x v="4"/>
    <d v="2025-09-17T00:00:00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m/>
    <m/>
    <m/>
  </r>
  <r>
    <s v="01-FB01-00000058"/>
    <n v="2337"/>
    <m/>
    <s v="Factura"/>
    <x v="4"/>
    <d v="2025-09-17T00:00:00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m/>
    <m/>
    <m/>
  </r>
  <r>
    <s v="01-F001-00000100"/>
    <n v="2"/>
    <s v="Corazón Serrano - Almuerzo de camaradería"/>
    <s v="Factura"/>
    <x v="2"/>
    <d v="2025-09-16T00:00:00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m/>
    <m/>
    <m/>
  </r>
  <r>
    <s v="01-FB01-00000057"/>
    <n v="2337"/>
    <m/>
    <s v="Factura"/>
    <x v="4"/>
    <d v="2025-09-12T00:00:00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m/>
    <m/>
    <m/>
  </r>
  <r>
    <s v="01-FB01-00000056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55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x v="0"/>
    <m/>
    <m/>
    <m/>
    <m/>
    <m/>
    <m/>
    <x v="0"/>
    <m/>
    <m/>
    <m/>
  </r>
  <r>
    <s v="01-FB01-00000054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m/>
    <m/>
    <m/>
  </r>
  <r>
    <s v="01-FB01-00000053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x v="0"/>
    <m/>
    <m/>
    <m/>
    <m/>
    <m/>
    <m/>
    <x v="0"/>
    <m/>
    <m/>
    <m/>
  </r>
  <r>
    <s v="01-FB01-00000052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x v="0"/>
    <m/>
    <m/>
    <m/>
    <m/>
    <m/>
    <m/>
    <x v="0"/>
    <m/>
    <m/>
    <m/>
  </r>
  <r>
    <s v="01-FB01-00000051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m/>
    <m/>
    <m/>
  </r>
  <r>
    <s v="01-FB01-00000050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m/>
    <m/>
    <m/>
  </r>
  <r>
    <s v="01-FB01-00000049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m/>
    <m/>
    <m/>
  </r>
  <r>
    <s v="01-FB01-00000048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x v="0"/>
    <m/>
    <m/>
    <m/>
    <m/>
    <m/>
    <m/>
    <x v="0"/>
    <m/>
    <m/>
    <m/>
  </r>
  <r>
    <s v="01-FB01-00000047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6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5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4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3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m/>
    <m/>
    <m/>
  </r>
  <r>
    <s v="01-FB01-00000042"/>
    <n v="1254"/>
    <m/>
    <s v="Factura"/>
    <x v="1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41"/>
    <n v="1254"/>
    <m/>
    <s v="Factura"/>
    <x v="1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40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m/>
    <m/>
    <m/>
  </r>
  <r>
    <s v="01-FB01-00000039"/>
    <n v="2337"/>
    <m/>
    <s v="Factura"/>
    <x v="4"/>
    <d v="2025-09-08T00:00:00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x v="0"/>
    <m/>
    <m/>
    <m/>
    <m/>
    <m/>
    <m/>
    <x v="0"/>
    <m/>
    <m/>
    <m/>
  </r>
  <r>
    <s v="01-FB01-00000038"/>
    <n v="1254"/>
    <m/>
    <s v="Factura"/>
    <x v="1"/>
    <d v="2025-09-03T00:00:00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6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5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3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2"/>
    <n v="1254"/>
    <m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0"/>
    <n v="2337"/>
    <m/>
    <s v="Factura"/>
    <x v="4"/>
    <d v="2025-09-02T00:00:00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m/>
    <m/>
    <m/>
  </r>
  <r>
    <s v="01-FB01-00000029"/>
    <n v="2337"/>
    <m/>
    <s v="Factura"/>
    <x v="4"/>
    <d v="2025-08-29T00:00:00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m/>
    <m/>
    <m/>
  </r>
  <r>
    <s v="01-FB01-00000028"/>
    <n v="0"/>
    <m/>
    <s v="Factura"/>
    <x v="4"/>
    <d v="2025-08-27T00:00:00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x v="0"/>
    <m/>
    <m/>
    <m/>
    <m/>
    <m/>
    <m/>
    <x v="0"/>
    <m/>
    <m/>
    <m/>
  </r>
  <r>
    <s v="01-FB01-00000027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x v="0"/>
    <m/>
    <m/>
    <m/>
    <m/>
    <m/>
    <m/>
    <x v="0"/>
    <m/>
    <m/>
    <m/>
  </r>
  <r>
    <s v="01-FB01-00000026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x v="0"/>
    <m/>
    <m/>
    <m/>
    <m/>
    <m/>
    <m/>
    <x v="0"/>
    <m/>
    <m/>
    <m/>
  </r>
  <r>
    <s v="01-FB01-00000025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x v="0"/>
    <m/>
    <m/>
    <m/>
    <m/>
    <m/>
    <m/>
    <x v="0"/>
    <m/>
    <m/>
    <m/>
  </r>
  <r>
    <s v="01-FB01-00000024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x v="0"/>
    <m/>
    <m/>
    <m/>
    <m/>
    <m/>
    <m/>
    <x v="0"/>
    <m/>
    <m/>
    <m/>
  </r>
  <r>
    <s v="01-FB01-00000023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x v="0"/>
    <m/>
    <m/>
    <m/>
    <m/>
    <m/>
    <m/>
    <x v="0"/>
    <m/>
    <m/>
    <m/>
  </r>
  <r>
    <s v="01-FB01-00000022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x v="0"/>
    <m/>
    <m/>
    <m/>
    <m/>
    <m/>
    <m/>
    <x v="0"/>
    <m/>
    <m/>
    <m/>
  </r>
  <r>
    <s v="01-FB01-00000021"/>
    <n v="2337"/>
    <m/>
    <s v="Factura"/>
    <x v="4"/>
    <d v="2025-08-27T00:00:00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x v="0"/>
    <m/>
    <m/>
    <m/>
    <m/>
    <m/>
    <m/>
    <x v="0"/>
    <m/>
    <m/>
    <m/>
  </r>
  <r>
    <s v="01-F001-00000014"/>
    <n v="2525"/>
    <m/>
    <s v="Factura"/>
    <x v="4"/>
    <d v="2025-08-25T00:00:00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x v="0"/>
    <m/>
    <m/>
    <m/>
    <m/>
    <m/>
    <m/>
    <x v="0"/>
    <m/>
    <m/>
    <m/>
  </r>
  <r>
    <s v="01-F001-00000013"/>
    <n v="0"/>
    <m/>
    <s v="Factura"/>
    <x v="4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x v="0"/>
    <m/>
    <m/>
    <m/>
    <m/>
    <m/>
    <m/>
    <x v="0"/>
    <m/>
    <m/>
    <m/>
  </r>
  <r>
    <s v="01-F001-00000011"/>
    <n v="0"/>
    <m/>
    <s v="Factura"/>
    <x v="4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x v="0"/>
    <m/>
    <m/>
    <m/>
    <m/>
    <m/>
    <m/>
    <x v="0"/>
    <m/>
    <m/>
    <m/>
  </r>
  <r>
    <s v="01-F001-00000015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x v="0"/>
    <m/>
    <m/>
    <m/>
    <m/>
    <m/>
    <m/>
    <x v="0"/>
    <m/>
    <m/>
    <m/>
  </r>
  <r>
    <s v="01-F001-00000012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x v="0"/>
    <m/>
    <m/>
    <m/>
    <m/>
    <m/>
    <m/>
    <x v="0"/>
    <m/>
    <m/>
    <m/>
  </r>
  <r>
    <s v="01-F001-00000010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x v="0"/>
    <m/>
    <m/>
    <m/>
    <m/>
    <m/>
    <m/>
    <x v="0"/>
    <m/>
    <m/>
    <m/>
  </r>
  <r>
    <s v="01-F001-00000009"/>
    <n v="0"/>
    <m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x v="0"/>
    <m/>
    <m/>
    <m/>
    <m/>
    <m/>
    <m/>
    <x v="0"/>
    <m/>
    <m/>
    <m/>
  </r>
  <r>
    <s v="01-F001-00000008"/>
    <n v="0"/>
    <m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x v="0"/>
    <m/>
    <m/>
    <m/>
    <m/>
    <m/>
    <m/>
    <x v="0"/>
    <m/>
    <m/>
    <m/>
  </r>
  <r>
    <s v="01-F001-00000007"/>
    <n v="0"/>
    <m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x v="0"/>
    <m/>
    <m/>
    <m/>
    <m/>
    <m/>
    <m/>
    <x v="0"/>
    <m/>
    <m/>
    <m/>
  </r>
  <r>
    <s v="01-F001-00000006"/>
    <n v="0"/>
    <m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x v="0"/>
    <m/>
    <m/>
    <m/>
    <m/>
    <m/>
    <m/>
    <x v="0"/>
    <m/>
    <m/>
    <m/>
  </r>
  <r>
    <s v="01-F001-00000004"/>
    <n v="0"/>
    <m/>
    <s v="Factura"/>
    <x v="5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x v="0"/>
    <m/>
    <m/>
    <m/>
    <m/>
    <m/>
    <m/>
    <x v="0"/>
    <m/>
    <m/>
    <m/>
  </r>
  <r>
    <s v="01-F001-00000003"/>
    <n v="0"/>
    <m/>
    <s v="Factura"/>
    <x v="5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x v="0"/>
    <m/>
    <m/>
    <m/>
    <m/>
    <m/>
    <m/>
    <x v="0"/>
    <m/>
    <m/>
    <m/>
  </r>
  <r>
    <s v="01-F001-00000002"/>
    <n v="0"/>
    <m/>
    <s v="Factura"/>
    <x v="5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x v="0"/>
    <m/>
    <m/>
    <m/>
    <m/>
    <m/>
    <m/>
    <x v="0"/>
    <m/>
    <m/>
    <m/>
  </r>
  <r>
    <s v="01-FB01-00000034"/>
    <n v="125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31"/>
    <n v="125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20"/>
    <n v="123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9"/>
    <n v="123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8"/>
    <n v="1234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7"/>
    <n v="1233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B01-00000016"/>
    <n v="0"/>
    <m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m/>
    <m/>
    <m/>
  </r>
  <r>
    <s v="01-F001-00000005"/>
    <n v="0"/>
    <m/>
    <s v="Factura"/>
    <x v="1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x v="0"/>
    <m/>
    <m/>
    <m/>
    <m/>
    <m/>
    <m/>
    <x v="0"/>
    <m/>
    <m/>
    <m/>
  </r>
  <r>
    <s v="01-F001-00000001"/>
    <n v="0"/>
    <m/>
    <s v="Factura"/>
    <x v="1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x v="0"/>
    <m/>
    <m/>
    <m/>
    <m/>
    <m/>
    <m/>
    <x v="0"/>
    <m/>
    <m/>
    <m/>
  </r>
  <r>
    <s v="01-"/>
    <n v="0"/>
    <m/>
    <s v="Factura"/>
    <x v="2"/>
    <d v="2025-03-23T00:00:00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x v="0"/>
    <m/>
    <m/>
    <m/>
    <m/>
    <m/>
    <m/>
    <x v="0"/>
    <m/>
    <m/>
    <m/>
  </r>
  <r>
    <s v="01-"/>
    <n v="0"/>
    <m/>
    <s v="Factura"/>
    <x v="3"/>
    <d v="2025-02-10T00:00:00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x v="0"/>
    <m/>
    <m/>
    <m/>
    <m/>
    <m/>
    <m/>
    <x v="0"/>
    <m/>
    <m/>
    <m/>
  </r>
  <r>
    <s v="01-"/>
    <n v="0"/>
    <m/>
    <s v="Factura"/>
    <x v="6"/>
    <d v="2025-02-10T00:00:00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x v="0"/>
    <m/>
    <m/>
    <m/>
    <m/>
    <m/>
    <m/>
    <x v="0"/>
    <m/>
    <m/>
    <m/>
  </r>
  <r>
    <s v="01-"/>
    <n v="0"/>
    <m/>
    <s v="Factura"/>
    <x v="7"/>
    <d v="2025-02-07T00:00:00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x v="0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  <r>
    <m/>
    <m/>
    <m/>
    <m/>
    <x v="8"/>
    <m/>
    <m/>
    <m/>
    <m/>
    <m/>
    <m/>
    <m/>
    <m/>
    <m/>
    <m/>
    <m/>
    <m/>
    <m/>
    <m/>
    <m/>
    <m/>
    <m/>
    <m/>
    <m/>
    <m/>
    <x v="1"/>
    <m/>
    <m/>
    <m/>
    <m/>
    <m/>
    <m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x v="0"/>
    <x v="0"/>
    <d v="2025-10-02T11:20:26"/>
    <x v="0"/>
    <m/>
    <n v="6"/>
    <n v="20553193169"/>
    <s v="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posted', 'nombre_estado': 'Publicado', 'evento': {'id_evento': '', 'nom_evento': '', 'Fecha_hora_ini_event': '', 'Fecha_hora_fin_event': '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x v="0"/>
    <n v="1"/>
    <m/>
    <x v="0"/>
    <m/>
    <n v="1"/>
    <n v="1355.93"/>
    <n v="1600"/>
    <m/>
    <n v="1355.93"/>
    <n v="18"/>
    <n v="244.07"/>
    <n v="160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LA CHOZA S.A.C."/>
    <m/>
  </r>
  <r>
    <x v="0"/>
    <x v="1"/>
    <x v="0"/>
    <d v="2025-10-02T11:02:12"/>
    <x v="1"/>
    <s v="Cliente"/>
    <n v="6"/>
    <n v="20608361074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x v="0"/>
    <n v="1"/>
    <m/>
    <x v="0"/>
    <m/>
    <n v="1"/>
    <n v="50.85"/>
    <n v="60"/>
    <m/>
    <n v="50.85"/>
    <n v="17.989999999999998"/>
    <n v="9.15"/>
    <n v="6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1"/>
    <x v="2"/>
    <x v="0"/>
    <d v="2025-10-02T10:46:13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1"/>
    <n v="232"/>
    <x v="1"/>
    <s v="service"/>
    <n v="2"/>
    <n v="1000"/>
    <n v="1180"/>
    <m/>
    <n v="2000"/>
    <n v="18"/>
    <n v="360"/>
    <n v="236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1"/>
    <x v="2"/>
    <x v="0"/>
    <d v="2025-10-02T10:46:13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2"/>
    <n v="228"/>
    <x v="2"/>
    <s v="service"/>
    <n v="2"/>
    <n v="1000"/>
    <n v="1180"/>
    <m/>
    <n v="2000"/>
    <n v="18"/>
    <n v="360"/>
    <n v="236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1"/>
    <x v="3"/>
    <x v="0"/>
    <d v="2025-10-02T10:41:24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1"/>
    <n v="232"/>
    <x v="1"/>
    <s v="service"/>
    <n v="2"/>
    <n v="1000"/>
    <n v="1180"/>
    <m/>
    <n v="2000"/>
    <n v="18"/>
    <n v="360"/>
    <n v="236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1"/>
    <x v="4"/>
    <x v="0"/>
    <d v="2025-10-02T10:35:57"/>
    <x v="2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1"/>
    <n v="232"/>
    <x v="1"/>
    <s v="service"/>
    <n v="2"/>
    <n v="1000"/>
    <n v="1180"/>
    <m/>
    <n v="2000"/>
    <n v="18"/>
    <n v="360"/>
    <n v="236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1"/>
    <x v="5"/>
    <x v="0"/>
    <d v="2025-10-02T10:05:28"/>
    <x v="2"/>
    <m/>
    <n v="6"/>
    <n v="20609168961"/>
    <s v="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x v="0"/>
    <n v="1"/>
    <n v="232"/>
    <x v="1"/>
    <s v="service"/>
    <n v="2"/>
    <n v="0"/>
    <n v="0"/>
    <m/>
    <n v="0"/>
    <n v="0"/>
    <n v="0"/>
    <n v="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0"/>
    <x v="6"/>
    <x v="1"/>
    <d v="2025-10-02T15:44:09"/>
    <x v="3"/>
    <m/>
    <n v="6"/>
    <n v="20611018925"/>
    <s v="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47.46"/>
    <n v="56"/>
    <m/>
    <n v="47.46"/>
    <n v="17.989999999999998"/>
    <n v="8.5399999999999991"/>
    <n v="56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7"/>
    <x v="1"/>
    <d v="2025-10-02T15:32:37"/>
    <x v="3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67.8"/>
    <n v="80"/>
    <m/>
    <n v="67.8"/>
    <n v="17.989999999999998"/>
    <n v="12.2"/>
    <n v="8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8"/>
    <x v="1"/>
    <d v="2025-10-02T15:21:18"/>
    <x v="3"/>
    <m/>
    <n v="6"/>
    <n v="20611018925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55.93"/>
    <n v="66"/>
    <m/>
    <n v="55.93"/>
    <n v="18"/>
    <n v="10.07"/>
    <n v="66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9"/>
    <x v="1"/>
    <d v="2025-10-02T15:15:13"/>
    <x v="3"/>
    <m/>
    <n v="6"/>
    <n v="20611018925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76.27"/>
    <n v="90"/>
    <m/>
    <n v="76.27"/>
    <n v="18"/>
    <n v="13.73"/>
    <n v="9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0"/>
    <x v="1"/>
    <d v="2025-10-02T14:53:14"/>
    <x v="3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67.8"/>
    <n v="80"/>
    <m/>
    <n v="67.8"/>
    <n v="17.989999999999998"/>
    <n v="12.2"/>
    <n v="8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1"/>
    <x v="1"/>
    <d v="2025-10-02T14:32:30"/>
    <x v="3"/>
    <m/>
    <n v="6"/>
    <n v="20611018925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50.85"/>
    <n v="60"/>
    <m/>
    <n v="50.85"/>
    <n v="17.989999999999998"/>
    <n v="9.15"/>
    <n v="6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2"/>
    <x v="1"/>
    <d v="2025-10-02T12:51:12"/>
    <x v="3"/>
    <m/>
    <n v="6"/>
    <n v="20611018925"/>
    <s v="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3"/>
    <m/>
    <n v="1"/>
    <n v="33.9"/>
    <n v="40"/>
    <m/>
    <n v="33.9"/>
    <n v="17.989999999999998"/>
    <n v="6.1"/>
    <n v="4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3"/>
    <x v="1"/>
    <d v="2025-10-02T12:28:49"/>
    <x v="3"/>
    <m/>
    <n v="6"/>
    <n v="20611018925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74.58"/>
    <n v="88"/>
    <m/>
    <n v="74.58"/>
    <n v="17.989999999999998"/>
    <n v="13.42"/>
    <n v="88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4"/>
    <x v="1"/>
    <d v="2025-10-02T12:09:33"/>
    <x v="3"/>
    <m/>
    <n v="6"/>
    <n v="20611018925"/>
    <s v="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169.49"/>
    <n v="200"/>
    <m/>
    <n v="169.49"/>
    <n v="18"/>
    <n v="30.51"/>
    <n v="20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5"/>
    <x v="1"/>
    <d v="2025-10-02T12:08:30"/>
    <x v="3"/>
    <m/>
    <n v="6"/>
    <n v="20611018925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127.12"/>
    <n v="150"/>
    <m/>
    <n v="127.12"/>
    <n v="18"/>
    <n v="22.88"/>
    <n v="15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</r>
  <r>
    <x v="0"/>
    <x v="16"/>
    <x v="1"/>
    <d v="2025-10-02T10:46:52"/>
    <x v="1"/>
    <s v="Cliente"/>
    <n v="6"/>
    <n v="20608361074"/>
    <s v="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4"/>
    <m/>
    <n v="1"/>
    <n v="101.69"/>
    <n v="119.99"/>
    <m/>
    <n v="101.69"/>
    <n v="18"/>
    <n v="18.3"/>
    <n v="119.99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17"/>
    <x v="1"/>
    <d v="2025-10-02T10:20:51"/>
    <x v="1"/>
    <s v="Cliente"/>
    <n v="6"/>
    <n v="20608361074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33.9"/>
    <n v="40"/>
    <m/>
    <n v="33.9"/>
    <n v="17.989999999999998"/>
    <n v="6.1"/>
    <n v="4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18"/>
    <x v="1"/>
    <d v="2025-10-02T10:17:23"/>
    <x v="1"/>
    <s v="Cliente"/>
    <n v="6"/>
    <n v="20608361074"/>
    <s v="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16.95"/>
    <n v="20"/>
    <m/>
    <n v="16.95"/>
    <n v="17.989999999999998"/>
    <n v="3.05"/>
    <n v="2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19"/>
    <x v="1"/>
    <d v="2025-10-02T10:03:56"/>
    <x v="1"/>
    <s v="Cliente"/>
    <n v="6"/>
    <n v="20608361074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84.75"/>
    <n v="100.01"/>
    <m/>
    <n v="84.75"/>
    <n v="18.010000000000002"/>
    <n v="15.26"/>
    <n v="100.01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20"/>
    <x v="1"/>
    <d v="2025-10-02T09:57:22"/>
    <x v="4"/>
    <m/>
    <n v="6"/>
    <n v="20609593076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55.93"/>
    <n v="66"/>
    <m/>
    <n v="55.93"/>
    <n v="18"/>
    <n v="10.07"/>
    <n v="66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1"/>
    <x v="1"/>
    <d v="2025-10-02T09:52:10"/>
    <x v="4"/>
    <m/>
    <n v="6"/>
    <n v="20609593076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x v="0"/>
    <n v="1"/>
    <m/>
    <x v="0"/>
    <m/>
    <n v="1"/>
    <n v="74.58"/>
    <n v="88"/>
    <m/>
    <n v="74.58"/>
    <n v="17.989999999999998"/>
    <n v="13.42"/>
    <n v="88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1"/>
    <x v="22"/>
    <x v="2"/>
    <d v="2025-10-02T11:05:29"/>
    <x v="2"/>
    <m/>
    <n v="6"/>
    <n v="20609168961"/>
    <s v="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6T00:00:00"/>
    <m/>
    <m/>
    <m/>
    <m/>
    <x v="0"/>
    <n v="1"/>
    <n v="232"/>
    <x v="1"/>
    <s v="service"/>
    <n v="1"/>
    <n v="0"/>
    <n v="0"/>
    <m/>
    <n v="0"/>
    <n v="0"/>
    <n v="0"/>
    <n v="0"/>
    <n v="1"/>
    <m/>
    <s v="posted"/>
    <x v="0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</r>
  <r>
    <x v="0"/>
    <x v="23"/>
    <x v="3"/>
    <d v="2025-10-02T13:12:09"/>
    <x v="4"/>
    <m/>
    <n v="6"/>
    <n v="20609593076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x v="0"/>
    <n v="1"/>
    <m/>
    <x v="0"/>
    <m/>
    <n v="1"/>
    <n v="33.9"/>
    <n v="40"/>
    <m/>
    <n v="33.9"/>
    <n v="17.989999999999998"/>
    <n v="6.1"/>
    <n v="4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4"/>
    <x v="3"/>
    <d v="2025-10-02T13:08:42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5"/>
    <x v="4"/>
    <d v="2025-10-02T18:07:30"/>
    <x v="4"/>
    <m/>
    <n v="6"/>
    <n v="20609593076"/>
    <s v="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18.64"/>
    <n v="140"/>
    <m/>
    <n v="118.64"/>
    <n v="18"/>
    <n v="21.36"/>
    <n v="14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6"/>
    <x v="4"/>
    <d v="2025-10-02T18:02:19"/>
    <x v="4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10.17"/>
    <n v="130"/>
    <m/>
    <n v="110.17"/>
    <n v="18"/>
    <n v="19.829999999999998"/>
    <n v="13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7"/>
    <x v="4"/>
    <d v="2025-10-02T17:46:13"/>
    <x v="4"/>
    <m/>
    <n v="6"/>
    <n v="20609593076"/>
    <s v="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35.59"/>
    <n v="160"/>
    <m/>
    <n v="135.59"/>
    <n v="18"/>
    <n v="24.41"/>
    <n v="16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8"/>
    <x v="4"/>
    <d v="2025-10-02T16:15:56"/>
    <x v="4"/>
    <m/>
    <n v="6"/>
    <n v="20609593076"/>
    <s v="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93.22"/>
    <n v="110"/>
    <m/>
    <n v="93.22"/>
    <n v="18"/>
    <n v="16.78"/>
    <n v="11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29"/>
    <x v="4"/>
    <d v="2025-10-02T14:37:02"/>
    <x v="4"/>
    <m/>
    <n v="6"/>
    <n v="20609593076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27.12"/>
    <n v="150"/>
    <m/>
    <n v="127.12"/>
    <n v="18"/>
    <n v="22.88"/>
    <n v="15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0"/>
    <x v="4"/>
    <d v="2025-10-02T14:31:46"/>
    <x v="4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10.17"/>
    <n v="130"/>
    <m/>
    <n v="110.17"/>
    <n v="18"/>
    <n v="19.829999999999998"/>
    <n v="130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1"/>
    <x v="4"/>
    <d v="2025-10-02T13:31:32"/>
    <x v="4"/>
    <m/>
    <n v="6"/>
    <n v="20609593076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84.75"/>
    <n v="100.01"/>
    <m/>
    <n v="84.75"/>
    <n v="18.010000000000002"/>
    <n v="15.26"/>
    <n v="100.01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2"/>
    <x v="4"/>
    <d v="2025-10-02T13:08:55"/>
    <x v="4"/>
    <m/>
    <n v="6"/>
    <n v="20609593076"/>
    <s v="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104.24"/>
    <n v="123"/>
    <m/>
    <n v="104.24"/>
    <n v="18"/>
    <n v="18.760000000000002"/>
    <n v="123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3"/>
    <x v="4"/>
    <d v="2025-10-02T12:54:57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</r>
  <r>
    <x v="0"/>
    <x v="34"/>
    <x v="4"/>
    <d v="2025-10-02T12:53:49"/>
    <x v="4"/>
    <m/>
    <n v="6"/>
    <n v="20609593076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5"/>
    <m/>
    <n v="1"/>
    <n v="65.25"/>
    <n v="77"/>
    <m/>
    <n v="65.25"/>
    <n v="18.010000000000002"/>
    <n v="11.75"/>
    <n v="77"/>
    <n v="1"/>
    <m/>
    <s v="posted"/>
    <x v="0"/>
    <n v="2"/>
    <s v="SAMUEL CHUQUISTA"/>
    <m/>
    <m/>
    <s v="[]"/>
    <m/>
    <m/>
    <m/>
    <m/>
    <m/>
    <s v="CORPORACION MUKANRANKO S.A.C."/>
    <m/>
  </r>
  <r>
    <x v="0"/>
    <x v="35"/>
    <x v="4"/>
    <d v="2025-10-02T12:43:32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m/>
    <m/>
    <s v="[]"/>
    <m/>
    <m/>
    <m/>
    <m/>
    <m/>
    <s v="CORPORACION MUKANRANKO S.A.C."/>
    <m/>
  </r>
  <r>
    <x v="0"/>
    <x v="36"/>
    <x v="4"/>
    <d v="2025-10-02T12:37:55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m/>
    <m/>
    <s v="[]"/>
    <m/>
    <m/>
    <m/>
    <m/>
    <m/>
    <s v="CORPORACION MUKANRANKO S.A.C."/>
    <m/>
  </r>
  <r>
    <x v="0"/>
    <x v="37"/>
    <x v="4"/>
    <d v="2025-10-02T10:48:26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65.25"/>
    <n v="77"/>
    <m/>
    <n v="65.25"/>
    <n v="18.010000000000002"/>
    <n v="11.75"/>
    <n v="77"/>
    <n v="1"/>
    <m/>
    <s v="posted"/>
    <x v="0"/>
    <n v="2"/>
    <s v="SAMUEL CHUQUISTA"/>
    <m/>
    <m/>
    <s v="[]"/>
    <m/>
    <m/>
    <m/>
    <m/>
    <m/>
    <s v="CORPORACION MUKANRANKO S.A.C."/>
    <m/>
  </r>
  <r>
    <x v="0"/>
    <x v="38"/>
    <x v="4"/>
    <d v="2025-10-02T09:06:59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</r>
  <r>
    <x v="0"/>
    <x v="39"/>
    <x v="4"/>
    <d v="2025-10-02T09:06:2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</r>
  <r>
    <x v="0"/>
    <x v="40"/>
    <x v="4"/>
    <d v="2025-10-02T09:03:36"/>
    <x v="4"/>
    <m/>
    <n v="6"/>
    <n v="20609593076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76.27"/>
    <n v="90"/>
    <m/>
    <n v="76.27"/>
    <n v="18"/>
    <n v="13.73"/>
    <n v="90"/>
    <n v="1"/>
    <m/>
    <s v="posted"/>
    <x v="0"/>
    <n v="2"/>
    <s v="SAMUEL CHUQUISTA"/>
    <m/>
    <m/>
    <s v="[]"/>
    <m/>
    <m/>
    <m/>
    <m/>
    <m/>
    <s v="CORPORACION MUKANRANKO S.A.C."/>
    <m/>
  </r>
  <r>
    <x v="0"/>
    <x v="41"/>
    <x v="4"/>
    <d v="2025-10-02T09:00:00"/>
    <x v="4"/>
    <m/>
    <n v="6"/>
    <n v="20609593076"/>
    <s v="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x v="0"/>
    <n v="1"/>
    <m/>
    <x v="0"/>
    <m/>
    <n v="1"/>
    <n v="78.81"/>
    <n v="93"/>
    <m/>
    <n v="78.81"/>
    <n v="18.010000000000002"/>
    <n v="14.19"/>
    <n v="93"/>
    <n v="1"/>
    <m/>
    <s v="posted"/>
    <x v="0"/>
    <n v="2"/>
    <s v="SAMUEL CHUQUISTA"/>
    <m/>
    <m/>
    <s v="[]"/>
    <m/>
    <m/>
    <m/>
    <m/>
    <m/>
    <s v="CORPORACION MUKANRANKO S.A.C."/>
    <m/>
  </r>
  <r>
    <x v="0"/>
    <x v="42"/>
    <x v="4"/>
    <d v="2025-10-02T08:56:30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</r>
  <r>
    <x v="0"/>
    <x v="43"/>
    <x v="5"/>
    <d v="2025-10-02T15:27:25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</r>
  <r>
    <x v="0"/>
    <x v="44"/>
    <x v="5"/>
    <d v="2025-10-02T15:20:25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45"/>
    <x v="5"/>
    <d v="2025-10-02T12:57:55"/>
    <x v="1"/>
    <s v="Cliente"/>
    <n v="6"/>
    <n v="20608361074"/>
    <s v="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6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46"/>
    <x v="5"/>
    <d v="2025-10-02T12:49:5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47"/>
    <x v="5"/>
    <d v="2025-10-02T12:13:13"/>
    <x v="4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0"/>
    <m/>
    <n v="1"/>
    <n v="54.15"/>
    <n v="63.9"/>
    <m/>
    <n v="54.15"/>
    <n v="18.010000000000002"/>
    <n v="9.75"/>
    <n v="63.9"/>
    <n v="1"/>
    <m/>
    <s v="posted"/>
    <x v="0"/>
    <n v="2"/>
    <s v="SAMUEL CHUQUISTA"/>
    <m/>
    <m/>
    <s v="[]"/>
    <m/>
    <m/>
    <m/>
    <m/>
    <m/>
    <s v="CORPORACION MUKANRANKO S.A.C."/>
    <m/>
  </r>
  <r>
    <x v="0"/>
    <x v="48"/>
    <x v="6"/>
    <d v="2025-10-02T11:14:46"/>
    <x v="4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9T00:00:00"/>
    <m/>
    <m/>
    <m/>
    <m/>
    <x v="0"/>
    <n v="1"/>
    <m/>
    <x v="0"/>
    <m/>
    <n v="1"/>
    <n v="54.15"/>
    <n v="63.9"/>
    <m/>
    <n v="54.15"/>
    <n v="18.010000000000002"/>
    <n v="9.75"/>
    <n v="63.9"/>
    <n v="1"/>
    <m/>
    <s v="posted"/>
    <x v="0"/>
    <n v="2"/>
    <s v="SAMUEL CHUQUISTA"/>
    <m/>
    <m/>
    <s v="[]"/>
    <m/>
    <m/>
    <m/>
    <m/>
    <m/>
    <s v="CORPORACION MUKANRANKO S.A.C."/>
    <m/>
  </r>
  <r>
    <x v="0"/>
    <x v="49"/>
    <x v="7"/>
    <d v="2025-10-02T15:24:46"/>
    <x v="4"/>
    <m/>
    <n v="6"/>
    <n v="20609593076"/>
    <s v="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n v="231"/>
    <x v="7"/>
    <s v="service"/>
    <n v="1"/>
    <n v="900"/>
    <n v="1062"/>
    <m/>
    <n v="900"/>
    <n v="18"/>
    <n v="162"/>
    <n v="1062"/>
    <n v="1"/>
    <m/>
    <s v="posted"/>
    <x v="0"/>
    <n v="2"/>
    <s v="SAMUEL CHUQUISTA"/>
    <m/>
    <m/>
    <s v="[]"/>
    <m/>
    <m/>
    <m/>
    <m/>
    <m/>
    <s v="CORPORACION MUKANRANKO S.A.C."/>
    <m/>
  </r>
  <r>
    <x v="0"/>
    <x v="50"/>
    <x v="7"/>
    <d v="2025-10-02T15:12:52"/>
    <x v="4"/>
    <m/>
    <n v="6"/>
    <n v="20609593076"/>
    <s v="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0"/>
    <m/>
    <n v="1"/>
    <n v="53.9"/>
    <n v="63.6"/>
    <m/>
    <n v="53.9"/>
    <n v="18"/>
    <n v="9.6999999999999993"/>
    <n v="63.6"/>
    <n v="1"/>
    <m/>
    <s v="posted"/>
    <x v="0"/>
    <n v="2"/>
    <s v="SAMUEL CHUQUISTA"/>
    <m/>
    <m/>
    <s v="[]"/>
    <m/>
    <m/>
    <m/>
    <m/>
    <m/>
    <s v="CORPORACION MUKANRANKO S.A.C."/>
    <m/>
  </r>
  <r>
    <x v="0"/>
    <x v="51"/>
    <x v="7"/>
    <d v="2025-10-02T15:09:12"/>
    <x v="4"/>
    <m/>
    <n v="6"/>
    <n v="20609593076"/>
    <s v="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0"/>
    <m/>
    <n v="1"/>
    <n v="53.81"/>
    <n v="63.5"/>
    <m/>
    <n v="53.81"/>
    <n v="18.010000000000002"/>
    <n v="9.69"/>
    <n v="63.5"/>
    <n v="1"/>
    <m/>
    <s v="posted"/>
    <x v="0"/>
    <n v="2"/>
    <s v="SAMUEL CHUQUISTA"/>
    <m/>
    <m/>
    <s v="[]"/>
    <m/>
    <m/>
    <m/>
    <m/>
    <m/>
    <s v="CORPORACION MUKANRANKO S.A.C."/>
    <m/>
  </r>
  <r>
    <x v="0"/>
    <x v="52"/>
    <x v="7"/>
    <d v="2025-10-02T14:49:59"/>
    <x v="4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4"/>
    <m/>
    <n v="1"/>
    <n v="1016.95"/>
    <n v="1200"/>
    <m/>
    <n v="1016.95"/>
    <n v="18"/>
    <n v="183.05"/>
    <n v="1200"/>
    <n v="1"/>
    <m/>
    <s v="posted"/>
    <x v="0"/>
    <n v="2"/>
    <s v="SAMUEL CHUQUISTA"/>
    <m/>
    <m/>
    <s v="[]"/>
    <m/>
    <m/>
    <m/>
    <m/>
    <m/>
    <s v="CORPORACION MUKANRANKO S.A.C."/>
    <m/>
  </r>
  <r>
    <x v="0"/>
    <x v="53"/>
    <x v="7"/>
    <d v="2025-10-02T14:38:20"/>
    <x v="4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4"/>
    <m/>
    <n v="1"/>
    <n v="1016.95"/>
    <n v="1200"/>
    <m/>
    <n v="1016.95"/>
    <n v="18"/>
    <n v="183.05"/>
    <n v="1200"/>
    <n v="1"/>
    <m/>
    <s v="posted"/>
    <x v="0"/>
    <n v="2"/>
    <s v="SAMUEL CHUQUISTA"/>
    <m/>
    <m/>
    <s v="[]"/>
    <m/>
    <m/>
    <m/>
    <m/>
    <m/>
    <s v="CORPORACION MUKANRANKO S.A.C."/>
    <m/>
  </r>
  <r>
    <x v="0"/>
    <x v="54"/>
    <x v="7"/>
    <d v="2025-10-02T14:34:28"/>
    <x v="4"/>
    <m/>
    <n v="6"/>
    <n v="20609593076"/>
    <s v="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4"/>
    <m/>
    <n v="1"/>
    <n v="805.08"/>
    <n v="949.99"/>
    <m/>
    <n v="805.08"/>
    <n v="18"/>
    <n v="144.91"/>
    <n v="949.99"/>
    <n v="1"/>
    <m/>
    <s v="posted"/>
    <x v="0"/>
    <n v="2"/>
    <s v="SAMUEL CHUQUISTA"/>
    <m/>
    <m/>
    <s v="[]"/>
    <m/>
    <m/>
    <m/>
    <m/>
    <m/>
    <s v="CORPORACION MUKANRANKO S.A.C."/>
    <m/>
  </r>
  <r>
    <x v="0"/>
    <x v="55"/>
    <x v="7"/>
    <d v="2025-10-02T12:25:43"/>
    <x v="4"/>
    <m/>
    <n v="6"/>
    <n v="20609593076"/>
    <s v="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4"/>
    <m/>
    <n v="1"/>
    <n v="677.97"/>
    <n v="800"/>
    <m/>
    <n v="677.97"/>
    <n v="18"/>
    <n v="122.03"/>
    <n v="800"/>
    <n v="1"/>
    <m/>
    <s v="posted"/>
    <x v="0"/>
    <n v="2"/>
    <s v="SAMUEL CHUQUISTA"/>
    <m/>
    <m/>
    <s v="[]"/>
    <m/>
    <m/>
    <m/>
    <m/>
    <m/>
    <s v="CORPORACION MUKANRANKO S.A.C."/>
    <m/>
  </r>
  <r>
    <x v="0"/>
    <x v="56"/>
    <x v="7"/>
    <d v="2025-10-02T12:07:18"/>
    <x v="4"/>
    <m/>
    <n v="6"/>
    <n v="20609593076"/>
    <s v="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x v="0"/>
    <n v="1"/>
    <m/>
    <x v="0"/>
    <m/>
    <n v="1"/>
    <n v="51.99"/>
    <n v="61.35"/>
    <m/>
    <n v="51.99"/>
    <n v="18"/>
    <n v="9.36"/>
    <n v="61.35"/>
    <n v="1"/>
    <m/>
    <s v="posted"/>
    <x v="0"/>
    <n v="2"/>
    <s v="SAMUEL CHUQUISTA"/>
    <m/>
    <m/>
    <s v="[]"/>
    <m/>
    <m/>
    <m/>
    <m/>
    <m/>
    <s v="CORPORACION MUKANRANKO S.A.C."/>
    <m/>
  </r>
  <r>
    <x v="1"/>
    <x v="57"/>
    <x v="8"/>
    <d v="2025-10-02T10:38:25"/>
    <x v="4"/>
    <m/>
    <n v="6"/>
    <n v="20609593076"/>
    <s v="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0"/>
    <m/>
    <n v="1"/>
    <n v="55.34"/>
    <n v="65.3"/>
    <m/>
    <n v="55.34"/>
    <n v="18"/>
    <n v="9.9600000000000009"/>
    <n v="65.3"/>
    <n v="1"/>
    <m/>
    <s v="posted"/>
    <x v="0"/>
    <n v="2"/>
    <s v="SAMUEL CHUQUISTA"/>
    <m/>
    <m/>
    <s v="[]"/>
    <m/>
    <m/>
    <m/>
    <m/>
    <m/>
    <s v="CORPORACION MUKANRANKO S.A.C."/>
    <m/>
  </r>
  <r>
    <x v="1"/>
    <x v="58"/>
    <x v="8"/>
    <d v="2025-10-02T09:04:28"/>
    <x v="4"/>
    <m/>
    <n v="6"/>
    <n v="20609593076"/>
    <s v="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0"/>
    <m/>
    <n v="1"/>
    <n v="51.86"/>
    <n v="61.19"/>
    <m/>
    <n v="51.86"/>
    <n v="17.989999999999998"/>
    <n v="9.33"/>
    <n v="61.19"/>
    <n v="1"/>
    <m/>
    <s v="posted"/>
    <x v="0"/>
    <n v="2"/>
    <s v="SAMUEL CHUQUISTA"/>
    <m/>
    <m/>
    <s v="[]"/>
    <m/>
    <m/>
    <m/>
    <m/>
    <m/>
    <s v="CORPORACION MUKANRANKO S.A.C."/>
    <m/>
  </r>
  <r>
    <x v="1"/>
    <x v="59"/>
    <x v="8"/>
    <d v="2025-10-02T08:54:19"/>
    <x v="4"/>
    <m/>
    <n v="6"/>
    <n v="20609593076"/>
    <s v="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8"/>
    <m/>
    <n v="1"/>
    <n v="51.86"/>
    <n v="61.19"/>
    <m/>
    <n v="51.86"/>
    <n v="17.989999999999998"/>
    <n v="9.33"/>
    <n v="61.19"/>
    <n v="1"/>
    <m/>
    <s v="posted"/>
    <x v="0"/>
    <n v="2"/>
    <s v="SAMUEL CHUQUISTA"/>
    <m/>
    <m/>
    <s v="[]"/>
    <m/>
    <m/>
    <m/>
    <m/>
    <m/>
    <s v="CORPORACION MUKANRANKO S.A.C."/>
    <m/>
  </r>
  <r>
    <x v="1"/>
    <x v="60"/>
    <x v="8"/>
    <d v="2025-10-02T12:52:03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61"/>
    <x v="8"/>
    <d v="2025-10-02T09:01:27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62"/>
    <x v="9"/>
    <d v="2025-10-02T17:24:31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63"/>
    <x v="9"/>
    <d v="2025-10-02T17:13:36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64"/>
    <x v="9"/>
    <d v="2025-10-02T17:10:1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1"/>
    <x v="65"/>
    <x v="9"/>
    <d v="2025-10-02T16:16:30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1"/>
    <x v="66"/>
    <x v="9"/>
    <d v="2025-10-02T16:15:11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1"/>
    <x v="67"/>
    <x v="9"/>
    <d v="2025-10-02T16:08:44"/>
    <x v="5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9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RF PROMOTORA DE ESPECTACULOS E.I.R.L"/>
    <m/>
  </r>
  <r>
    <x v="1"/>
    <x v="68"/>
    <x v="9"/>
    <d v="2025-10-02T15:50:29"/>
    <x v="5"/>
    <m/>
    <n v="6"/>
    <n v="20612433489"/>
    <s v="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10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RF PROMOTORA DE ESPECTACULOS E.I.R.L"/>
    <m/>
  </r>
  <r>
    <x v="1"/>
    <x v="69"/>
    <x v="9"/>
    <d v="2025-10-02T15:23:33"/>
    <x v="5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9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RF PROMOTORA DE ESPECTACULOS E.I.R.L"/>
    <m/>
  </r>
  <r>
    <x v="0"/>
    <x v="70"/>
    <x v="5"/>
    <d v="2025-10-02T15:18:47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1"/>
    <x v="5"/>
    <d v="2025-10-02T12:48:40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2"/>
    <x v="10"/>
    <d v="2025-10-02T14:44:48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3"/>
    <x v="10"/>
    <d v="2025-10-02T14:41:23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4"/>
    <x v="10"/>
    <d v="2025-10-02T14:40:06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5"/>
    <x v="10"/>
    <d v="2025-10-02T14:26:56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0"/>
    <x v="76"/>
    <x v="10"/>
    <d v="2025-10-02T14:07:17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x v="0"/>
    <n v="1"/>
    <m/>
    <x v="5"/>
    <m/>
    <n v="1"/>
    <n v="322"/>
    <n v="379.96"/>
    <m/>
    <n v="322"/>
    <n v="18"/>
    <n v="57.96"/>
    <n v="379.96"/>
    <n v="1"/>
    <m/>
    <s v="posted"/>
    <x v="0"/>
    <n v="2"/>
    <s v="SAMUEL CHUQUISTA"/>
    <m/>
    <m/>
    <s v="[]"/>
    <m/>
    <m/>
    <m/>
    <m/>
    <m/>
    <s v="JP Producciones Generales EIRL"/>
    <m/>
  </r>
  <r>
    <x v="1"/>
    <x v="77"/>
    <x v="9"/>
    <d v="2025-10-02T16:13:49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1"/>
    <x v="78"/>
    <x v="11"/>
    <d v="2025-10-02T09:43:03"/>
    <x v="1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1T00:00:00"/>
    <m/>
    <m/>
    <m/>
    <m/>
    <x v="0"/>
    <n v="1"/>
    <m/>
    <x v="5"/>
    <m/>
    <n v="1"/>
    <n v="0"/>
    <n v="0"/>
    <m/>
    <n v="0"/>
    <n v="0"/>
    <n v="0"/>
    <n v="0"/>
    <n v="1"/>
    <m/>
    <s v="posted"/>
    <x v="0"/>
    <n v="2"/>
    <s v="SAMUEL CHUQUISTA"/>
    <m/>
    <m/>
    <s v="[]"/>
    <m/>
    <m/>
    <m/>
    <m/>
    <m/>
    <s v="JP Producciones Generales EIRL"/>
    <m/>
  </r>
  <r>
    <x v="2"/>
    <x v="79"/>
    <x v="12"/>
    <d v="2025-10-02T19:00:00"/>
    <x v="3"/>
    <m/>
    <n v="6"/>
    <n v="20611018925"/>
    <s v="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x v="0"/>
    <n v="1"/>
    <n v="984"/>
    <x v="11"/>
    <s v="consu"/>
    <n v="1"/>
    <n v="1241"/>
    <n v="1464.38"/>
    <m/>
    <n v="1241"/>
    <n v="18"/>
    <n v="223.38"/>
    <n v="1464.38"/>
    <n v="1"/>
    <m/>
    <s v="posted"/>
    <x v="0"/>
    <n v="2"/>
    <s v="SAMUEL CHUQUISTA"/>
    <n v="83"/>
    <s v="[Impresos] INSUMO"/>
    <s v="[[{'cÃ³digo': 83, 'nom_distribucion': 'INSUMO', 'sub_categoria': '', 'porcentaje': '100.00'}]]"/>
    <m/>
    <m/>
    <m/>
    <m/>
    <m/>
    <s v="G &amp; N MUSIC S.A.C."/>
    <m/>
  </r>
  <r>
    <x v="2"/>
    <x v="80"/>
    <x v="12"/>
    <d v="2025-10-02T19:00:00"/>
    <x v="6"/>
    <m/>
    <n v="6"/>
    <n v="10198893710"/>
    <s v="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posted', 'nombre_estado': 'Publicado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x v="0"/>
    <n v="1"/>
    <n v="983"/>
    <x v="12"/>
    <s v="consu"/>
    <n v="1"/>
    <n v="400"/>
    <n v="472"/>
    <m/>
    <n v="400"/>
    <n v="18"/>
    <n v="72"/>
    <n v="472"/>
    <n v="1"/>
    <m/>
    <s v="posted"/>
    <x v="0"/>
    <n v="2"/>
    <s v="SAMUEL CHUQUISTA"/>
    <n v="83"/>
    <s v="[Impresos] INSUMO"/>
    <s v="[[{'cÃ³digo': 83, 'nom_distribucion': 'INSUMO', 'sub_categoria': '', 'porcentaje': '100.00'}]]"/>
    <m/>
    <m/>
    <m/>
    <m/>
    <m/>
    <s v="MACHA MUNIVE JULIO"/>
    <m/>
  </r>
  <r>
    <x v="3"/>
    <x v="81"/>
    <x v="13"/>
    <d v="2025-10-02T19:00:00"/>
    <x v="7"/>
    <m/>
    <n v="6"/>
    <n v="10755725086"/>
    <s v="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posted', 'nombre_estado': 'Publicado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"/>
    <d v="2025-02-06T00:00:00"/>
    <m/>
    <m/>
    <m/>
    <m/>
    <x v="0"/>
    <n v="1"/>
    <n v="982"/>
    <x v="13"/>
    <s v="consu"/>
    <n v="1"/>
    <n v="107.37"/>
    <n v="126.7"/>
    <m/>
    <n v="107.37"/>
    <n v="18"/>
    <n v="19.329999999999998"/>
    <n v="126.7"/>
    <n v="1"/>
    <m/>
    <s v="posted"/>
    <x v="0"/>
    <n v="2"/>
    <s v="SAMUEL CHUQUISTA"/>
    <n v="105"/>
    <s v="[Administrativo] COMISIÃ“N"/>
    <s v="[[{'cÃ³digo': 105, 'nom_distribucion': 'COMISIÃ“N', 'sub_categoria': '', 'porcentaje': '100.00'}]]"/>
    <m/>
    <m/>
    <m/>
    <m/>
    <m/>
    <s v="REYNOSO BENDEZU CARLOS ARTURO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(01) Factura FB01"/>
    <s v="00000075"/>
    <x v="0"/>
    <d v="2025-10-02T11:20:26"/>
    <s v="CORPORACION LA CHOZA S.A.C."/>
    <m/>
    <n v="6"/>
    <n v="20553193169"/>
    <s v="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posted', 'nombre_estado': 'Publicado', 'evento': {'id_evento': '', 'nom_evento': '', 'Fecha_hora_ini_event': '', 'Fecha_hora_fin_event': '', 'id_organizador': '', 'nom_organizador': 'CORPORACION LA CHOZA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m/>
    <n v="1"/>
    <m/>
    <s v="COMISIÃ“N PAGOS DIGITALES SEGUN CONTRATO -"/>
    <m/>
    <n v="1"/>
    <n v="1355.93"/>
    <n v="1600"/>
    <m/>
    <n v="1355.93"/>
    <n v="18"/>
    <n v="244.07"/>
    <n v="160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LA CHOZA S.A.C."/>
    <m/>
    <x v="0"/>
  </r>
  <r>
    <s v="(01) Factura FB01"/>
    <s v="00000074"/>
    <x v="0"/>
    <d v="2025-10-02T11:02:12"/>
    <s v="JP Producciones Generales EIRL"/>
    <s v="Cliente"/>
    <n v="6"/>
    <n v="20608361074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9T00:00:00"/>
    <m/>
    <m/>
    <m/>
    <m/>
    <m/>
    <n v="1"/>
    <m/>
    <s v="COMISIÃ“N PAGOS DIGITALES SEGUN CONTRATO -"/>
    <m/>
    <n v="1"/>
    <n v="50.85"/>
    <n v="60"/>
    <m/>
    <n v="50.85"/>
    <n v="17.989999999999998"/>
    <n v="9.15"/>
    <n v="6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"/>
  </r>
  <r>
    <s v="(01) Factura F001"/>
    <s v="00000104"/>
    <x v="0"/>
    <d v="2025-10-02T10:46:13"/>
    <s v="A &amp; Q AYLLU S.A.C.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s v="DESARROLLO DE CONTENIDO"/>
    <s v="service"/>
    <n v="2"/>
    <n v="1000"/>
    <n v="1180"/>
    <m/>
    <n v="2000"/>
    <n v="18"/>
    <n v="360"/>
    <n v="2360"/>
    <n v="1"/>
    <m/>
    <s v="posted"/>
    <s v="Publicado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  <x v="2"/>
  </r>
  <r>
    <s v="(01) Factura F001"/>
    <s v="00000104"/>
    <x v="0"/>
    <d v="2025-10-02T10:46:13"/>
    <s v="A &amp; Q AYLLU S.A.C.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2"/>
    <n v="228"/>
    <s v="COMBO ANCLADOS"/>
    <s v="service"/>
    <n v="2"/>
    <n v="1000"/>
    <n v="1180"/>
    <m/>
    <n v="2000"/>
    <n v="18"/>
    <n v="360"/>
    <n v="2360"/>
    <n v="1"/>
    <m/>
    <s v="posted"/>
    <s v="Publicado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  <x v="2"/>
  </r>
  <r>
    <s v="(01) Factura F001"/>
    <s v="00000103"/>
    <x v="0"/>
    <d v="2025-10-02T10:41:24"/>
    <s v="A &amp; Q AYLLU S.A.C.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s v="DESARROLLO DE CONTENIDO"/>
    <s v="service"/>
    <n v="2"/>
    <n v="1000"/>
    <n v="1180"/>
    <m/>
    <n v="2000"/>
    <n v="18"/>
    <n v="360"/>
    <n v="2360"/>
    <n v="1"/>
    <m/>
    <s v="posted"/>
    <s v="Publicado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  <x v="3"/>
  </r>
  <r>
    <s v="(01) Factura F001"/>
    <s v="00000102"/>
    <x v="0"/>
    <d v="2025-10-02T10:35:57"/>
    <s v="A &amp; Q AYLLU S.A.C.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s v="DESARROLLO DE CONTENIDO"/>
    <s v="service"/>
    <n v="2"/>
    <n v="1000"/>
    <n v="1180"/>
    <m/>
    <n v="2000"/>
    <n v="18"/>
    <n v="360"/>
    <n v="2360"/>
    <n v="1"/>
    <m/>
    <s v="posted"/>
    <s v="Publicado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  <x v="4"/>
  </r>
  <r>
    <s v="(01) Factura F001"/>
    <s v="00000101"/>
    <x v="0"/>
    <d v="2025-10-02T10:05:28"/>
    <s v="A &amp; Q AYLLU S.A.C."/>
    <m/>
    <n v="6"/>
    <n v="20609168961"/>
    <s v="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9T00:00:00"/>
    <m/>
    <m/>
    <m/>
    <m/>
    <m/>
    <n v="1"/>
    <n v="232"/>
    <s v="DESARROLLO DE CONTENIDO"/>
    <s v="service"/>
    <n v="2"/>
    <n v="0"/>
    <n v="0"/>
    <m/>
    <n v="0"/>
    <n v="0"/>
    <n v="0"/>
    <n v="0"/>
    <n v="1"/>
    <m/>
    <s v="posted"/>
    <s v="Publicado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  <x v="5"/>
  </r>
  <r>
    <s v="(01) Factura FB01"/>
    <s v="00000073"/>
    <x v="1"/>
    <d v="2025-10-02T15:44:09"/>
    <s v="G &amp; N MUSIC S.A.C."/>
    <m/>
    <n v="6"/>
    <n v="20611018925"/>
    <s v="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47.46"/>
    <n v="56"/>
    <m/>
    <n v="47.46"/>
    <n v="17.989999999999998"/>
    <n v="8.5399999999999991"/>
    <n v="56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6"/>
  </r>
  <r>
    <s v="(01) Factura FB01"/>
    <s v="00000072"/>
    <x v="1"/>
    <d v="2025-10-02T15:32:37"/>
    <s v="G &amp; N MUSIC S.A.C.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67.8"/>
    <n v="80"/>
    <m/>
    <n v="67.8"/>
    <n v="17.989999999999998"/>
    <n v="12.2"/>
    <n v="8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7"/>
  </r>
  <r>
    <s v="(01) Factura FB01"/>
    <s v="00000071"/>
    <x v="1"/>
    <d v="2025-10-02T15:21:18"/>
    <s v="G &amp; N MUSIC S.A.C."/>
    <m/>
    <n v="6"/>
    <n v="20611018925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55.93"/>
    <n v="66"/>
    <m/>
    <n v="55.93"/>
    <n v="18"/>
    <n v="10.07"/>
    <n v="66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8"/>
  </r>
  <r>
    <s v="(01) Factura FB01"/>
    <s v="00000070"/>
    <x v="1"/>
    <d v="2025-10-02T15:15:13"/>
    <s v="G &amp; N MUSIC S.A.C."/>
    <m/>
    <n v="6"/>
    <n v="20611018925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76.27"/>
    <n v="90"/>
    <m/>
    <n v="76.27"/>
    <n v="18"/>
    <n v="13.73"/>
    <n v="9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9"/>
  </r>
  <r>
    <s v="(01) Factura FB01"/>
    <s v="00000069"/>
    <x v="1"/>
    <d v="2025-10-02T14:53:14"/>
    <s v="G &amp; N MUSIC S.A.C.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67.8"/>
    <n v="80"/>
    <m/>
    <n v="67.8"/>
    <n v="17.989999999999998"/>
    <n v="12.2"/>
    <n v="8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0"/>
  </r>
  <r>
    <s v="(01) Factura FB01"/>
    <s v="00000068"/>
    <x v="1"/>
    <d v="2025-10-02T14:32:30"/>
    <s v="G &amp; N MUSIC S.A.C."/>
    <m/>
    <n v="6"/>
    <n v="20611018925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50.85"/>
    <n v="60"/>
    <m/>
    <n v="50.85"/>
    <n v="17.989999999999998"/>
    <n v="9.15"/>
    <n v="6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1"/>
  </r>
  <r>
    <s v="(01) Factura FB01"/>
    <s v="00000067"/>
    <x v="1"/>
    <d v="2025-10-02T12:51:12"/>
    <s v="G &amp; N MUSIC S.A.C."/>
    <m/>
    <n v="6"/>
    <n v="20611018925"/>
    <s v="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VAOPE SEGUN CONTRATO -"/>
    <m/>
    <n v="1"/>
    <n v="33.9"/>
    <n v="40"/>
    <m/>
    <n v="33.9"/>
    <n v="17.989999999999998"/>
    <n v="6.1"/>
    <n v="4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2"/>
  </r>
  <r>
    <s v="(01) Factura FB01"/>
    <s v="00000066"/>
    <x v="1"/>
    <d v="2025-10-02T12:28:49"/>
    <s v="G &amp; N MUSIC S.A.C."/>
    <m/>
    <n v="6"/>
    <n v="20611018925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74.58"/>
    <n v="88"/>
    <m/>
    <n v="74.58"/>
    <n v="17.989999999999998"/>
    <n v="13.42"/>
    <n v="88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3"/>
  </r>
  <r>
    <s v="(01) Factura FB01"/>
    <s v="00000065"/>
    <x v="1"/>
    <d v="2025-10-02T12:09:33"/>
    <s v="G &amp; N MUSIC S.A.C."/>
    <m/>
    <n v="6"/>
    <n v="20611018925"/>
    <s v="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169.49"/>
    <n v="200"/>
    <m/>
    <n v="169.49"/>
    <n v="18"/>
    <n v="30.51"/>
    <n v="20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4"/>
  </r>
  <r>
    <s v="(01) Factura FB01"/>
    <s v="00000064"/>
    <x v="1"/>
    <d v="2025-10-02T12:08:30"/>
    <s v="G &amp; N MUSIC S.A.C."/>
    <m/>
    <n v="6"/>
    <n v="20611018925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127.12"/>
    <n v="150"/>
    <m/>
    <n v="127.12"/>
    <n v="18"/>
    <n v="22.88"/>
    <n v="15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G &amp; N MUSIC S.A.C."/>
    <m/>
    <x v="15"/>
  </r>
  <r>
    <s v="(01) Factura FB01"/>
    <s v="00000063"/>
    <x v="1"/>
    <d v="2025-10-02T10:46:52"/>
    <s v="JP Producciones Generales EIRL"/>
    <s v="Cliente"/>
    <n v="6"/>
    <n v="20608361074"/>
    <s v="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PERSONAL -"/>
    <m/>
    <n v="1"/>
    <n v="101.69"/>
    <n v="119.99"/>
    <m/>
    <n v="101.69"/>
    <n v="18"/>
    <n v="18.3"/>
    <n v="119.99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6"/>
  </r>
  <r>
    <s v="(01) Factura FB01"/>
    <s v="00000062"/>
    <x v="1"/>
    <d v="2025-10-02T10:20:51"/>
    <s v="JP Producciones Generales EIRL"/>
    <s v="Cliente"/>
    <n v="6"/>
    <n v="20608361074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33.9"/>
    <n v="40"/>
    <m/>
    <n v="33.9"/>
    <n v="17.989999999999998"/>
    <n v="6.1"/>
    <n v="4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7"/>
  </r>
  <r>
    <s v="(01) Factura FB01"/>
    <s v="00000061"/>
    <x v="1"/>
    <d v="2025-10-02T10:17:23"/>
    <s v="JP Producciones Generales EIRL"/>
    <s v="Cliente"/>
    <n v="6"/>
    <n v="20608361074"/>
    <s v="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16.95"/>
    <n v="20"/>
    <m/>
    <n v="16.95"/>
    <n v="17.989999999999998"/>
    <n v="3.05"/>
    <n v="2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8"/>
  </r>
  <r>
    <s v="(01) Factura FB01"/>
    <s v="00000060"/>
    <x v="1"/>
    <d v="2025-10-02T10:03:56"/>
    <s v="JP Producciones Generales EIRL"/>
    <s v="Cliente"/>
    <n v="6"/>
    <n v="20608361074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84.75"/>
    <n v="100.01"/>
    <m/>
    <n v="84.75"/>
    <n v="18.010000000000002"/>
    <n v="15.26"/>
    <n v="100.01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19"/>
  </r>
  <r>
    <s v="(01) Factura FB01"/>
    <s v="00000059"/>
    <x v="1"/>
    <d v="2025-10-02T09:57:2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55.93"/>
    <n v="66"/>
    <m/>
    <n v="55.93"/>
    <n v="18"/>
    <n v="10.07"/>
    <n v="66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0"/>
  </r>
  <r>
    <s v="(01) Factura FB01"/>
    <s v="00000058"/>
    <x v="1"/>
    <d v="2025-10-02T09:52:10"/>
    <s v="CORPORACION MUKANRANKO S.A.C."/>
    <m/>
    <n v="6"/>
    <n v="20609593076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7T00:00:00"/>
    <m/>
    <m/>
    <m/>
    <m/>
    <m/>
    <n v="1"/>
    <m/>
    <s v="COMISIÃ“N PAGOS DIGITALES SEGUN CONTRATO -"/>
    <m/>
    <n v="1"/>
    <n v="74.58"/>
    <n v="88"/>
    <m/>
    <n v="74.58"/>
    <n v="17.989999999999998"/>
    <n v="13.42"/>
    <n v="88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1"/>
  </r>
  <r>
    <s v="(01) Factura F001"/>
    <s v="00000100"/>
    <x v="2"/>
    <d v="2025-10-02T11:05:29"/>
    <s v="A &amp; Q AYLLU S.A.C."/>
    <m/>
    <n v="6"/>
    <n v="20609168961"/>
    <s v="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"/>
    <d v="2025-09-16T00:00:00"/>
    <m/>
    <m/>
    <m/>
    <m/>
    <m/>
    <n v="1"/>
    <n v="232"/>
    <s v="DESARROLLO DE CONTENIDO"/>
    <s v="service"/>
    <n v="1"/>
    <n v="0"/>
    <n v="0"/>
    <m/>
    <n v="0"/>
    <n v="0"/>
    <n v="0"/>
    <n v="0"/>
    <n v="1"/>
    <m/>
    <s v="posted"/>
    <s v="Publicado"/>
    <n v="2"/>
    <s v="SAMUEL CHUQUISTA"/>
    <n v="101"/>
    <s v="[Validadores] DELIVERY"/>
    <s v="[[{'cÃ³digo': 101, 'nom_distribucion': 'DELIVERY', 'sub_categoria': '', 'porcentaje': '100.00'}, {'cÃ³digo': 102, 'nom_distribucion': 'IME', 'sub_categoria': '', 'porcentaje': '100.00'}]]"/>
    <n v="2"/>
    <s v="CorazÃ³n Serrano - Almuerzo de camaraderÃ­a"/>
    <d v="2021-01-08T00:00:00"/>
    <d v="2021-01-08T00:00:00"/>
    <m/>
    <s v="A &amp; Q AYLLU S.A.C."/>
    <m/>
    <x v="22"/>
  </r>
  <r>
    <s v="(01) Factura FB01"/>
    <s v="00000057"/>
    <x v="3"/>
    <d v="2025-10-02T13:12:09"/>
    <s v="CORPORACION MUKANRANKO S.A.C."/>
    <m/>
    <n v="6"/>
    <n v="20609593076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m/>
    <n v="1"/>
    <m/>
    <s v="COMISIÃ“N PAGOS DIGITALES SEGUN CONTRATO -"/>
    <m/>
    <n v="1"/>
    <n v="33.9"/>
    <n v="40"/>
    <m/>
    <n v="33.9"/>
    <n v="17.989999999999998"/>
    <n v="6.1"/>
    <n v="4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3"/>
  </r>
  <r>
    <s v="(01) Factura FB01"/>
    <s v="00000056"/>
    <x v="3"/>
    <d v="2025-10-02T13:08:4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12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4"/>
  </r>
  <r>
    <s v="(01) Factura FB01"/>
    <s v="00000055"/>
    <x v="4"/>
    <d v="2025-10-02T18:07:30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18.64"/>
    <n v="140"/>
    <m/>
    <n v="118.64"/>
    <n v="18"/>
    <n v="21.36"/>
    <n v="14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5"/>
  </r>
  <r>
    <s v="(01) Factura FB01"/>
    <s v="00000054"/>
    <x v="4"/>
    <d v="2025-10-02T18:02:19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10.17"/>
    <n v="130"/>
    <m/>
    <n v="110.17"/>
    <n v="18"/>
    <n v="19.829999999999998"/>
    <n v="13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6"/>
  </r>
  <r>
    <s v="(01) Factura FB01"/>
    <s v="00000053"/>
    <x v="4"/>
    <d v="2025-10-02T17:46:13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35.59"/>
    <n v="160"/>
    <m/>
    <n v="135.59"/>
    <n v="18"/>
    <n v="24.41"/>
    <n v="16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7"/>
  </r>
  <r>
    <s v="(01) Factura FB01"/>
    <s v="00000052"/>
    <x v="4"/>
    <d v="2025-10-02T16:15:5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93.22"/>
    <n v="110"/>
    <m/>
    <n v="93.22"/>
    <n v="18"/>
    <n v="16.78"/>
    <n v="11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8"/>
  </r>
  <r>
    <s v="(01) Factura FB01"/>
    <s v="00000051"/>
    <x v="4"/>
    <d v="2025-10-02T14:37:0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27.12"/>
    <n v="150"/>
    <m/>
    <n v="127.12"/>
    <n v="18"/>
    <n v="22.88"/>
    <n v="15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29"/>
  </r>
  <r>
    <s v="(01) Factura FB01"/>
    <s v="00000050"/>
    <x v="4"/>
    <d v="2025-10-02T14:31:4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10.17"/>
    <n v="130"/>
    <m/>
    <n v="110.17"/>
    <n v="18"/>
    <n v="19.829999999999998"/>
    <n v="130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0"/>
  </r>
  <r>
    <s v="(01) Factura FB01"/>
    <s v="00000049"/>
    <x v="4"/>
    <d v="2025-10-02T13:31:3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84.75"/>
    <n v="100.01"/>
    <m/>
    <n v="84.75"/>
    <n v="18.010000000000002"/>
    <n v="15.26"/>
    <n v="100.01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1"/>
  </r>
  <r>
    <s v="(01) Factura FB01"/>
    <s v="00000048"/>
    <x v="4"/>
    <d v="2025-10-02T13:08:55"/>
    <s v="CORPORACION MUKANRANKO S.A.C."/>
    <m/>
    <n v="6"/>
    <n v="20609593076"/>
    <s v="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104.24"/>
    <n v="123"/>
    <m/>
    <n v="104.24"/>
    <n v="18"/>
    <n v="18.760000000000002"/>
    <n v="123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2"/>
  </r>
  <r>
    <s v="(01) Factura FB01"/>
    <s v="00000047"/>
    <x v="4"/>
    <d v="2025-10-02T12:54:57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CORPORACION MUKANRANKO S.A.C."/>
    <m/>
    <x v="33"/>
  </r>
  <r>
    <s v="(01) Factura FB01"/>
    <s v="00000046"/>
    <x v="4"/>
    <d v="2025-10-02T12:53:49"/>
    <s v="CORPORACION MUKANRANKO S.A.C."/>
    <m/>
    <n v="6"/>
    <n v="20609593076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65.25"/>
    <n v="77"/>
    <m/>
    <n v="65.25"/>
    <n v="18.010000000000002"/>
    <n v="11.75"/>
    <n v="77"/>
    <n v="1"/>
    <m/>
    <s v="posted"/>
    <s v="Publicado"/>
    <n v="2"/>
    <s v="SAMUEL CHUQUISTA"/>
    <m/>
    <m/>
    <s v="[]"/>
    <m/>
    <m/>
    <m/>
    <m/>
    <m/>
    <s v="CORPORACION MUKANRANKO S.A.C."/>
    <m/>
    <x v="34"/>
  </r>
  <r>
    <s v="(01) Factura FB01"/>
    <s v="00000045"/>
    <x v="4"/>
    <d v="2025-10-02T12:43:3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posted"/>
    <s v="Publicado"/>
    <n v="2"/>
    <s v="SAMUEL CHUQUISTA"/>
    <m/>
    <m/>
    <s v="[]"/>
    <m/>
    <m/>
    <m/>
    <m/>
    <m/>
    <s v="CORPORACION MUKANRANKO S.A.C."/>
    <m/>
    <x v="35"/>
  </r>
  <r>
    <s v="(01) Factura FB01"/>
    <s v="00000044"/>
    <x v="4"/>
    <d v="2025-10-02T12:37:55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posted"/>
    <s v="Publicado"/>
    <n v="2"/>
    <s v="SAMUEL CHUQUISTA"/>
    <m/>
    <m/>
    <s v="[]"/>
    <m/>
    <m/>
    <m/>
    <m/>
    <m/>
    <s v="CORPORACION MUKANRANKO S.A.C."/>
    <m/>
    <x v="36"/>
  </r>
  <r>
    <s v="(01) Factura FB01"/>
    <s v="00000043"/>
    <x v="4"/>
    <d v="2025-10-02T10:48:2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65.25"/>
    <n v="77"/>
    <m/>
    <n v="65.25"/>
    <n v="18.010000000000002"/>
    <n v="11.75"/>
    <n v="77"/>
    <n v="1"/>
    <m/>
    <s v="posted"/>
    <s v="Publicado"/>
    <n v="2"/>
    <s v="SAMUEL CHUQUISTA"/>
    <m/>
    <m/>
    <s v="[]"/>
    <m/>
    <m/>
    <m/>
    <m/>
    <m/>
    <s v="CORPORACION MUKANRANKO S.A.C."/>
    <m/>
    <x v="37"/>
  </r>
  <r>
    <s v="(01) Factura FB01"/>
    <s v="00000042"/>
    <x v="4"/>
    <d v="2025-10-02T09:06:59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37, 'nom_cuenta_analitica': 'TI', 'distribucion_analitica': [[{'cÃ³digo': 137, 'nom_distribucion': 'TI', 'sub_categoria': '', 'porcentaje': '100.00'}]]}]"/>
    <d v="2025-09-08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n v="137"/>
    <s v="TI"/>
    <s v="[[{'cÃ³digo': 137, 'nom_distribucion': 'TI', 'sub_categoria': '', 'porcentaje': '100.00'}]]"/>
    <m/>
    <m/>
    <m/>
    <m/>
    <m/>
    <s v="JP Producciones Generales EIRL"/>
    <m/>
    <x v="38"/>
  </r>
  <r>
    <s v="(01) Factura FB01"/>
    <s v="00000041"/>
    <x v="4"/>
    <d v="2025-10-02T09:06:28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39"/>
  </r>
  <r>
    <s v="(01) Factura FB01"/>
    <s v="00000040"/>
    <x v="4"/>
    <d v="2025-10-02T09:03:3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76.27"/>
    <n v="90"/>
    <m/>
    <n v="76.27"/>
    <n v="18"/>
    <n v="13.73"/>
    <n v="90"/>
    <n v="1"/>
    <m/>
    <s v="posted"/>
    <s v="Publicado"/>
    <n v="2"/>
    <s v="SAMUEL CHUQUISTA"/>
    <m/>
    <m/>
    <s v="[]"/>
    <m/>
    <m/>
    <m/>
    <m/>
    <m/>
    <s v="CORPORACION MUKANRANKO S.A.C."/>
    <m/>
    <x v="40"/>
  </r>
  <r>
    <s v="(01) Factura FB01"/>
    <s v="00000039"/>
    <x v="4"/>
    <d v="2025-10-02T09:00:00"/>
    <s v="CORPORACION MUKANRANKO S.A.C."/>
    <m/>
    <n v="6"/>
    <n v="20609593076"/>
    <s v="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8T00:00:00"/>
    <m/>
    <m/>
    <m/>
    <m/>
    <m/>
    <n v="1"/>
    <m/>
    <s v="COMISIÃ“N PAGOS DIGITALES SEGUN CONTRATO -"/>
    <m/>
    <n v="1"/>
    <n v="78.81"/>
    <n v="93"/>
    <m/>
    <n v="78.81"/>
    <n v="18.010000000000002"/>
    <n v="14.19"/>
    <n v="93"/>
    <n v="1"/>
    <m/>
    <s v="posted"/>
    <s v="Publicado"/>
    <n v="2"/>
    <s v="SAMUEL CHUQUISTA"/>
    <m/>
    <m/>
    <s v="[]"/>
    <m/>
    <m/>
    <m/>
    <m/>
    <m/>
    <s v="CORPORACION MUKANRANKO S.A.C."/>
    <m/>
    <x v="41"/>
  </r>
  <r>
    <s v="(01) Factura FB01"/>
    <s v="00000038"/>
    <x v="4"/>
    <d v="2025-10-02T08:56:30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8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42"/>
  </r>
  <r>
    <s v="(01) Factura FB01"/>
    <s v="00000036"/>
    <x v="5"/>
    <d v="2025-10-02T15:27:25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04, 'nom_cuenta_analitica': '[Validadores] VIAJE', 'distribucion_analitica': 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n v="104"/>
    <s v="[Validadores] VIAJE"/>
    <s v="[[{'cÃ³digo': 104, 'nom_distribucion': 'VIAJE', 'sub_categoria': '', 'porcentaje': '20.00'}, {'cÃ³digo': 132, 'nom_distribucion': 'VIÃTICOS', 'sub_categoria': '', 'porcentaje': '30.00'}, {'cÃ³digo': 137, 'nom_distribucion': 'TI', 'sub_categoria': '', 'porcentaje': '50.00'}]]"/>
    <m/>
    <m/>
    <m/>
    <m/>
    <m/>
    <s v="JP Producciones Generales EIRL"/>
    <m/>
    <x v="43"/>
  </r>
  <r>
    <s v="(01) Factura FB01"/>
    <s v="00000035"/>
    <x v="5"/>
    <d v="2025-10-02T15:20:25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44"/>
  </r>
  <r>
    <s v="(01) Factura FB01"/>
    <s v="00000033"/>
    <x v="5"/>
    <d v="2025-10-02T12:57:55"/>
    <s v="JP Producciones Generales EIRL"/>
    <s v="Cliente"/>
    <n v="6"/>
    <n v="20608361074"/>
    <s v="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COMISIÃ“N PAGOS DIGITALES SEGUN CONTRATO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45"/>
  </r>
  <r>
    <s v="(01) Factura FB01"/>
    <s v="00000032"/>
    <x v="5"/>
    <d v="2025-10-02T12:49:58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46"/>
  </r>
  <r>
    <s v="(01) Factura FB01"/>
    <s v="00000030"/>
    <x v="5"/>
    <d v="2025-10-02T12:13:13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COMISIÃ“N PAGOS DIGITALES SEGUN CONTRATO -"/>
    <m/>
    <n v="1"/>
    <n v="54.15"/>
    <n v="63.9"/>
    <m/>
    <n v="54.15"/>
    <n v="18.010000000000002"/>
    <n v="9.75"/>
    <n v="63.9"/>
    <n v="1"/>
    <m/>
    <s v="posted"/>
    <s v="Publicado"/>
    <n v="2"/>
    <s v="SAMUEL CHUQUISTA"/>
    <m/>
    <m/>
    <s v="[]"/>
    <m/>
    <m/>
    <m/>
    <m/>
    <m/>
    <s v="CORPORACION MUKANRANKO S.A.C."/>
    <m/>
    <x v="47"/>
  </r>
  <r>
    <s v="(01) Factura FB01"/>
    <s v="00000029"/>
    <x v="6"/>
    <d v="2025-10-02T11:14:46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9T00:00:00"/>
    <m/>
    <m/>
    <m/>
    <m/>
    <m/>
    <n v="1"/>
    <m/>
    <s v="COMISIÃ“N PAGOS DIGITALES SEGUN CONTRATO -"/>
    <m/>
    <n v="1"/>
    <n v="54.15"/>
    <n v="63.9"/>
    <m/>
    <n v="54.15"/>
    <n v="18.010000000000002"/>
    <n v="9.75"/>
    <n v="63.9"/>
    <n v="1"/>
    <m/>
    <s v="posted"/>
    <s v="Publicado"/>
    <n v="2"/>
    <s v="SAMUEL CHUQUISTA"/>
    <m/>
    <m/>
    <s v="[]"/>
    <m/>
    <m/>
    <m/>
    <m/>
    <m/>
    <s v="CORPORACION MUKANRANKO S.A.C."/>
    <m/>
    <x v="48"/>
  </r>
  <r>
    <s v="(01) Factura FB01"/>
    <s v="00000028"/>
    <x v="7"/>
    <d v="2025-10-02T15:24:46"/>
    <s v="CORPORACION MUKANRANKO S.A.C."/>
    <m/>
    <n v="6"/>
    <n v="20609593076"/>
    <s v="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n v="231"/>
    <s v="DIFUSION MAILING"/>
    <s v="service"/>
    <n v="1"/>
    <n v="900"/>
    <n v="1062"/>
    <m/>
    <n v="900"/>
    <n v="18"/>
    <n v="162"/>
    <n v="1062"/>
    <n v="1"/>
    <m/>
    <s v="posted"/>
    <s v="Publicado"/>
    <n v="2"/>
    <s v="SAMUEL CHUQUISTA"/>
    <m/>
    <m/>
    <s v="[]"/>
    <m/>
    <m/>
    <m/>
    <m/>
    <m/>
    <s v="CORPORACION MUKANRANKO S.A.C."/>
    <m/>
    <x v="49"/>
  </r>
  <r>
    <s v="(01) Factura FB01"/>
    <s v="00000027"/>
    <x v="7"/>
    <d v="2025-10-02T15:12:5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COMISIÃ“N PAGOS DIGITALES SEGUN CONTRATO -"/>
    <m/>
    <n v="1"/>
    <n v="53.9"/>
    <n v="63.6"/>
    <m/>
    <n v="53.9"/>
    <n v="18"/>
    <n v="9.6999999999999993"/>
    <n v="63.6"/>
    <n v="1"/>
    <m/>
    <s v="posted"/>
    <s v="Publicado"/>
    <n v="2"/>
    <s v="SAMUEL CHUQUISTA"/>
    <m/>
    <m/>
    <s v="[]"/>
    <m/>
    <m/>
    <m/>
    <m/>
    <m/>
    <s v="CORPORACION MUKANRANKO S.A.C."/>
    <m/>
    <x v="50"/>
  </r>
  <r>
    <s v="(01) Factura FB01"/>
    <s v="00000026"/>
    <x v="7"/>
    <d v="2025-10-02T15:09:12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COMISIÃ“N PAGOS DIGITALES SEGUN CONTRATO -"/>
    <m/>
    <n v="1"/>
    <n v="53.81"/>
    <n v="63.5"/>
    <m/>
    <n v="53.81"/>
    <n v="18.010000000000002"/>
    <n v="9.69"/>
    <n v="63.5"/>
    <n v="1"/>
    <m/>
    <s v="posted"/>
    <s v="Publicado"/>
    <n v="2"/>
    <s v="SAMUEL CHUQUISTA"/>
    <m/>
    <m/>
    <s v="[]"/>
    <m/>
    <m/>
    <m/>
    <m/>
    <m/>
    <s v="CORPORACION MUKANRANKO S.A.C."/>
    <m/>
    <x v="51"/>
  </r>
  <r>
    <s v="(01) Factura FB01"/>
    <s v="00000025"/>
    <x v="7"/>
    <d v="2025-10-02T14:49:59"/>
    <s v="CORPORACION MUKANRANKO S.A.C.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PERSONAL -"/>
    <m/>
    <n v="1"/>
    <n v="1016.95"/>
    <n v="1200"/>
    <m/>
    <n v="1016.95"/>
    <n v="18"/>
    <n v="183.05"/>
    <n v="1200"/>
    <n v="1"/>
    <m/>
    <s v="posted"/>
    <s v="Publicado"/>
    <n v="2"/>
    <s v="SAMUEL CHUQUISTA"/>
    <m/>
    <m/>
    <s v="[]"/>
    <m/>
    <m/>
    <m/>
    <m/>
    <m/>
    <s v="CORPORACION MUKANRANKO S.A.C."/>
    <m/>
    <x v="52"/>
  </r>
  <r>
    <s v="(01) Factura FB01"/>
    <s v="00000024"/>
    <x v="7"/>
    <d v="2025-10-02T14:38:20"/>
    <s v="CORPORACION MUKANRANKO S.A.C.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PERSONAL -"/>
    <m/>
    <n v="1"/>
    <n v="1016.95"/>
    <n v="1200"/>
    <m/>
    <n v="1016.95"/>
    <n v="18"/>
    <n v="183.05"/>
    <n v="1200"/>
    <n v="1"/>
    <m/>
    <s v="posted"/>
    <s v="Publicado"/>
    <n v="2"/>
    <s v="SAMUEL CHUQUISTA"/>
    <m/>
    <m/>
    <s v="[]"/>
    <m/>
    <m/>
    <m/>
    <m/>
    <m/>
    <s v="CORPORACION MUKANRANKO S.A.C."/>
    <m/>
    <x v="53"/>
  </r>
  <r>
    <s v="(01) Factura FB01"/>
    <s v="00000023"/>
    <x v="7"/>
    <d v="2025-10-02T14:34:28"/>
    <s v="CORPORACION MUKANRANKO S.A.C."/>
    <m/>
    <n v="6"/>
    <n v="20609593076"/>
    <s v="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PERSONAL -"/>
    <m/>
    <n v="1"/>
    <n v="805.08"/>
    <n v="949.99"/>
    <m/>
    <n v="805.08"/>
    <n v="18"/>
    <n v="144.91"/>
    <n v="949.99"/>
    <n v="1"/>
    <m/>
    <s v="posted"/>
    <s v="Publicado"/>
    <n v="2"/>
    <s v="SAMUEL CHUQUISTA"/>
    <m/>
    <m/>
    <s v="[]"/>
    <m/>
    <m/>
    <m/>
    <m/>
    <m/>
    <s v="CORPORACION MUKANRANKO S.A.C."/>
    <m/>
    <x v="54"/>
  </r>
  <r>
    <s v="(01) Factura FB01"/>
    <s v="00000022"/>
    <x v="7"/>
    <d v="2025-10-02T12:25:43"/>
    <s v="CORPORACION MUKANRANKO S.A.C."/>
    <m/>
    <n v="6"/>
    <n v="20609593076"/>
    <s v="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PERSONAL -"/>
    <m/>
    <n v="1"/>
    <n v="677.97"/>
    <n v="800"/>
    <m/>
    <n v="677.97"/>
    <n v="18"/>
    <n v="122.03"/>
    <n v="800"/>
    <n v="1"/>
    <m/>
    <s v="posted"/>
    <s v="Publicado"/>
    <n v="2"/>
    <s v="SAMUEL CHUQUISTA"/>
    <m/>
    <m/>
    <s v="[]"/>
    <m/>
    <m/>
    <m/>
    <m/>
    <m/>
    <s v="CORPORACION MUKANRANKO S.A.C."/>
    <m/>
    <x v="55"/>
  </r>
  <r>
    <s v="(01) Factura FB01"/>
    <s v="00000021"/>
    <x v="7"/>
    <d v="2025-10-02T12:07:18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7T00:00:00"/>
    <m/>
    <m/>
    <m/>
    <m/>
    <m/>
    <n v="1"/>
    <m/>
    <s v="COMISIÃ“N PAGOS DIGITALES SEGUN CONTRATO -"/>
    <m/>
    <n v="1"/>
    <n v="51.99"/>
    <n v="61.35"/>
    <m/>
    <n v="51.99"/>
    <n v="18"/>
    <n v="9.36"/>
    <n v="61.35"/>
    <n v="1"/>
    <m/>
    <s v="posted"/>
    <s v="Publicado"/>
    <n v="2"/>
    <s v="SAMUEL CHUQUISTA"/>
    <m/>
    <m/>
    <s v="[]"/>
    <m/>
    <m/>
    <m/>
    <m/>
    <m/>
    <s v="CORPORACION MUKANRANKO S.A.C."/>
    <m/>
    <x v="56"/>
  </r>
  <r>
    <s v="(01) Factura F001"/>
    <s v="00000014"/>
    <x v="8"/>
    <d v="2025-10-02T10:38:25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COMISIÃ“N PAGOS DIGITALES SEGUN CONTRATO -"/>
    <m/>
    <n v="1"/>
    <n v="55.34"/>
    <n v="65.3"/>
    <m/>
    <n v="55.34"/>
    <n v="18"/>
    <n v="9.9600000000000009"/>
    <n v="65.3"/>
    <n v="1"/>
    <m/>
    <s v="posted"/>
    <s v="Publicado"/>
    <n v="2"/>
    <s v="SAMUEL CHUQUISTA"/>
    <m/>
    <m/>
    <s v="[]"/>
    <m/>
    <m/>
    <m/>
    <m/>
    <m/>
    <s v="CORPORACION MUKANRANKO S.A.C."/>
    <m/>
    <x v="57"/>
  </r>
  <r>
    <s v="(01) Factura F001"/>
    <s v="00000013"/>
    <x v="8"/>
    <d v="2025-10-02T09:04:28"/>
    <s v="CORPORACION MUKANRANKO S.A.C."/>
    <m/>
    <n v="6"/>
    <n v="20609593076"/>
    <s v="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COMISIÃ“N PAGOS DIGITALES SEGUN CONTRATO -"/>
    <m/>
    <n v="1"/>
    <n v="51.86"/>
    <n v="61.19"/>
    <m/>
    <n v="51.86"/>
    <n v="17.989999999999998"/>
    <n v="9.33"/>
    <n v="61.19"/>
    <n v="1"/>
    <m/>
    <s v="posted"/>
    <s v="Publicado"/>
    <n v="2"/>
    <s v="SAMUEL CHUQUISTA"/>
    <m/>
    <m/>
    <s v="[]"/>
    <m/>
    <m/>
    <m/>
    <m/>
    <m/>
    <s v="CORPORACION MUKANRANKO S.A.C."/>
    <m/>
    <x v="58"/>
  </r>
  <r>
    <s v="(01) Factura F001"/>
    <s v="00000011"/>
    <x v="8"/>
    <d v="2025-10-02T08:54:19"/>
    <s v="CORPORACION MUKANRANKO S.A.C."/>
    <m/>
    <n v="6"/>
    <n v="20609593076"/>
    <s v="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posted', 'nombre_estado': 'Publicado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COMISIÃ“N PAGOS DIGITALES SEGÃšN CONTRATO"/>
    <m/>
    <n v="1"/>
    <n v="51.86"/>
    <n v="61.19"/>
    <m/>
    <n v="51.86"/>
    <n v="17.989999999999998"/>
    <n v="9.33"/>
    <n v="61.19"/>
    <n v="1"/>
    <m/>
    <s v="posted"/>
    <s v="Publicado"/>
    <n v="2"/>
    <s v="SAMUEL CHUQUISTA"/>
    <m/>
    <m/>
    <s v="[]"/>
    <m/>
    <m/>
    <m/>
    <m/>
    <m/>
    <s v="CORPORACION MUKANRANKO S.A.C."/>
    <m/>
    <x v="59"/>
  </r>
  <r>
    <s v="(01) Factura F001"/>
    <s v="00000015"/>
    <x v="8"/>
    <d v="2025-10-02T12:52:03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60"/>
  </r>
  <r>
    <s v="(01) Factura F001"/>
    <s v="00000012"/>
    <x v="8"/>
    <d v="2025-10-02T09:01:27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5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61"/>
  </r>
  <r>
    <s v="(01) Factura F001"/>
    <s v="00000010"/>
    <x v="9"/>
    <d v="2025-10-02T17:24:31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62"/>
  </r>
  <r>
    <s v="(01) Factura F001"/>
    <s v="00000009"/>
    <x v="9"/>
    <d v="2025-10-02T17:13:36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63"/>
  </r>
  <r>
    <s v="(01) Factura F001"/>
    <s v="00000008"/>
    <x v="9"/>
    <d v="2025-10-02T17:10:18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osted"/>
    <s v="Publicado"/>
    <n v="2"/>
    <s v="SAMUEL CHUQUISTA"/>
    <m/>
    <m/>
    <s v="[]"/>
    <m/>
    <m/>
    <m/>
    <m/>
    <m/>
    <s v="JP Producciones Generales EIRL"/>
    <m/>
    <x v="64"/>
  </r>
  <r>
    <s v="(01) Factura F001"/>
    <s v="00000007"/>
    <x v="9"/>
    <d v="2025-10-02T16:16:30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osted"/>
    <s v="Publicado"/>
    <n v="2"/>
    <s v="SAMUEL CHUQUISTA"/>
    <m/>
    <m/>
    <s v="[]"/>
    <m/>
    <m/>
    <m/>
    <m/>
    <m/>
    <s v="JP Producciones Generales EIRL"/>
    <m/>
    <x v="65"/>
  </r>
  <r>
    <s v="(01) Factura F001"/>
    <s v="00000006"/>
    <x v="9"/>
    <d v="2025-10-02T16:15:11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osted"/>
    <s v="Publicado"/>
    <n v="2"/>
    <s v="SAMUEL CHUQUISTA"/>
    <m/>
    <m/>
    <s v="[]"/>
    <m/>
    <m/>
    <m/>
    <m/>
    <m/>
    <s v="JP Producciones Generales EIRL"/>
    <m/>
    <x v="66"/>
  </r>
  <r>
    <s v="(01) Factura F001"/>
    <s v="00000004"/>
    <x v="9"/>
    <d v="2025-10-02T16:08:44"/>
    <s v="RF PROMOTORA DE ESPECTACULOS E.I.R.L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COMISION CORTESIA - emision cortesia"/>
    <m/>
    <n v="1"/>
    <n v="0"/>
    <n v="0"/>
    <m/>
    <n v="0"/>
    <n v="0"/>
    <n v="0"/>
    <n v="0"/>
    <n v="1"/>
    <m/>
    <s v="posted"/>
    <s v="Publicado"/>
    <n v="2"/>
    <s v="SAMUEL CHUQUISTA"/>
    <m/>
    <m/>
    <s v="[]"/>
    <m/>
    <m/>
    <m/>
    <m/>
    <m/>
    <s v="RF PROMOTORA DE ESPECTACULOS E.I.R.L"/>
    <m/>
    <x v="67"/>
  </r>
  <r>
    <s v="(01) Factura F001"/>
    <s v="00000003"/>
    <x v="9"/>
    <d v="2025-10-02T15:50:29"/>
    <s v="RF PROMOTORA DE ESPECTACULOS E.I.R.L"/>
    <m/>
    <n v="6"/>
    <n v="20612433489"/>
    <s v="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COMISION CORTESIA - CortesÃ­a"/>
    <m/>
    <n v="1"/>
    <n v="0"/>
    <n v="0"/>
    <m/>
    <n v="0"/>
    <n v="0"/>
    <n v="0"/>
    <n v="0"/>
    <n v="1"/>
    <m/>
    <s v="posted"/>
    <s v="Publicado"/>
    <n v="2"/>
    <s v="SAMUEL CHUQUISTA"/>
    <m/>
    <m/>
    <s v="[]"/>
    <m/>
    <m/>
    <m/>
    <m/>
    <m/>
    <s v="RF PROMOTORA DE ESPECTACULOS E.I.R.L"/>
    <m/>
    <x v="68"/>
  </r>
  <r>
    <s v="(01) Factura F001"/>
    <s v="00000002"/>
    <x v="9"/>
    <d v="2025-10-02T15:23:33"/>
    <s v="RF PROMOTORA DE ESPECTACULOS E.I.R.L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COMISION CORTESIA - emision cortesia"/>
    <m/>
    <n v="1"/>
    <n v="0"/>
    <n v="0"/>
    <m/>
    <n v="0"/>
    <n v="0"/>
    <n v="0"/>
    <n v="0"/>
    <n v="1"/>
    <m/>
    <s v="posted"/>
    <s v="Publicado"/>
    <n v="2"/>
    <s v="SAMUEL CHUQUISTA"/>
    <m/>
    <m/>
    <s v="[]"/>
    <m/>
    <m/>
    <m/>
    <m/>
    <m/>
    <s v="RF PROMOTORA DE ESPECTACULOS E.I.R.L"/>
    <m/>
    <x v="69"/>
  </r>
  <r>
    <s v="(01) Factura FB01"/>
    <s v="00000034"/>
    <x v="5"/>
    <d v="2025-10-02T15:18:47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70"/>
  </r>
  <r>
    <s v="(01) Factura FB01"/>
    <s v="00000031"/>
    <x v="5"/>
    <d v="2025-10-02T12:48:40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9-0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71"/>
  </r>
  <r>
    <s v="(01) Factura FB01"/>
    <s v="00000020"/>
    <x v="10"/>
    <d v="2025-10-02T14:44:48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72"/>
  </r>
  <r>
    <s v="(01) Factura FB01"/>
    <s v="00000019"/>
    <x v="10"/>
    <d v="2025-10-02T14:41:23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73"/>
  </r>
  <r>
    <s v="(01) Factura FB01"/>
    <s v="00000018"/>
    <x v="10"/>
    <d v="2025-10-02T14:40:06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74"/>
  </r>
  <r>
    <s v="(01) Factura FB01"/>
    <s v="00000017"/>
    <x v="10"/>
    <d v="2025-10-02T14:26:56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75"/>
  </r>
  <r>
    <s v="(01) Factura FB01"/>
    <s v="00000016"/>
    <x v="10"/>
    <d v="2025-10-02T14:07:17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6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322"/>
    <n v="379.96"/>
    <m/>
    <n v="322"/>
    <n v="18"/>
    <n v="57.96"/>
    <n v="379.96"/>
    <n v="1"/>
    <m/>
    <s v="posted"/>
    <s v="Publicado"/>
    <n v="2"/>
    <s v="SAMUEL CHUQUISTA"/>
    <m/>
    <m/>
    <s v="[]"/>
    <m/>
    <m/>
    <m/>
    <m/>
    <m/>
    <s v="JP Producciones Generales EIRL"/>
    <m/>
    <x v="76"/>
  </r>
  <r>
    <s v="(01) Factura F001"/>
    <s v="00000005"/>
    <x v="9"/>
    <d v="2025-10-02T16:13:49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2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osted"/>
    <s v="Publicado"/>
    <n v="2"/>
    <s v="SAMUEL CHUQUISTA"/>
    <m/>
    <m/>
    <s v="[]"/>
    <m/>
    <m/>
    <m/>
    <m/>
    <m/>
    <s v="JP Producciones Generales EIRL"/>
    <m/>
    <x v="77"/>
  </r>
  <r>
    <s v="(01) Factura F001"/>
    <s v="00000001"/>
    <x v="11"/>
    <d v="2025-10-02T09:43:03"/>
    <s v="JP Producciones Generales EIRL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osted', 'nombre_estado': 'Public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'', 'nom_cuenta_analitica': '', 'distribucion_analitica': []}]"/>
    <d v="2025-08-21T00:00:00"/>
    <m/>
    <m/>
    <m/>
    <m/>
    <m/>
    <n v="1"/>
    <m/>
    <s v="ENTRADAS IMPRESAS - ORDEN DE VENTA N663  Corazn Serrano en el Centro de Convenciones Scencia de la Molina /  FULL COLOR GENERAL /  BRAZALETES PLATINUM / BRAZALETES VIP"/>
    <m/>
    <n v="1"/>
    <n v="0"/>
    <n v="0"/>
    <m/>
    <n v="0"/>
    <n v="0"/>
    <n v="0"/>
    <n v="0"/>
    <n v="1"/>
    <m/>
    <s v="posted"/>
    <s v="Publicado"/>
    <n v="2"/>
    <s v="SAMUEL CHUQUISTA"/>
    <m/>
    <m/>
    <s v="[]"/>
    <m/>
    <m/>
    <m/>
    <m/>
    <m/>
    <s v="JP Producciones Generales EIRL"/>
    <m/>
    <x v="78"/>
  </r>
  <r>
    <s v="FFF1"/>
    <n v="220"/>
    <x v="12"/>
    <d v="2025-10-02T19:00:00"/>
    <s v="G &amp; N MUSIC S.A.C."/>
    <m/>
    <n v="6"/>
    <n v="20611018925"/>
    <s v="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posted', 'nombre_estado': 'Publicado', 'evento': {'id_evento': '', 'nom_evento': '', 'Fecha_hora_ini_event': '', 'Fecha_hora_fin_event': '', 'id_organizador': '', 'nom_organizador': 'G &amp; N MUSIC S.A.C.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m/>
    <n v="1"/>
    <n v="984"/>
    <s v="ENTRADAS IMPRESAS FULL COLOR GENERAL, BRAZALETES VIP -CORAZÃ“N SERRANO BARRANCA - 09/02 Y PERSONAL DELIVERY"/>
    <s v="consu"/>
    <n v="1"/>
    <n v="1241"/>
    <n v="1464.38"/>
    <m/>
    <n v="1241"/>
    <n v="18"/>
    <n v="223.38"/>
    <n v="1464.38"/>
    <n v="1"/>
    <m/>
    <s v="posted"/>
    <s v="Publicado"/>
    <n v="2"/>
    <s v="SAMUEL CHUQUISTA"/>
    <n v="83"/>
    <s v="[Impresos] INSUMO"/>
    <s v="[[{'cÃ³digo': 83, 'nom_distribucion': 'INSUMO', 'sub_categoria': '', 'porcentaje': '100.00'}]]"/>
    <m/>
    <m/>
    <m/>
    <m/>
    <m/>
    <s v="G &amp; N MUSIC S.A.C."/>
    <m/>
    <x v="79"/>
  </r>
  <r>
    <s v="FFF1"/>
    <n v="219"/>
    <x v="12"/>
    <d v="2025-10-02T19:00:00"/>
    <s v="MACHA MUNIVE JULIO"/>
    <m/>
    <n v="6"/>
    <n v="10198893710"/>
    <s v="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posted', 'nombre_estado': 'Publicado', 'evento': {'id_evento': '', 'nom_evento': '', 'Fecha_hora_ini_event': '', 'Fecha_hora_fin_event': '', 'id_organizador': '', 'nom_organizador': 'MACHA MUNIVE JULIO', 'tipo_organizador': ''}, 'id_vendedor': 2, 'nom_vendedor': 'SAMUEL CHUQUISTA', 'id_cuenta_analitica': 83, 'nom_cuenta_analitica': '[Impresos] INSUMO', 'distribucion_analitica': [[{'cÃ³digo': 83, 'nom_distribucion': 'INSUMO', 'sub_categoria': '', 'porcentaje': '100.00'}]]}]"/>
    <d v="2025-02-09T00:00:00"/>
    <m/>
    <m/>
    <m/>
    <m/>
    <m/>
    <n v="1"/>
    <n v="983"/>
    <s v="ENTRADAS IMPRESAS * FULL COLOR GENERAL "/>
    <s v="consu"/>
    <n v="1"/>
    <n v="400"/>
    <n v="472"/>
    <m/>
    <n v="400"/>
    <n v="18"/>
    <n v="72"/>
    <n v="472"/>
    <n v="1"/>
    <m/>
    <s v="posted"/>
    <s v="Publicado"/>
    <n v="2"/>
    <s v="SAMUEL CHUQUISTA"/>
    <n v="83"/>
    <s v="[Impresos] INSUMO"/>
    <s v="[[{'cÃ³digo': 83, 'nom_distribucion': 'INSUMO', 'sub_categoria': '', 'porcentaje': '100.00'}]]"/>
    <m/>
    <m/>
    <m/>
    <m/>
    <m/>
    <s v="MACHA MUNIVE JULIO"/>
    <m/>
    <x v="80"/>
  </r>
  <r>
    <s v="FB01"/>
    <n v="1420"/>
    <x v="13"/>
    <d v="2025-10-02T19:00:00"/>
    <s v="REYNOSO BENDEZU CARLOS ARTURO"/>
    <m/>
    <n v="6"/>
    <n v="10755725086"/>
    <s v="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posted', 'nombre_estado': 'Publicado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05, 'nom_cuenta_analitica': '[Administrativo] COMISIÃ“N', 'distribucion_analitica': [[{'cÃ³digo': 105, 'nom_distribucion': 'COMISIÃ“N', 'sub_categoria': '', 'porcentaje': '100.00'}]]}]"/>
    <d v="2025-02-06T00:00:00"/>
    <m/>
    <m/>
    <m/>
    <m/>
    <m/>
    <n v="1"/>
    <n v="982"/>
    <s v="COMISION CORTESIA - ACTUALIZACION GRAFICA"/>
    <s v="consu"/>
    <n v="1"/>
    <n v="107.37"/>
    <n v="126.7"/>
    <m/>
    <n v="107.37"/>
    <n v="18"/>
    <n v="19.329999999999998"/>
    <n v="126.7"/>
    <n v="1"/>
    <m/>
    <s v="posted"/>
    <s v="Publicado"/>
    <n v="2"/>
    <s v="SAMUEL CHUQUISTA"/>
    <n v="105"/>
    <s v="[Administrativo] COMISIÃ“N"/>
    <s v="[[{'cÃ³digo': 105, 'nom_distribucion': 'COMISIÃ“N', 'sub_categoria': '', 'porcentaje': '100.00'}]]"/>
    <m/>
    <m/>
    <m/>
    <m/>
    <m/>
    <s v="REYNOSO BENDEZU CARLOS ARTURO"/>
    <m/>
    <x v="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C4A59-5172-46AD-AA85-A06C62C091C1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8" firstHeaderRow="0" firstDataRow="1" firstDataCol="1"/>
  <pivotFields count="36">
    <pivotField showAll="0"/>
    <pivotField numFmtId="4" showAll="0"/>
    <pivotField showAll="0"/>
    <pivotField showAll="0"/>
    <pivotField axis="axisRow" showAll="0">
      <items count="82">
        <item m="1" x="44"/>
        <item x="2"/>
        <item m="1" x="72"/>
        <item m="1" x="60"/>
        <item m="1" x="38"/>
        <item m="1" x="73"/>
        <item m="1" x="59"/>
        <item m="1" x="22"/>
        <item m="1" x="35"/>
        <item m="1" x="69"/>
        <item m="1" x="15"/>
        <item m="1" x="14"/>
        <item x="4"/>
        <item m="1" x="79"/>
        <item m="1" x="74"/>
        <item m="1" x="65"/>
        <item m="1" x="19"/>
        <item m="1" x="61"/>
        <item m="1" x="62"/>
        <item m="1" x="43"/>
        <item m="1" x="29"/>
        <item m="1" x="63"/>
        <item m="1" x="26"/>
        <item m="1" x="51"/>
        <item m="1" x="11"/>
        <item m="1" x="55"/>
        <item x="3"/>
        <item m="1" x="32"/>
        <item m="1" x="56"/>
        <item m="1" x="76"/>
        <item m="1" x="30"/>
        <item m="1" x="20"/>
        <item m="1" x="33"/>
        <item m="1" x="45"/>
        <item m="1" x="23"/>
        <item m="1" x="78"/>
        <item m="1" x="50"/>
        <item m="1" x="34"/>
        <item m="1" x="36"/>
        <item m="1" x="53"/>
        <item m="1" x="49"/>
        <item m="1" x="39"/>
        <item m="1" x="54"/>
        <item m="1" x="77"/>
        <item x="1"/>
        <item m="1" x="27"/>
        <item m="1" x="13"/>
        <item m="1" x="64"/>
        <item m="1" x="58"/>
        <item m="1" x="52"/>
        <item x="6"/>
        <item m="1" x="12"/>
        <item m="1" x="71"/>
        <item m="1" x="75"/>
        <item m="1" x="46"/>
        <item m="1" x="42"/>
        <item m="1" x="40"/>
        <item m="1" x="18"/>
        <item m="1" x="48"/>
        <item m="1" x="21"/>
        <item m="1" x="47"/>
        <item m="1" x="80"/>
        <item m="1" x="9"/>
        <item m="1" x="31"/>
        <item m="1" x="68"/>
        <item m="1" x="57"/>
        <item m="1" x="24"/>
        <item m="1" x="41"/>
        <item x="7"/>
        <item x="5"/>
        <item m="1" x="10"/>
        <item m="1" x="66"/>
        <item m="1" x="67"/>
        <item m="1" x="17"/>
        <item m="1" x="37"/>
        <item m="1" x="70"/>
        <item m="1" x="16"/>
        <item m="1" x="25"/>
        <item m="1" x="28"/>
        <item x="0"/>
        <item x="8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1"/>
    </i>
    <i>
      <x v="12"/>
    </i>
    <i>
      <x v="26"/>
    </i>
    <i>
      <x v="44"/>
    </i>
    <i>
      <x v="50"/>
    </i>
    <i>
      <x v="68"/>
    </i>
    <i>
      <x v="69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4" type="button" dataOnly="0" labelOnly="1" outline="0" axis="axisRow" fieldPosition="0"/>
    </format>
    <format dxfId="81">
      <pivotArea dataOnly="0" labelOnly="1" fieldPosition="0">
        <references count="1">
          <reference field="4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8BFDB-DBF9-4E2C-B7EF-472138599D5B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25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7"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5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38" type="button" dataOnly="0" labelOnly="1" outline="0"/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684E7-E278-4696-81AD-D1AFD661BC72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32" type="button" dataOnly="0" labelOnly="1" outline="0" axis="axisRow" fieldPosition="0"/>
    </format>
    <format dxfId="92">
      <pivotArea dataOnly="0" labelOnly="1" fieldPosition="0">
        <references count="1">
          <reference field="32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45811-1AE0-4904-BCBB-F08724CB5F55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1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25" type="button" dataOnly="0" labelOnly="1" outline="0" axis="axisRow" fieldPosition="0"/>
    </format>
    <format dxfId="98">
      <pivotArea dataOnly="0" labelOnly="1" fieldPosition="0">
        <references count="1">
          <reference field="25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8D6A4-11B0-444F-8699-517428A5A6B4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1" firstHeaderRow="1" firstDataRow="1" firstDataCol="1"/>
  <pivotFields count="36">
    <pivotField showAll="0"/>
    <pivotField numFmtId="4" showAll="0"/>
    <pivotField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Cuenta de Fecha de factura" fld="5" subtotal="count" baseField="0" baseItem="0"/>
  </dataFields>
  <formats count="6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5" type="button" dataOnly="0" labelOnly="1" outline="0" axis="axisRow" fieldPosition="0"/>
    </format>
    <format dxfId="104">
      <pivotArea dataOnly="0" labelOnly="1" fieldPosition="0">
        <references count="1">
          <reference field="25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5C25D-2100-45F9-B238-856A19A8F32C}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F8:AJ90" firstHeaderRow="0" firstDataRow="1" firstDataCol="1"/>
  <pivotFields count="39">
    <pivotField axis="axisRow" showAll="0">
      <items count="82">
        <item x="79"/>
        <item x="78"/>
        <item x="69"/>
        <item x="68"/>
        <item x="67"/>
        <item x="77"/>
        <item x="66"/>
        <item x="65"/>
        <item x="64"/>
        <item x="63"/>
        <item x="62"/>
        <item x="59"/>
        <item x="61"/>
        <item x="58"/>
        <item x="57"/>
        <item x="60"/>
        <item x="22"/>
        <item x="5"/>
        <item x="4"/>
        <item x="3"/>
        <item x="2"/>
        <item x="76"/>
        <item x="75"/>
        <item x="74"/>
        <item x="73"/>
        <item x="72"/>
        <item x="56"/>
        <item x="55"/>
        <item x="54"/>
        <item x="53"/>
        <item x="52"/>
        <item x="51"/>
        <item x="50"/>
        <item x="49"/>
        <item x="48"/>
        <item x="47"/>
        <item x="71"/>
        <item x="46"/>
        <item x="45"/>
        <item x="70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1"/>
        <item x="0"/>
        <item x="80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5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38" type="button" dataOnly="0" labelOnly="1" outline="0"/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97B95-6129-4C86-90EA-1CDA7A37E8FD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9:F32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Suma de Total firmado" fld="16" baseField="0" baseItem="0"/>
  </dataFields>
  <formats count="6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25" type="button" dataOnly="0" labelOnly="1" outline="0" axis="axisRow" fieldPosition="0"/>
    </format>
    <format dxfId="115">
      <pivotArea dataOnly="0" labelOnly="1" fieldPosition="0">
        <references count="1">
          <reference field="25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D11C9-310E-414E-9296-701760DE64A6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25" firstHeaderRow="0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15"/>
        <item x="0"/>
        <item x="1"/>
        <item x="2"/>
        <item x="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 sortType="ascending">
      <items count="33">
        <item m="1" x="16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6"/>
  </rowFields>
  <rowItems count="17"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36" type="button" dataOnly="0" labelOnly="1" outline="0" axis="axisRow" fieldPosition="0"/>
    </format>
    <format dxfId="121">
      <pivotArea dataOnly="0" labelOnly="1" fieldPosition="0">
        <references count="1">
          <reference field="36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A3E63-EEEF-4D04-8DCF-55514C6F4568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8:F21" firstHeaderRow="1" firstDataRow="1" firstDataCol="1"/>
  <pivotFields count="36">
    <pivotField showAll="0"/>
    <pivotField numFmtId="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 v="2"/>
    </i>
    <i>
      <x v="3"/>
    </i>
    <i t="grand">
      <x/>
    </i>
  </rowItems>
  <colItems count="1">
    <i/>
  </colItems>
  <dataFields count="1">
    <dataField name="Suma de Impuesto firmado" fld="15" baseField="0" baseItem="0"/>
  </dataFields>
  <formats count="6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25" type="button" dataOnly="0" labelOnly="1" outline="0" axis="axisRow" fieldPosition="0"/>
    </format>
    <format dxfId="127">
      <pivotArea dataOnly="0" labelOnly="1" fieldPosition="0">
        <references count="1">
          <reference field="25" count="0"/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3DBBF-79E5-4DEB-AB8B-A2987FF2266A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15"/>
        <item x="0"/>
        <item x="1"/>
        <item x="2"/>
        <item x="3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33" type="button" dataOnly="0" labelOnly="1" outline="0" axis="axisRow" fieldPosition="0"/>
    </format>
    <format dxfId="133">
      <pivotArea dataOnly="0" labelOnly="1" fieldPosition="0">
        <references count="1">
          <reference field="33" count="0"/>
        </references>
      </pivotArea>
    </format>
    <format dxfId="132">
      <pivotArea dataOnly="0" labelOnly="1" grandRow="1" outline="0" fieldPosition="0"/>
    </format>
    <format dxfId="1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57D8A-4913-481A-A928-B4A1C294915E}" name="TablaDinámica2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H86" firstHeaderRow="0" firstDataRow="1" firstDataCol="1"/>
  <pivotFields count="46">
    <pivotField showAll="0"/>
    <pivotField showAll="0"/>
    <pivotField dataField="1" numFmtId="14" showAll="0" sortType="ascending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3">
        <item x="78"/>
        <item x="69"/>
        <item x="68"/>
        <item x="67"/>
        <item x="77"/>
        <item x="66"/>
        <item x="65"/>
        <item x="64"/>
        <item x="63"/>
        <item x="62"/>
        <item x="59"/>
        <item x="61"/>
        <item x="58"/>
        <item x="57"/>
        <item x="60"/>
        <item x="22"/>
        <item x="5"/>
        <item x="4"/>
        <item x="3"/>
        <item x="2"/>
        <item x="76"/>
        <item x="75"/>
        <item x="74"/>
        <item x="73"/>
        <item x="72"/>
        <item x="56"/>
        <item x="55"/>
        <item x="54"/>
        <item x="53"/>
        <item x="52"/>
        <item x="51"/>
        <item x="50"/>
        <item x="49"/>
        <item x="48"/>
        <item x="47"/>
        <item x="71"/>
        <item x="46"/>
        <item x="45"/>
        <item x="70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1"/>
        <item x="0"/>
        <item x="81"/>
        <item x="80"/>
        <item x="7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3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2" subtotal="count" baseField="0" baseItem="0"/>
    <dataField name="Suma de item.subtotal" fld="23" baseField="0" baseItem="0"/>
    <dataField name="Suma de item.igv" fld="25" baseField="0" baseItem="0"/>
    <dataField name="Suma de item.total" fld="26" baseField="0" baseItem="0"/>
  </dataFields>
  <formats count="11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/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">
      <pivotArea collapsedLevelsAreSubtotals="1" fieldPosition="0">
        <references count="1">
          <reference field="43" count="3">
            <x v="79"/>
            <x v="80"/>
            <x v="81"/>
          </reference>
        </references>
      </pivotArea>
    </format>
    <format dxfId="13">
      <pivotArea dataOnly="0" labelOnly="1" fieldPosition="0">
        <references count="1">
          <reference field="43" count="3">
            <x v="79"/>
            <x v="80"/>
            <x v="81"/>
          </reference>
        </references>
      </pivotArea>
    </format>
    <format dxfId="12">
      <pivotArea collapsedLevelsAreSubtotals="1" fieldPosition="0">
        <references count="1">
          <reference field="43" count="3">
            <x v="79"/>
            <x v="80"/>
            <x v="81"/>
          </reference>
        </references>
      </pivotArea>
    </format>
    <format dxfId="11">
      <pivotArea dataOnly="0" labelOnly="1" fieldPosition="0">
        <references count="1">
          <reference field="43" count="3">
            <x v="79"/>
            <x v="80"/>
            <x v="81"/>
          </reference>
        </references>
      </pivotArea>
    </format>
    <format dxfId="10">
      <pivotArea collapsedLevelsAreSubtotals="1" fieldPosition="0">
        <references count="1">
          <reference field="43" count="1">
            <x v="19"/>
          </reference>
        </references>
      </pivotArea>
    </format>
    <format dxfId="9">
      <pivotArea dataOnly="0" labelOnly="1" fieldPosition="0">
        <references count="1">
          <reference field="43" count="1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777A0-0794-4046-B374-4505F4E48DD2}" name="TablaDinámica1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8" firstHeaderRow="1" firstDataRow="1" firstDataCol="1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15">
        <item x="2"/>
        <item x="8"/>
        <item x="6"/>
        <item x="0"/>
        <item x="3"/>
        <item x="13"/>
        <item x="10"/>
        <item x="9"/>
        <item x="1"/>
        <item x="7"/>
        <item x="5"/>
        <item x="12"/>
        <item x="1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a de item.subtotal" fld="23" baseField="0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7" type="button" dataOnly="0" labelOnly="1" outline="0" axis="axisRow" fieldPosition="0"/>
    </format>
    <format dxfId="22">
      <pivotArea dataOnly="0" labelOnly="1" fieldPosition="0">
        <references count="1">
          <reference field="17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75257-EC51-41EE-B23A-CAEBD3FB4007}" name="TablaDiná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23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axis="axisRow" showAll="0">
      <items count="15">
        <item h="1" sd="0" x="0"/>
        <item sd="0" x="1"/>
        <item x="2"/>
        <item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2">
    <field x="38"/>
    <field x="5"/>
  </rowFields>
  <rowItems count="20">
    <i>
      <x v="2"/>
    </i>
    <i r="1">
      <x v="15"/>
    </i>
    <i r="1">
      <x v="16"/>
    </i>
    <i>
      <x v="3"/>
    </i>
    <i r="1">
      <x v="17"/>
    </i>
    <i r="1">
      <x v="18"/>
    </i>
    <i>
      <x v="8"/>
    </i>
    <i r="1">
      <x v="19"/>
    </i>
    <i r="1">
      <x v="20"/>
    </i>
    <i r="1">
      <x v="21"/>
    </i>
    <i r="1">
      <x v="22"/>
    </i>
    <i>
      <x v="9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5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38" type="button" dataOnly="0" labelOnly="1" outline="0" axis="axisRow" fieldPosition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76638-55A6-4927-B059-60B1B6F08E31}" name="TablaDinámica1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19" firstHeaderRow="1" firstDataRow="1" firstDataCol="1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0"/>
  </rowFields>
  <rowItems count="2">
    <i>
      <x/>
    </i>
    <i t="grand">
      <x/>
    </i>
  </rowItems>
  <colItems count="1">
    <i/>
  </colItems>
  <dataFields count="1">
    <dataField name="Suma de item.total" fld="26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30" type="button" dataOnly="0" labelOnly="1" outline="0" axis="axisRow" fieldPosition="0"/>
    </format>
    <format dxfId="33">
      <pivotArea dataOnly="0" labelOnly="1" fieldPosition="0">
        <references count="1">
          <reference field="30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66D37-8267-4CC6-9D21-A0A00776731C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2" firstHeaderRow="1" firstDataRow="1" firstDataCol="1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0"/>
  </rowFields>
  <rowItems count="2">
    <i>
      <x/>
    </i>
    <i t="grand">
      <x/>
    </i>
  </rowItems>
  <colItems count="1">
    <i/>
  </colItems>
  <dataFields count="1">
    <dataField name="Suma de item.igv" fld="25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0" type="button" dataOnly="0" labelOnly="1" outline="0" axis="axisRow" fieldPosition="0"/>
    </format>
    <format dxfId="39">
      <pivotArea dataOnly="0" labelOnly="1" fieldPosition="0">
        <references count="1">
          <reference field="30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8AA05-B309-49F1-A5E5-485CD90D1C5F}" name="TablaDinámica1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21" firstHeaderRow="0" firstDataRow="1" firstDataCol="1"/>
  <pivotFields count="45">
    <pivotField showAll="0"/>
    <pivotField showAll="0"/>
    <pivotField axis="axisRow" dataField="1" numFmtId="14" showAll="0" sortType="ascending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>
      <items count="9">
        <item x="2"/>
        <item x="0"/>
        <item x="4"/>
        <item x="3"/>
        <item x="1"/>
        <item x="6"/>
        <item x="7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15">
        <item x="2"/>
        <item x="8"/>
        <item x="6"/>
        <item x="0"/>
        <item x="3"/>
        <item x="13"/>
        <item x="10"/>
        <item x="9"/>
        <item x="1"/>
        <item x="7"/>
        <item x="5"/>
        <item x="12"/>
        <item x="1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2">
    <field x="44"/>
    <field x="2"/>
  </rowFields>
  <rowItems count="18">
    <i>
      <x v="2"/>
    </i>
    <i r="1">
      <x/>
    </i>
    <i r="1">
      <x v="1"/>
    </i>
    <i>
      <x v="8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2" subtotal="count" baseField="0" baseItem="0"/>
    <dataField name="Suma de item.subtotal" fld="23" baseField="0" baseItem="0"/>
    <dataField name="Suma de item.igv" fld="25" baseField="0" baseItem="0"/>
    <dataField name="Suma de item.total" fld="26" baseField="0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2" type="button" dataOnly="0" labelOnly="1" outline="0" axis="axisRow" fieldPosition="1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81F26-B3EC-4EE0-98E2-88F1B751464B}" name="TablaDinámica1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5" firstHeaderRow="1" firstDataRow="1" firstDataCol="1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0"/>
  </rowFields>
  <rowItems count="2">
    <i>
      <x/>
    </i>
    <i t="grand">
      <x/>
    </i>
  </rowItems>
  <colItems count="1">
    <i/>
  </colItems>
  <dataFields count="1">
    <dataField name="Suma de item.subtotal" fld="23" baseField="0" baseItem="0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30" type="button" dataOnly="0" labelOnly="1" outline="0" axis="axisRow" fieldPosition="0"/>
    </format>
    <format dxfId="51">
      <pivotArea dataOnly="0" labelOnly="1" fieldPosition="0">
        <references count="1">
          <reference field="30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67C5D-3F48-4C13-8EB2-FEE7E813C364}" name="TablaDinámica1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5">
    <pivotField showAll="0"/>
    <pivotField showAll="0"/>
    <pivotField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15">
        <item x="2"/>
        <item x="8"/>
        <item x="6"/>
        <item x="0"/>
        <item x="3"/>
        <item x="13"/>
        <item x="10"/>
        <item x="9"/>
        <item x="1"/>
        <item x="7"/>
        <item x="5"/>
        <item x="12"/>
        <item x="1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3" baseField="0" baseItem="0"/>
  </dataFields>
  <formats count="3"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BB423-02D4-43FB-9825-3F1C3FFD3CF2}" name="TablaDiná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/>
  <pivotFields count="45">
    <pivotField showAll="0"/>
    <pivotField showAll="0"/>
    <pivotField dataField="1"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0"/>
  </rowFields>
  <rowItems count="2">
    <i>
      <x/>
    </i>
    <i t="grand">
      <x/>
    </i>
  </rowItems>
  <colItems count="1">
    <i/>
  </colItems>
  <dataFields count="1">
    <dataField name="Cuenta de fecha_de_emision" fld="2" subtotal="count" baseField="0" baseItem="0"/>
  </dataFields>
  <formats count="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30" type="button" dataOnly="0" labelOnly="1" outline="0" axis="axisRow" fieldPosition="0"/>
    </format>
    <format dxfId="60">
      <pivotArea dataOnly="0" labelOnly="1" fieldPosition="0">
        <references count="1">
          <reference field="30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7A7B2-C011-4DAD-8C2E-E5498AA52204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2" firstHeaderRow="0" firstDataRow="1" firstDataCol="1"/>
  <pivotFields count="45">
    <pivotField showAll="0"/>
    <pivotField showAll="0"/>
    <pivotField dataField="1" numFmtId="14" showAll="0">
      <items count="15">
        <item x="13"/>
        <item x="12"/>
        <item x="11"/>
        <item x="9"/>
        <item x="8"/>
        <item x="10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axis="axisRow" showAll="0">
      <items count="9">
        <item x="2"/>
        <item x="0"/>
        <item x="4"/>
        <item x="3"/>
        <item x="1"/>
        <item x="6"/>
        <item x="7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15">
        <item x="2"/>
        <item x="8"/>
        <item x="6"/>
        <item x="0"/>
        <item x="3"/>
        <item x="13"/>
        <item x="10"/>
        <item x="9"/>
        <item x="1"/>
        <item x="7"/>
        <item x="5"/>
        <item x="12"/>
        <item x="1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2" subtotal="count" baseField="0" baseItem="0"/>
    <dataField name="Suma de item.subtotal" fld="23" baseField="0" baseItem="0"/>
    <dataField name="Suma de item.igv" fld="25" baseField="0" baseItem="0"/>
    <dataField name="Suma de item.total" fld="26" baseField="0" baseItem="0"/>
  </dataFields>
  <formats count="6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4" type="button" dataOnly="0" labelOnly="1" outline="0" axis="axisRow" fieldPosition="0"/>
    </format>
    <format dxfId="66">
      <pivotArea dataOnly="0" labelOnly="1" fieldPosition="0">
        <references count="1">
          <reference field="4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1F6D5-8338-4C49-AEF5-4FA01B096958}" name="TablaDiná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2:AN84" firstHeaderRow="0" firstDataRow="1" firstDataCol="1"/>
  <pivotFields count="39">
    <pivotField axis="axisRow" showAll="0">
      <items count="82">
        <item x="79"/>
        <item x="78"/>
        <item x="69"/>
        <item x="68"/>
        <item x="67"/>
        <item x="77"/>
        <item x="66"/>
        <item x="65"/>
        <item x="64"/>
        <item x="63"/>
        <item x="62"/>
        <item x="59"/>
        <item x="61"/>
        <item x="58"/>
        <item x="57"/>
        <item x="60"/>
        <item x="22"/>
        <item x="5"/>
        <item x="4"/>
        <item x="3"/>
        <item x="2"/>
        <item x="76"/>
        <item x="75"/>
        <item x="74"/>
        <item x="73"/>
        <item x="72"/>
        <item x="56"/>
        <item x="55"/>
        <item x="54"/>
        <item x="53"/>
        <item x="52"/>
        <item x="51"/>
        <item x="50"/>
        <item x="49"/>
        <item x="48"/>
        <item x="47"/>
        <item x="71"/>
        <item x="46"/>
        <item x="45"/>
        <item x="70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1"/>
        <item x="0"/>
        <item x="80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32"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5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9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38" type="button" dataOnly="0" labelOnly="1" outline="0"/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collapsedLevelsAreSubtotals="1" fieldPosition="0">
        <references count="1">
          <reference field="0" count="1">
            <x v="0"/>
          </reference>
        </references>
      </pivotArea>
    </format>
    <format dxfId="72">
      <pivotArea dataOnly="0" labelOnly="1" fieldPosition="0">
        <references count="1">
          <reference field="0" count="1">
            <x v="0"/>
          </reference>
        </references>
      </pivotArea>
    </format>
    <format dxfId="71">
      <pivotArea collapsedLevelsAreSubtotals="1" fieldPosition="0">
        <references count="1">
          <reference field="0" count="1">
            <x v="0"/>
          </reference>
        </references>
      </pivotArea>
    </format>
    <format dxfId="70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48DCC-FE98-4FE4-B8BB-6A0001B22304}" name="Tabla1" displayName="Tabla1" ref="A3:AK7" totalsRowShown="0">
  <autoFilter ref="A3:AK7" xr:uid="{0FA48DCC-FE98-4FE4-B8BB-6A0001B22304}"/>
  <tableColumns count="37">
    <tableColumn id="1" xr3:uid="{B7AA3582-CEFD-4F1E-BDCF-5FC4A14DEC0B}" name="Número de Documento"/>
    <tableColumn id="2" xr3:uid="{DB5311D5-3085-4A5F-8AEA-24DC7FFCA8B2}" name="VAOPE Codigo Evento"/>
    <tableColumn id="3" xr3:uid="{D7BC4C47-B304-4A38-9F3B-BD0507BE1BF1}" name="Evento"/>
    <tableColumn id="4" xr3:uid="{079EDF69-4A48-4BD1-B3F8-306EAD30645A}" name="Nombre del tipo"/>
    <tableColumn id="5" xr3:uid="{A2E6466E-6E6E-451A-9D41-38309A1304D4}" name="Nombre del contacto a mostrar en la factura"/>
    <tableColumn id="6" xr3:uid="{8C3DBAE2-2BB0-46DA-8A48-9B97DB999D67}" name="Fecha de factura" dataDxfId="3"/>
    <tableColumn id="7" xr3:uid="{919CF2E8-B1F4-4132-B6C6-51E4877BA90F}" name="Fecha" dataDxfId="2"/>
    <tableColumn id="8" xr3:uid="{BF9DEBB2-1EE2-4F9A-9E6C-9922D24C4AD5}" name="Fecha de vencimiento" dataDxfId="1"/>
    <tableColumn id="9" xr3:uid="{C5EF9C1A-F806-4B2F-ADD1-4934D1FE4D4C}" name="Origen"/>
    <tableColumn id="10" xr3:uid="{0458669E-D93A-4AE2-9DF7-6B7E63FD9367}" name="Referencia"/>
    <tableColumn id="11" xr3:uid="{978E7479-F9B4-4D66-8536-8904C282AFF3}" name="Vendedor"/>
    <tableColumn id="12" xr3:uid="{92E76B88-DAF9-4E16-9FE1-25CB012C5034}" name="Equipo de ventas"/>
    <tableColumn id="13" xr3:uid="{A3A72361-34F6-4189-A62D-372F7A649300}" name="Actividades"/>
    <tableColumn id="14" xr3:uid="{0818CF29-2759-4E35-8903-40EA0852A6B0}" name="Empresa"/>
    <tableColumn id="15" xr3:uid="{9B57D9A9-9135-48B3-9AFA-76671ADE561B}" name="Importe sin impuestos firmado"/>
    <tableColumn id="16" xr3:uid="{2CACAE41-A6F4-410F-B4A2-D97A4DC1B6DF}" name="Impuesto firmado"/>
    <tableColumn id="17" xr3:uid="{E0C30273-94FD-4707-B6BF-475AF29DA628}" name="Total firmado"/>
    <tableColumn id="18" xr3:uid="{9EF69CA0-CA62-4A67-8542-74986BDDC5FC}" name="Total en divisa firmado"/>
    <tableColumn id="19" xr3:uid="{2B974DF1-B67B-49D2-A75D-7DC63723FD1C}" name="Importe pendiente firmado"/>
    <tableColumn id="20" xr3:uid="{DE124FFF-C9F8-44DF-BA45-627306ADDD13}" name="Moneda"/>
    <tableColumn id="21" xr3:uid="{8416ABB7-9FE1-43C2-BEAA-B47392DC24A4}" name="Por revisar"/>
    <tableColumn id="22" xr3:uid="{4BDBCFE7-D29D-4CC0-839F-408590C1E2BB}" name="Estado de pago"/>
    <tableColumn id="23" xr3:uid="{CD21360C-3EFB-4765-9EF6-BD829D9D5889}" name="Facturación electrónica"/>
    <tableColumn id="24" xr3:uid="{5517BD14-FB1C-458D-B56E-A317129B4C4B}" name="Nivel de bloqueo de EDI"/>
    <tableColumn id="25" xr3:uid="{6E569733-BD23-43EF-B83C-4B09426BD2EE}" name="Mensaje de error de EDI"/>
    <tableColumn id="26" xr3:uid="{DD935D8B-EFE9-48A1-B74D-F92CA7EB4D37}" name="Estado"/>
    <tableColumn id="27" xr3:uid="{7680F22B-713D-4DBD-A1EF-1CCB801BF2F9}" name="Valor Unitario"/>
    <tableColumn id="28" xr3:uid="{9A7FFD7B-E67C-4FD6-9A01-ED5C3D1FE25F}" name="Precio_Unitario"/>
    <tableColumn id="29" xr3:uid="{66F94A9E-445D-4593-8DFF-2A3319456C0A}" name="Descuento"/>
    <tableColumn id="30" xr3:uid="{235E8D02-84A1-4138-AF43-609AD508CF2C}" name="Tipo_cambio"/>
    <tableColumn id="31" xr3:uid="{9798BA41-5BFE-47A2-A129-E195EFA2155E}" name="Fecha Evento"/>
    <tableColumn id="32" xr3:uid="{AB4DF7F8-0B94-4A36-A644-BFBF4020432D}" name="nro_productos"/>
    <tableColumn id="33" xr3:uid="{7887B788-5781-4231-93FC-02E7E14D1DA7}" name="Nombre Producto"/>
    <tableColumn id="34" xr3:uid="{2F16B641-BF41-439B-B009-42C594971BF2}" name="Distribucion_analitica"/>
    <tableColumn id="35" xr3:uid="{A6A15C05-2CC1-4524-9E7D-16EF2520A080}" name="%distribucion"/>
    <tableColumn id="36" xr3:uid="{7D3E2A2F-085E-47FA-938D-A344721EFA81}" name="Nombre Cuenta"/>
    <tableColumn id="37" xr3:uid="{D0B8ECAE-2F9F-4331-A6C8-8F8A7ACE8069}" name="FechaEvento_fechaFactura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E2B26-E943-4F73-A6A8-7D6EF8630CB0}" name="Tabla3" displayName="Tabla3" ref="A3:AR5" totalsRowShown="0">
  <autoFilter ref="A3:AR5" xr:uid="{88CE2B26-E943-4F73-A6A8-7D6EF8630CB0}"/>
  <tableColumns count="44">
    <tableColumn id="1" xr3:uid="{4F68648D-E90C-48BC-A0D4-B48D88939423}" name="serie_correlativo"/>
    <tableColumn id="2" xr3:uid="{9E57290D-2FCB-42DE-B11D-ADD52B6819F1}" name="numero"/>
    <tableColumn id="3" xr3:uid="{1D8A3110-D59E-4942-B696-77B92FD03D7D}" name="fecha_de_emision" dataDxfId="8"/>
    <tableColumn id="4" xr3:uid="{5F3B341F-A6FB-4E9F-BCFA-3DEC14E930A1}" name="hora_de_emision" dataDxfId="7"/>
    <tableColumn id="5" xr3:uid="{A9E0C27A-07DD-4344-B094-BCBFCE544DA3}" name="nom_proveedor"/>
    <tableColumn id="6" xr3:uid="{455260C4-DC03-46AD-B3E3-37EF730AD562}" name="cat_proveedor"/>
    <tableColumn id="7" xr3:uid="{641F6808-00D9-49A4-8D84-B4CC1CED833B}" name="tipo_documento"/>
    <tableColumn id="8" xr3:uid="{0B2CF01D-020F-4B39-B6A9-B40749FD8500}" name="doc_proveedor"/>
    <tableColumn id="9" xr3:uid="{789EDCB7-7ED1-4B08-86AD-B69FB78F0ACF}" name="items"/>
    <tableColumn id="10" xr3:uid="{ACACE0E1-7DA1-48CF-8319-C37021AA0F9D}" name="factura.fecha_emision" dataDxfId="6"/>
    <tableColumn id="11" xr3:uid="{1308BF1B-D679-4342-B874-543766C28EB4}" name="factura.cliente"/>
    <tableColumn id="12" xr3:uid="{81C08371-9FE1-49C6-89F9-A94CE165D800}" name="factura.id_cliente"/>
    <tableColumn id="13" xr3:uid="{7302BE2A-F81A-436C-A940-E06854BB7434}" name="factura.total"/>
    <tableColumn id="14" xr3:uid="{FA77C760-C0FC-44C9-8080-54F89047E92A}" name="factura.moneda"/>
    <tableColumn id="15" xr3:uid="{DA17F859-B864-467C-A931-E3F3C56C932D}" name="factura.estado"/>
    <tableColumn id="16" xr3:uid="{2709EAAB-A587-4658-91C1-62D8E2E0CE17}" name="item.id_producto"/>
    <tableColumn id="17" xr3:uid="{B0070BB7-32DE-4368-8411-2A298B51792C}" name="item.codigo_producto"/>
    <tableColumn id="18" xr3:uid="{1B9A7B49-975C-4989-9BDD-B4E19EADA085}" name="item.nom_producto"/>
    <tableColumn id="19" xr3:uid="{C50CB790-30AD-4515-95E7-958AE54F0657}" name="item.categoria_producto"/>
    <tableColumn id="20" xr3:uid="{4036BA5A-45CC-429E-9E55-C08A1BE9F8EA}" name="item.cantidad"/>
    <tableColumn id="21" xr3:uid="{66C468C4-E901-4815-A859-C2D6123C7EF0}" name="item.valor_unitario"/>
    <tableColumn id="22" xr3:uid="{BA142883-4947-483E-908A-0F4646B5AF68}" name="item.precio_unitario"/>
    <tableColumn id="23" xr3:uid="{43D93250-D7A7-4893-9D8E-98F76BFFB539}" name="item.descuento"/>
    <tableColumn id="24" xr3:uid="{6CB79918-CF6A-43A0-A3F7-40A8DF4C47DB}" name="item.subtotal"/>
    <tableColumn id="25" xr3:uid="{31785142-BE4B-4383-9CE5-E70995A1652C}" name="item.porcentaje_de_igv"/>
    <tableColumn id="26" xr3:uid="{C5A745F3-4B0C-41AA-B3D5-E929EE41BC11}" name="item.igv"/>
    <tableColumn id="27" xr3:uid="{BD439896-9606-49D4-8EA8-3D0F350EFA3F}" name="item.total"/>
    <tableColumn id="28" xr3:uid="{08434356-D1FD-4EB3-8796-9801C8343114}" name="item.moneda"/>
    <tableColumn id="29" xr3:uid="{40898AA6-65EC-459C-9B8C-8F46916BE359}" name="item.tipo_de_cambio"/>
    <tableColumn id="30" xr3:uid="{E88A2817-4EFE-4462-906F-30C4FCA69FC9}" name="item.id_estado"/>
    <tableColumn id="31" xr3:uid="{04F91569-CE9C-4BDA-AF02-5F2C80B12124}" name="item.nombre_estado"/>
    <tableColumn id="32" xr3:uid="{CF999ABC-3D83-49C1-873E-C0BC08B64F29}" name="item.id_vendedor"/>
    <tableColumn id="33" xr3:uid="{32DA1ACC-71B2-4B18-9429-90D3ED254D60}" name="item.nom_vendedor"/>
    <tableColumn id="34" xr3:uid="{CDB6BB6F-600A-4D79-9F49-CA36C2F92546}" name="item.id_cuenta_analitica"/>
    <tableColumn id="35" xr3:uid="{2CCFFD53-3516-4F13-B3A7-6AA4521B9560}" name="item.nom_cuenta_analitica"/>
    <tableColumn id="36" xr3:uid="{F0D81FA4-BF52-46E4-BC18-08F0931282AE}" name="item.distribucion_analitica"/>
    <tableColumn id="37" xr3:uid="{5C01DFE0-8E3E-4936-A365-B262F9B5FA68}" name="item.evento.id_evento"/>
    <tableColumn id="38" xr3:uid="{2C86076E-370A-42C2-B6E0-25070DCC821D}" name="item.evento.nom_evento"/>
    <tableColumn id="39" xr3:uid="{28B52E40-5EF4-4182-AA46-3285E83E5CCA}" name="item.evento.Fecha_hora_ini_event" dataDxfId="5"/>
    <tableColumn id="40" xr3:uid="{7CFFEA38-7E51-4A50-B8C3-116E7A5B70E1}" name="item.evento.Fecha_hora_fin_event" dataDxfId="4"/>
    <tableColumn id="41" xr3:uid="{84C19E0A-5645-4F9A-9656-B1392E87EE40}" name="item.evento.id_organizador"/>
    <tableColumn id="42" xr3:uid="{A00B8DAD-D560-4B2E-8FFF-B942A332B738}" name="item.evento.nom_organizador"/>
    <tableColumn id="43" xr3:uid="{4EADB3E6-0374-4B49-8DE9-183FCE040040}" name="item.evento.tipo_organizador"/>
    <tableColumn id="44" xr3:uid="{A259D4E5-9AE7-4B39-8B80-E2CE40512025}" name="UN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6"/>
  <sheetViews>
    <sheetView tabSelected="1" topLeftCell="N1" workbookViewId="0">
      <selection activeCell="Z7" sqref="Z7"/>
    </sheetView>
  </sheetViews>
  <sheetFormatPr baseColWidth="10" defaultColWidth="9.140625" defaultRowHeight="15"/>
  <cols>
    <col min="1" max="1" width="22" bestFit="1" customWidth="1"/>
    <col min="2" max="2" width="20.42578125" bestFit="1" customWidth="1"/>
    <col min="3" max="3" width="20.42578125" customWidth="1"/>
    <col min="4" max="4" width="15.5703125" bestFit="1" customWidth="1"/>
    <col min="5" max="5" width="40.28515625" bestFit="1" customWidth="1"/>
    <col min="6" max="6" width="15.42578125" bestFit="1" customWidth="1"/>
    <col min="7" max="7" width="10.42578125" bestFit="1" customWidth="1"/>
    <col min="8" max="8" width="20.5703125" bestFit="1" customWidth="1"/>
    <col min="9" max="9" width="7" bestFit="1" customWidth="1"/>
    <col min="10" max="10" width="10.5703125" bestFit="1" customWidth="1"/>
    <col min="11" max="11" width="19" bestFit="1" customWidth="1"/>
    <col min="12" max="12" width="16.28515625" bestFit="1" customWidth="1"/>
    <col min="13" max="13" width="11.28515625" bestFit="1" customWidth="1"/>
    <col min="14" max="14" width="20.5703125" bestFit="1" customWidth="1"/>
    <col min="15" max="15" width="28.7109375" bestFit="1" customWidth="1"/>
    <col min="16" max="16" width="17" bestFit="1" customWidth="1"/>
    <col min="17" max="17" width="12.85546875" bestFit="1" customWidth="1"/>
    <col min="18" max="18" width="21.42578125" bestFit="1" customWidth="1"/>
    <col min="19" max="19" width="25.5703125" bestFit="1" customWidth="1"/>
    <col min="20" max="20" width="8.42578125" bestFit="1" customWidth="1"/>
    <col min="21" max="21" width="10.42578125" bestFit="1" customWidth="1"/>
    <col min="22" max="22" width="14.28515625" bestFit="1" customWidth="1"/>
    <col min="23" max="23" width="21.7109375" bestFit="1" customWidth="1"/>
    <col min="24" max="25" width="22.5703125" bestFit="1" customWidth="1"/>
    <col min="26" max="26" width="10.42578125" bestFit="1" customWidth="1"/>
    <col min="27" max="27" width="13.42578125" bestFit="1" customWidth="1"/>
    <col min="28" max="28" width="14.85546875" bestFit="1" customWidth="1"/>
    <col min="29" max="29" width="10.42578125" bestFit="1" customWidth="1"/>
    <col min="30" max="30" width="12.28515625" bestFit="1" customWidth="1"/>
    <col min="31" max="31" width="12.7109375" bestFit="1" customWidth="1"/>
    <col min="32" max="32" width="13.85546875" bestFit="1" customWidth="1"/>
    <col min="33" max="33" width="16.85546875" bestFit="1" customWidth="1"/>
    <col min="34" max="34" width="20.28515625" bestFit="1" customWidth="1"/>
    <col min="35" max="35" width="13.140625" bestFit="1" customWidth="1"/>
    <col min="36" max="36" width="15" bestFit="1" customWidth="1"/>
    <col min="37" max="37" width="24.85546875" style="8" bestFit="1" customWidth="1"/>
  </cols>
  <sheetData>
    <row r="1" spans="1:37" ht="15" customHeight="1">
      <c r="A1" s="4" t="s">
        <v>0</v>
      </c>
      <c r="B1" s="4" t="s">
        <v>1</v>
      </c>
      <c r="C1" s="4" t="s">
        <v>110</v>
      </c>
      <c r="D1" s="1" t="s">
        <v>2</v>
      </c>
      <c r="E1" s="4" t="s">
        <v>3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1" t="s">
        <v>16</v>
      </c>
      <c r="S1" s="1" t="s">
        <v>17</v>
      </c>
      <c r="T1" s="4" t="s">
        <v>18</v>
      </c>
      <c r="U1" s="1" t="s">
        <v>19</v>
      </c>
      <c r="V1" s="4" t="s">
        <v>20</v>
      </c>
      <c r="W1" s="1" t="s">
        <v>21</v>
      </c>
      <c r="X1" s="1" t="s">
        <v>22</v>
      </c>
      <c r="Y1" s="1" t="s">
        <v>23</v>
      </c>
      <c r="Z1" s="4" t="s">
        <v>24</v>
      </c>
      <c r="AA1" s="5" t="s">
        <v>46</v>
      </c>
      <c r="AB1" s="5" t="s">
        <v>47</v>
      </c>
      <c r="AC1" s="5" t="s">
        <v>48</v>
      </c>
      <c r="AD1" s="5" t="s">
        <v>49</v>
      </c>
      <c r="AE1" s="5" t="s">
        <v>41</v>
      </c>
      <c r="AF1" s="5" t="s">
        <v>42</v>
      </c>
      <c r="AG1" s="5" t="s">
        <v>43</v>
      </c>
      <c r="AH1" s="5" t="s">
        <v>44</v>
      </c>
      <c r="AI1" s="5" t="s">
        <v>45</v>
      </c>
      <c r="AJ1" s="5" t="s">
        <v>50</v>
      </c>
      <c r="AK1" s="7" t="s">
        <v>59</v>
      </c>
    </row>
    <row r="2" spans="1:37" ht="15" customHeight="1">
      <c r="A2" s="2" t="s">
        <v>213</v>
      </c>
      <c r="B2" s="2">
        <v>0</v>
      </c>
      <c r="C2" s="2"/>
      <c r="D2" s="2" t="s">
        <v>26</v>
      </c>
      <c r="E2" s="2" t="s">
        <v>40</v>
      </c>
      <c r="F2" s="3">
        <v>45695</v>
      </c>
      <c r="G2" s="3">
        <v>45695</v>
      </c>
      <c r="H2" s="3">
        <v>45695</v>
      </c>
      <c r="I2" s="2"/>
      <c r="J2" s="2"/>
      <c r="K2" s="2" t="s">
        <v>28</v>
      </c>
      <c r="L2" s="2" t="s">
        <v>29</v>
      </c>
      <c r="M2" s="2"/>
      <c r="N2" s="2" t="s">
        <v>30</v>
      </c>
      <c r="O2" s="2">
        <v>107.37</v>
      </c>
      <c r="P2" s="2">
        <v>19.329999999999998</v>
      </c>
      <c r="Q2" s="2">
        <v>126.7</v>
      </c>
      <c r="R2" s="2">
        <v>126.7</v>
      </c>
      <c r="S2" s="2">
        <v>126.7</v>
      </c>
      <c r="T2" s="2" t="s">
        <v>31</v>
      </c>
      <c r="U2" s="2" t="b">
        <v>0</v>
      </c>
      <c r="V2" s="2" t="s">
        <v>32</v>
      </c>
      <c r="W2" s="2" t="s">
        <v>151</v>
      </c>
      <c r="X2" s="2"/>
      <c r="Y2" s="2"/>
      <c r="Z2" s="2" t="s">
        <v>34</v>
      </c>
      <c r="AA2" s="2"/>
      <c r="AB2" s="2"/>
      <c r="AC2" s="2"/>
      <c r="AD2" s="2"/>
      <c r="AK2" s="8">
        <f>+IF(AE2&lt;&gt;"",AE2,F2)</f>
        <v>45695</v>
      </c>
    </row>
    <row r="3" spans="1:37" ht="15" customHeight="1">
      <c r="A3" s="2" t="s">
        <v>213</v>
      </c>
      <c r="B3" s="2">
        <v>0</v>
      </c>
      <c r="C3" s="2"/>
      <c r="D3" s="2" t="s">
        <v>26</v>
      </c>
      <c r="E3" s="2" t="s">
        <v>38</v>
      </c>
      <c r="F3" s="3">
        <v>45698</v>
      </c>
      <c r="G3" s="3">
        <v>45698</v>
      </c>
      <c r="H3" s="3">
        <v>45698</v>
      </c>
      <c r="I3" s="2"/>
      <c r="J3" s="2"/>
      <c r="K3" s="2" t="s">
        <v>28</v>
      </c>
      <c r="L3" s="2" t="s">
        <v>29</v>
      </c>
      <c r="M3" s="2"/>
      <c r="N3" s="2" t="s">
        <v>30</v>
      </c>
      <c r="O3" s="2">
        <v>1241</v>
      </c>
      <c r="P3" s="2">
        <v>223.38</v>
      </c>
      <c r="Q3" s="2">
        <v>1464.38</v>
      </c>
      <c r="R3" s="2">
        <v>1464.38</v>
      </c>
      <c r="S3" s="2">
        <v>1464.38</v>
      </c>
      <c r="T3" s="2" t="s">
        <v>31</v>
      </c>
      <c r="U3" s="2" t="b">
        <v>0</v>
      </c>
      <c r="V3" s="2" t="s">
        <v>32</v>
      </c>
      <c r="W3" s="2" t="s">
        <v>151</v>
      </c>
      <c r="X3" s="2"/>
      <c r="Y3" s="2"/>
      <c r="Z3" s="2" t="s">
        <v>34</v>
      </c>
      <c r="AA3" s="2"/>
      <c r="AB3" s="2"/>
      <c r="AC3" s="2"/>
      <c r="AD3" s="2"/>
      <c r="AK3" s="8">
        <f>+IF(AE3&lt;&gt;"",AE3,F3)</f>
        <v>45698</v>
      </c>
    </row>
    <row r="4" spans="1:37" ht="15" customHeight="1">
      <c r="A4" s="2" t="s">
        <v>213</v>
      </c>
      <c r="B4" s="2">
        <v>0</v>
      </c>
      <c r="C4" s="2"/>
      <c r="D4" s="2" t="s">
        <v>26</v>
      </c>
      <c r="E4" s="2" t="s">
        <v>39</v>
      </c>
      <c r="F4" s="3">
        <v>45698</v>
      </c>
      <c r="G4" s="3">
        <v>45698</v>
      </c>
      <c r="H4" s="3">
        <v>45698</v>
      </c>
      <c r="I4" s="2"/>
      <c r="J4" s="2"/>
      <c r="K4" s="2" t="s">
        <v>28</v>
      </c>
      <c r="L4" s="2" t="s">
        <v>29</v>
      </c>
      <c r="M4" s="2"/>
      <c r="N4" s="2" t="s">
        <v>30</v>
      </c>
      <c r="O4" s="2">
        <v>400</v>
      </c>
      <c r="P4" s="2">
        <v>72</v>
      </c>
      <c r="Q4" s="2">
        <v>472</v>
      </c>
      <c r="R4" s="2">
        <v>472</v>
      </c>
      <c r="S4" s="2">
        <v>472</v>
      </c>
      <c r="T4" s="2" t="s">
        <v>31</v>
      </c>
      <c r="U4" s="2" t="b">
        <v>0</v>
      </c>
      <c r="V4" s="2" t="s">
        <v>32</v>
      </c>
      <c r="W4" s="2" t="s">
        <v>151</v>
      </c>
      <c r="X4" s="2" t="s">
        <v>178</v>
      </c>
      <c r="Y4" s="2" t="s">
        <v>215</v>
      </c>
      <c r="Z4" s="2" t="s">
        <v>34</v>
      </c>
      <c r="AA4" s="2"/>
      <c r="AB4" s="2"/>
      <c r="AC4" s="2"/>
      <c r="AD4" s="2"/>
      <c r="AK4" s="8">
        <f>+IF(AE4&lt;&gt;"",AE4,F4)</f>
        <v>45698</v>
      </c>
    </row>
    <row r="5" spans="1:37" ht="15" customHeight="1">
      <c r="A5" s="2" t="s">
        <v>213</v>
      </c>
      <c r="B5" s="2">
        <v>0</v>
      </c>
      <c r="C5" s="2"/>
      <c r="D5" s="2" t="s">
        <v>26</v>
      </c>
      <c r="E5" s="2" t="s">
        <v>37</v>
      </c>
      <c r="F5" s="3">
        <v>45739</v>
      </c>
      <c r="G5" s="3">
        <v>45739</v>
      </c>
      <c r="H5" s="3">
        <v>45739</v>
      </c>
      <c r="I5" s="2" t="s">
        <v>214</v>
      </c>
      <c r="J5" s="2"/>
      <c r="K5" s="2" t="s">
        <v>28</v>
      </c>
      <c r="L5" s="2" t="s">
        <v>29</v>
      </c>
      <c r="M5" s="2"/>
      <c r="N5" s="2" t="s">
        <v>30</v>
      </c>
      <c r="O5" s="2">
        <v>310.17</v>
      </c>
      <c r="P5" s="2">
        <v>55.83</v>
      </c>
      <c r="Q5" s="2">
        <v>366</v>
      </c>
      <c r="R5" s="2">
        <v>366</v>
      </c>
      <c r="S5" s="2">
        <v>366</v>
      </c>
      <c r="T5" s="2" t="s">
        <v>31</v>
      </c>
      <c r="U5" s="2" t="b">
        <v>0</v>
      </c>
      <c r="V5" s="2" t="s">
        <v>32</v>
      </c>
      <c r="W5" s="2" t="s">
        <v>151</v>
      </c>
      <c r="X5" s="2"/>
      <c r="Y5" s="2"/>
      <c r="Z5" s="2" t="s">
        <v>34</v>
      </c>
      <c r="AA5" s="2"/>
      <c r="AB5" s="2"/>
      <c r="AC5" s="2"/>
      <c r="AD5" s="2"/>
      <c r="AK5" s="8">
        <f>+IF(AE5&lt;&gt;"",AE5,F5)</f>
        <v>45739</v>
      </c>
    </row>
    <row r="6" spans="1:37" ht="15" customHeight="1">
      <c r="A6" s="2" t="s">
        <v>202</v>
      </c>
      <c r="B6" s="2">
        <v>1254</v>
      </c>
      <c r="C6" s="2"/>
      <c r="D6" s="2" t="s">
        <v>26</v>
      </c>
      <c r="E6" s="2" t="s">
        <v>35</v>
      </c>
      <c r="F6" s="3">
        <v>45743</v>
      </c>
      <c r="G6" s="3">
        <v>45743</v>
      </c>
      <c r="H6" s="3">
        <v>45743</v>
      </c>
      <c r="I6" s="2"/>
      <c r="J6" s="2"/>
      <c r="K6" s="2" t="s">
        <v>28</v>
      </c>
      <c r="L6" s="2" t="s">
        <v>29</v>
      </c>
      <c r="M6" s="2"/>
      <c r="N6" s="2" t="s">
        <v>30</v>
      </c>
      <c r="O6" s="2">
        <v>322</v>
      </c>
      <c r="P6" s="2">
        <v>57.96</v>
      </c>
      <c r="Q6" s="2">
        <v>379.96</v>
      </c>
      <c r="R6" s="2">
        <v>379.96</v>
      </c>
      <c r="S6" s="2">
        <v>379.96</v>
      </c>
      <c r="T6" s="2" t="s">
        <v>31</v>
      </c>
      <c r="U6" s="2" t="b">
        <v>0</v>
      </c>
      <c r="V6" s="2" t="s">
        <v>32</v>
      </c>
      <c r="W6" s="2" t="s">
        <v>33</v>
      </c>
      <c r="X6" s="2"/>
      <c r="Y6" s="2"/>
      <c r="Z6" s="2" t="s">
        <v>34</v>
      </c>
      <c r="AA6" s="2"/>
      <c r="AB6" s="2"/>
      <c r="AC6" s="2"/>
      <c r="AD6" s="2"/>
      <c r="AK6" s="8">
        <f>+IF(AE6&lt;&gt;"",AE6,F6)</f>
        <v>45743</v>
      </c>
    </row>
    <row r="7" spans="1:37" ht="15" customHeight="1">
      <c r="A7" s="2" t="s">
        <v>203</v>
      </c>
      <c r="B7" s="2">
        <v>1254</v>
      </c>
      <c r="C7" s="2"/>
      <c r="D7" s="2" t="s">
        <v>26</v>
      </c>
      <c r="E7" s="2" t="s">
        <v>35</v>
      </c>
      <c r="F7" s="3">
        <v>45743</v>
      </c>
      <c r="G7" s="3">
        <v>45743</v>
      </c>
      <c r="H7" s="3">
        <v>45743</v>
      </c>
      <c r="I7" s="2"/>
      <c r="J7" s="2"/>
      <c r="K7" s="2" t="s">
        <v>28</v>
      </c>
      <c r="L7" s="2" t="s">
        <v>29</v>
      </c>
      <c r="M7" s="2"/>
      <c r="N7" s="2" t="s">
        <v>30</v>
      </c>
      <c r="O7" s="2">
        <v>322</v>
      </c>
      <c r="P7" s="2">
        <v>57.96</v>
      </c>
      <c r="Q7" s="2">
        <v>379.96</v>
      </c>
      <c r="R7" s="2">
        <v>379.96</v>
      </c>
      <c r="S7" s="2">
        <v>379.96</v>
      </c>
      <c r="T7" s="2" t="s">
        <v>31</v>
      </c>
      <c r="U7" s="2" t="b">
        <v>0</v>
      </c>
      <c r="V7" s="2" t="s">
        <v>32</v>
      </c>
      <c r="W7" s="2" t="s">
        <v>33</v>
      </c>
      <c r="X7" s="2"/>
      <c r="Y7" s="2"/>
      <c r="Z7" s="2" t="s">
        <v>34</v>
      </c>
      <c r="AA7" s="2"/>
      <c r="AB7" s="2"/>
      <c r="AC7" s="2"/>
      <c r="AD7" s="2"/>
      <c r="AK7" s="8">
        <f>+IF(AE7&lt;&gt;"",AE7,F7)</f>
        <v>45743</v>
      </c>
    </row>
    <row r="8" spans="1:37" ht="15" customHeight="1">
      <c r="A8" s="2" t="s">
        <v>204</v>
      </c>
      <c r="B8" s="2">
        <v>1234</v>
      </c>
      <c r="C8" s="2"/>
      <c r="D8" s="2" t="s">
        <v>26</v>
      </c>
      <c r="E8" s="2" t="s">
        <v>35</v>
      </c>
      <c r="F8" s="3">
        <v>45743</v>
      </c>
      <c r="G8" s="3">
        <v>45743</v>
      </c>
      <c r="H8" s="3">
        <v>45743</v>
      </c>
      <c r="I8" s="2"/>
      <c r="J8" s="2"/>
      <c r="K8" s="2" t="s">
        <v>28</v>
      </c>
      <c r="L8" s="2" t="s">
        <v>29</v>
      </c>
      <c r="M8" s="2"/>
      <c r="N8" s="2" t="s">
        <v>30</v>
      </c>
      <c r="O8" s="2">
        <v>322</v>
      </c>
      <c r="P8" s="2">
        <v>57.96</v>
      </c>
      <c r="Q8" s="2">
        <v>379.96</v>
      </c>
      <c r="R8" s="2">
        <v>379.96</v>
      </c>
      <c r="S8" s="2">
        <v>379.96</v>
      </c>
      <c r="T8" s="2" t="s">
        <v>31</v>
      </c>
      <c r="U8" s="2" t="b">
        <v>0</v>
      </c>
      <c r="V8" s="2" t="s">
        <v>32</v>
      </c>
      <c r="W8" s="2" t="s">
        <v>33</v>
      </c>
      <c r="X8" s="2"/>
      <c r="Y8" s="2"/>
      <c r="Z8" s="2" t="s">
        <v>34</v>
      </c>
      <c r="AA8" s="2"/>
      <c r="AB8" s="2"/>
      <c r="AC8" s="2"/>
      <c r="AD8" s="2"/>
      <c r="AK8" s="8">
        <f>+IF(AE8&lt;&gt;"",AE8,F8)</f>
        <v>45743</v>
      </c>
    </row>
    <row r="9" spans="1:37" ht="15" customHeight="1">
      <c r="A9" s="2" t="s">
        <v>205</v>
      </c>
      <c r="B9" s="2">
        <v>1234</v>
      </c>
      <c r="C9" s="2"/>
      <c r="D9" s="2" t="s">
        <v>26</v>
      </c>
      <c r="E9" s="2" t="s">
        <v>35</v>
      </c>
      <c r="F9" s="3">
        <v>45743</v>
      </c>
      <c r="G9" s="3">
        <v>45743</v>
      </c>
      <c r="H9" s="3">
        <v>45743</v>
      </c>
      <c r="I9" s="2"/>
      <c r="J9" s="2"/>
      <c r="K9" s="2" t="s">
        <v>28</v>
      </c>
      <c r="L9" s="2" t="s">
        <v>29</v>
      </c>
      <c r="M9" s="2"/>
      <c r="N9" s="2" t="s">
        <v>30</v>
      </c>
      <c r="O9" s="2">
        <v>322</v>
      </c>
      <c r="P9" s="2">
        <v>57.96</v>
      </c>
      <c r="Q9" s="2">
        <v>379.96</v>
      </c>
      <c r="R9" s="2">
        <v>379.96</v>
      </c>
      <c r="S9" s="2">
        <v>379.96</v>
      </c>
      <c r="T9" s="2" t="s">
        <v>31</v>
      </c>
      <c r="U9" s="2" t="b">
        <v>0</v>
      </c>
      <c r="V9" s="2" t="s">
        <v>32</v>
      </c>
      <c r="W9" s="2" t="s">
        <v>33</v>
      </c>
      <c r="X9" s="2"/>
      <c r="Y9" s="2"/>
      <c r="Z9" s="2" t="s">
        <v>34</v>
      </c>
      <c r="AA9" s="2"/>
      <c r="AB9" s="2"/>
      <c r="AC9" s="2"/>
      <c r="AD9" s="2"/>
      <c r="AK9" s="8">
        <f>+IF(AE9&lt;&gt;"",AE9,F9)</f>
        <v>45743</v>
      </c>
    </row>
    <row r="10" spans="1:37" ht="15" customHeight="1">
      <c r="A10" s="2" t="s">
        <v>206</v>
      </c>
      <c r="B10" s="2">
        <v>1234</v>
      </c>
      <c r="C10" s="2"/>
      <c r="D10" s="2" t="s">
        <v>26</v>
      </c>
      <c r="E10" s="2" t="s">
        <v>35</v>
      </c>
      <c r="F10" s="3">
        <v>45743</v>
      </c>
      <c r="G10" s="3">
        <v>45743</v>
      </c>
      <c r="H10" s="3">
        <v>45743</v>
      </c>
      <c r="I10" s="2"/>
      <c r="J10" s="2"/>
      <c r="K10" s="2" t="s">
        <v>28</v>
      </c>
      <c r="L10" s="2" t="s">
        <v>29</v>
      </c>
      <c r="M10" s="2"/>
      <c r="N10" s="2" t="s">
        <v>30</v>
      </c>
      <c r="O10" s="2">
        <v>322</v>
      </c>
      <c r="P10" s="2">
        <v>57.96</v>
      </c>
      <c r="Q10" s="2">
        <v>379.96</v>
      </c>
      <c r="R10" s="2">
        <v>379.96</v>
      </c>
      <c r="S10" s="2">
        <v>379.96</v>
      </c>
      <c r="T10" s="2" t="s">
        <v>31</v>
      </c>
      <c r="U10" s="2" t="b">
        <v>0</v>
      </c>
      <c r="V10" s="2" t="s">
        <v>32</v>
      </c>
      <c r="W10" s="2" t="s">
        <v>33</v>
      </c>
      <c r="X10" s="2"/>
      <c r="Y10" s="2"/>
      <c r="Z10" s="2" t="s">
        <v>34</v>
      </c>
      <c r="AA10" s="2"/>
      <c r="AB10" s="2"/>
      <c r="AC10" s="2"/>
      <c r="AD10" s="2"/>
      <c r="AK10" s="8">
        <f>+IF(AE10&lt;&gt;"",AE10,F10)</f>
        <v>45743</v>
      </c>
    </row>
    <row r="11" spans="1:37" ht="15" customHeight="1">
      <c r="A11" s="2" t="s">
        <v>207</v>
      </c>
      <c r="B11" s="2">
        <v>1233</v>
      </c>
      <c r="C11" s="2"/>
      <c r="D11" s="2" t="s">
        <v>26</v>
      </c>
      <c r="E11" s="2" t="s">
        <v>35</v>
      </c>
      <c r="F11" s="3">
        <v>45743</v>
      </c>
      <c r="G11" s="3">
        <v>45743</v>
      </c>
      <c r="H11" s="3">
        <v>45743</v>
      </c>
      <c r="I11" s="2"/>
      <c r="J11" s="2"/>
      <c r="K11" s="2" t="s">
        <v>28</v>
      </c>
      <c r="L11" s="2" t="s">
        <v>29</v>
      </c>
      <c r="M11" s="2"/>
      <c r="N11" s="2" t="s">
        <v>30</v>
      </c>
      <c r="O11" s="2">
        <v>322</v>
      </c>
      <c r="P11" s="2">
        <v>57.96</v>
      </c>
      <c r="Q11" s="2">
        <v>379.96</v>
      </c>
      <c r="R11" s="2">
        <v>379.96</v>
      </c>
      <c r="S11" s="2">
        <v>379.96</v>
      </c>
      <c r="T11" s="2" t="s">
        <v>31</v>
      </c>
      <c r="U11" s="2" t="b">
        <v>0</v>
      </c>
      <c r="V11" s="2" t="s">
        <v>32</v>
      </c>
      <c r="W11" s="2" t="s">
        <v>33</v>
      </c>
      <c r="X11" s="2"/>
      <c r="Y11" s="2"/>
      <c r="Z11" s="2" t="s">
        <v>34</v>
      </c>
      <c r="AA11" s="2"/>
      <c r="AB11" s="2"/>
      <c r="AC11" s="2"/>
      <c r="AD11" s="2"/>
      <c r="AK11" s="8">
        <f>+IF(AE11&lt;&gt;"",AE11,F11)</f>
        <v>45743</v>
      </c>
    </row>
    <row r="12" spans="1:37" ht="15" customHeight="1">
      <c r="A12" s="2" t="s">
        <v>208</v>
      </c>
      <c r="B12" s="2">
        <v>0</v>
      </c>
      <c r="C12" s="2"/>
      <c r="D12" s="2" t="s">
        <v>26</v>
      </c>
      <c r="E12" s="2" t="s">
        <v>35</v>
      </c>
      <c r="F12" s="3">
        <v>45743</v>
      </c>
      <c r="G12" s="3">
        <v>45743</v>
      </c>
      <c r="H12" s="3">
        <v>45743</v>
      </c>
      <c r="I12" s="2"/>
      <c r="J12" s="2"/>
      <c r="K12" s="2" t="s">
        <v>28</v>
      </c>
      <c r="L12" s="2" t="s">
        <v>29</v>
      </c>
      <c r="M12" s="2"/>
      <c r="N12" s="2" t="s">
        <v>30</v>
      </c>
      <c r="O12" s="2">
        <v>322</v>
      </c>
      <c r="P12" s="2">
        <v>57.96</v>
      </c>
      <c r="Q12" s="2">
        <v>379.96</v>
      </c>
      <c r="R12" s="2">
        <v>379.96</v>
      </c>
      <c r="S12" s="2">
        <v>379.96</v>
      </c>
      <c r="T12" s="2" t="s">
        <v>31</v>
      </c>
      <c r="U12" s="2" t="b">
        <v>0</v>
      </c>
      <c r="V12" s="2" t="s">
        <v>32</v>
      </c>
      <c r="W12" s="2" t="s">
        <v>33</v>
      </c>
      <c r="X12" s="2"/>
      <c r="Y12" s="2"/>
      <c r="Z12" s="2" t="s">
        <v>34</v>
      </c>
      <c r="AA12" s="2"/>
      <c r="AB12" s="2"/>
      <c r="AC12" s="2"/>
      <c r="AD12" s="2"/>
      <c r="AK12" s="8">
        <f>+IF(AE12&lt;&gt;"",AE12,F12)</f>
        <v>45743</v>
      </c>
    </row>
    <row r="13" spans="1:37" ht="15" customHeight="1">
      <c r="A13" s="2" t="s">
        <v>209</v>
      </c>
      <c r="B13" s="2">
        <v>0</v>
      </c>
      <c r="C13" s="2"/>
      <c r="D13" s="2" t="s">
        <v>26</v>
      </c>
      <c r="E13" s="2" t="s">
        <v>35</v>
      </c>
      <c r="F13" s="3">
        <v>45743</v>
      </c>
      <c r="G13" s="3">
        <v>45743</v>
      </c>
      <c r="H13" s="3">
        <v>45743</v>
      </c>
      <c r="I13" s="2"/>
      <c r="J13" s="2"/>
      <c r="K13" s="2" t="s">
        <v>28</v>
      </c>
      <c r="L13" s="2" t="s">
        <v>29</v>
      </c>
      <c r="M13" s="2"/>
      <c r="N13" s="2" t="s">
        <v>30</v>
      </c>
      <c r="O13" s="2"/>
      <c r="P13" s="2"/>
      <c r="Q13" s="2"/>
      <c r="R13" s="2"/>
      <c r="S13" s="2"/>
      <c r="T13" s="2" t="s">
        <v>31</v>
      </c>
      <c r="U13" s="2" t="b">
        <v>0</v>
      </c>
      <c r="V13" s="2" t="s">
        <v>123</v>
      </c>
      <c r="W13" s="2" t="s">
        <v>151</v>
      </c>
      <c r="X13" s="2" t="s">
        <v>178</v>
      </c>
      <c r="Y13" s="2" t="s">
        <v>210</v>
      </c>
      <c r="Z13" s="2" t="s">
        <v>34</v>
      </c>
      <c r="AA13" s="2"/>
      <c r="AB13" s="2"/>
      <c r="AC13" s="2"/>
      <c r="AD13" s="2"/>
      <c r="AK13" s="8">
        <f>+IF(AE13&lt;&gt;"",AE13,F13)</f>
        <v>45743</v>
      </c>
    </row>
    <row r="14" spans="1:37" ht="15" customHeight="1">
      <c r="A14" s="2" t="s">
        <v>211</v>
      </c>
      <c r="B14" s="2">
        <v>0</v>
      </c>
      <c r="C14" s="2"/>
      <c r="D14" s="2" t="s">
        <v>26</v>
      </c>
      <c r="E14" s="2" t="s">
        <v>35</v>
      </c>
      <c r="F14" s="3">
        <v>45743</v>
      </c>
      <c r="G14" s="3">
        <v>45743</v>
      </c>
      <c r="H14" s="3">
        <v>45743</v>
      </c>
      <c r="I14" s="2"/>
      <c r="J14" s="2"/>
      <c r="K14" s="2" t="s">
        <v>28</v>
      </c>
      <c r="L14" s="2" t="s">
        <v>29</v>
      </c>
      <c r="M14" s="2"/>
      <c r="N14" s="2" t="s">
        <v>30</v>
      </c>
      <c r="O14" s="2"/>
      <c r="P14" s="2"/>
      <c r="Q14" s="2"/>
      <c r="R14" s="2"/>
      <c r="S14" s="2"/>
      <c r="T14" s="2" t="s">
        <v>31</v>
      </c>
      <c r="U14" s="2" t="b">
        <v>0</v>
      </c>
      <c r="V14" s="2" t="s">
        <v>123</v>
      </c>
      <c r="W14" s="2" t="s">
        <v>151</v>
      </c>
      <c r="X14" s="2" t="s">
        <v>178</v>
      </c>
      <c r="Y14" s="2" t="s">
        <v>212</v>
      </c>
      <c r="Z14" s="2" t="s">
        <v>34</v>
      </c>
      <c r="AA14" s="2"/>
      <c r="AB14" s="2"/>
      <c r="AC14" s="2"/>
      <c r="AD14" s="2"/>
      <c r="AK14" s="8">
        <f>+IF(AE14&lt;&gt;"",AE14,F14)</f>
        <v>45743</v>
      </c>
    </row>
    <row r="15" spans="1:37" ht="15" customHeight="1">
      <c r="A15" s="2" t="s">
        <v>182</v>
      </c>
      <c r="B15" s="2">
        <v>0</v>
      </c>
      <c r="C15" s="2"/>
      <c r="D15" s="2" t="s">
        <v>26</v>
      </c>
      <c r="E15" s="2" t="s">
        <v>35</v>
      </c>
      <c r="F15" s="3">
        <v>45891</v>
      </c>
      <c r="G15" s="3">
        <v>45891</v>
      </c>
      <c r="H15" s="3">
        <v>45891</v>
      </c>
      <c r="I15" s="2"/>
      <c r="J15" s="2"/>
      <c r="K15" s="2" t="s">
        <v>28</v>
      </c>
      <c r="L15" s="2" t="s">
        <v>29</v>
      </c>
      <c r="M15" s="2"/>
      <c r="N15" s="2" t="s">
        <v>30</v>
      </c>
      <c r="O15" s="2">
        <v>322</v>
      </c>
      <c r="P15" s="2">
        <v>57.96</v>
      </c>
      <c r="Q15" s="2">
        <v>379.96</v>
      </c>
      <c r="R15" s="2">
        <v>379.96</v>
      </c>
      <c r="S15" s="2">
        <v>379.96</v>
      </c>
      <c r="T15" s="2" t="s">
        <v>31</v>
      </c>
      <c r="U15" s="2" t="b">
        <v>0</v>
      </c>
      <c r="V15" s="2" t="s">
        <v>32</v>
      </c>
      <c r="W15" s="2" t="s">
        <v>151</v>
      </c>
      <c r="X15" s="2" t="s">
        <v>178</v>
      </c>
      <c r="Y15" s="2" t="s">
        <v>183</v>
      </c>
      <c r="Z15" s="2" t="s">
        <v>34</v>
      </c>
      <c r="AA15" s="2"/>
      <c r="AB15" s="2"/>
      <c r="AC15" s="2"/>
      <c r="AD15" s="2"/>
      <c r="AK15" s="8">
        <f>+IF(AE15&lt;&gt;"",AE15,F15)</f>
        <v>45891</v>
      </c>
    </row>
    <row r="16" spans="1:37" ht="15" customHeight="1">
      <c r="A16" s="2" t="s">
        <v>184</v>
      </c>
      <c r="B16" s="2">
        <v>0</v>
      </c>
      <c r="C16" s="2"/>
      <c r="D16" s="2" t="s">
        <v>26</v>
      </c>
      <c r="E16" s="2" t="s">
        <v>35</v>
      </c>
      <c r="F16" s="3">
        <v>45891</v>
      </c>
      <c r="G16" s="3">
        <v>45891</v>
      </c>
      <c r="H16" s="3">
        <v>45891</v>
      </c>
      <c r="I16" s="2"/>
      <c r="J16" s="2"/>
      <c r="K16" s="2" t="s">
        <v>28</v>
      </c>
      <c r="L16" s="2" t="s">
        <v>29</v>
      </c>
      <c r="M16" s="2"/>
      <c r="N16" s="2" t="s">
        <v>30</v>
      </c>
      <c r="O16" s="2">
        <v>322</v>
      </c>
      <c r="P16" s="2">
        <v>57.96</v>
      </c>
      <c r="Q16" s="2">
        <v>379.96</v>
      </c>
      <c r="R16" s="2">
        <v>379.96</v>
      </c>
      <c r="S16" s="2">
        <v>379.96</v>
      </c>
      <c r="T16" s="2" t="s">
        <v>31</v>
      </c>
      <c r="U16" s="2" t="b">
        <v>0</v>
      </c>
      <c r="V16" s="2" t="s">
        <v>32</v>
      </c>
      <c r="W16" s="2" t="s">
        <v>151</v>
      </c>
      <c r="X16" s="2" t="s">
        <v>178</v>
      </c>
      <c r="Y16" s="2" t="s">
        <v>185</v>
      </c>
      <c r="Z16" s="2" t="s">
        <v>34</v>
      </c>
      <c r="AA16" s="2"/>
      <c r="AB16" s="2"/>
      <c r="AC16" s="2"/>
      <c r="AD16" s="2"/>
      <c r="AK16" s="8">
        <f>+IF(AE16&lt;&gt;"",AE16,F16)</f>
        <v>45891</v>
      </c>
    </row>
    <row r="17" spans="1:37" ht="15" customHeight="1">
      <c r="A17" s="2" t="s">
        <v>186</v>
      </c>
      <c r="B17" s="2">
        <v>0</v>
      </c>
      <c r="C17" s="2"/>
      <c r="D17" s="2" t="s">
        <v>26</v>
      </c>
      <c r="E17" s="2" t="s">
        <v>35</v>
      </c>
      <c r="F17" s="3">
        <v>45891</v>
      </c>
      <c r="G17" s="3">
        <v>45891</v>
      </c>
      <c r="H17" s="3">
        <v>45891</v>
      </c>
      <c r="I17" s="2"/>
      <c r="J17" s="2"/>
      <c r="K17" s="2" t="s">
        <v>28</v>
      </c>
      <c r="L17" s="2" t="s">
        <v>29</v>
      </c>
      <c r="M17" s="2"/>
      <c r="N17" s="2" t="s">
        <v>30</v>
      </c>
      <c r="O17" s="2">
        <v>322</v>
      </c>
      <c r="P17" s="2">
        <v>57.96</v>
      </c>
      <c r="Q17" s="2">
        <v>379.96</v>
      </c>
      <c r="R17" s="2">
        <v>379.96</v>
      </c>
      <c r="S17" s="2">
        <v>379.96</v>
      </c>
      <c r="T17" s="2" t="s">
        <v>31</v>
      </c>
      <c r="U17" s="2" t="b">
        <v>0</v>
      </c>
      <c r="V17" s="2" t="s">
        <v>32</v>
      </c>
      <c r="W17" s="2" t="s">
        <v>151</v>
      </c>
      <c r="X17" s="2" t="s">
        <v>178</v>
      </c>
      <c r="Y17" s="2" t="s">
        <v>187</v>
      </c>
      <c r="Z17" s="2" t="s">
        <v>34</v>
      </c>
      <c r="AA17" s="2"/>
      <c r="AB17" s="2"/>
      <c r="AC17" s="2"/>
      <c r="AD17" s="2"/>
      <c r="AK17" s="8">
        <f>+IF(AE17&lt;&gt;"",AE17,F17)</f>
        <v>45891</v>
      </c>
    </row>
    <row r="18" spans="1:37" ht="15" customHeight="1">
      <c r="A18" s="2" t="s">
        <v>188</v>
      </c>
      <c r="B18" s="2">
        <v>0</v>
      </c>
      <c r="C18" s="2"/>
      <c r="D18" s="2" t="s">
        <v>26</v>
      </c>
      <c r="E18" s="2" t="s">
        <v>35</v>
      </c>
      <c r="F18" s="3">
        <v>45891</v>
      </c>
      <c r="G18" s="3">
        <v>45891</v>
      </c>
      <c r="H18" s="3">
        <v>45891</v>
      </c>
      <c r="I18" s="2"/>
      <c r="J18" s="2"/>
      <c r="K18" s="2" t="s">
        <v>28</v>
      </c>
      <c r="L18" s="2" t="s">
        <v>29</v>
      </c>
      <c r="M18" s="2"/>
      <c r="N18" s="2" t="s">
        <v>30</v>
      </c>
      <c r="O18" s="2">
        <v>322</v>
      </c>
      <c r="P18" s="2">
        <v>57.96</v>
      </c>
      <c r="Q18" s="2">
        <v>379.96</v>
      </c>
      <c r="R18" s="2">
        <v>379.96</v>
      </c>
      <c r="S18" s="2">
        <v>379.96</v>
      </c>
      <c r="T18" s="2" t="s">
        <v>31</v>
      </c>
      <c r="U18" s="2" t="b">
        <v>0</v>
      </c>
      <c r="V18" s="2" t="s">
        <v>32</v>
      </c>
      <c r="W18" s="2" t="s">
        <v>151</v>
      </c>
      <c r="X18" s="2" t="s">
        <v>178</v>
      </c>
      <c r="Y18" s="2" t="s">
        <v>189</v>
      </c>
      <c r="Z18" s="2" t="s">
        <v>34</v>
      </c>
      <c r="AA18" s="2"/>
      <c r="AB18" s="2"/>
      <c r="AC18" s="2"/>
      <c r="AD18" s="2"/>
      <c r="AK18" s="8">
        <f>+IF(AE18&lt;&gt;"",AE18,F18)</f>
        <v>45891</v>
      </c>
    </row>
    <row r="19" spans="1:37" ht="15" customHeight="1">
      <c r="A19" s="2" t="s">
        <v>190</v>
      </c>
      <c r="B19" s="2">
        <v>0</v>
      </c>
      <c r="C19" s="2"/>
      <c r="D19" s="2" t="s">
        <v>26</v>
      </c>
      <c r="E19" s="2" t="s">
        <v>35</v>
      </c>
      <c r="F19" s="3">
        <v>45891</v>
      </c>
      <c r="G19" s="3">
        <v>45891</v>
      </c>
      <c r="H19" s="3">
        <v>45891</v>
      </c>
      <c r="I19" s="2"/>
      <c r="J19" s="2"/>
      <c r="K19" s="2" t="s">
        <v>28</v>
      </c>
      <c r="L19" s="2" t="s">
        <v>29</v>
      </c>
      <c r="M19" s="2"/>
      <c r="N19" s="2" t="s">
        <v>30</v>
      </c>
      <c r="O19" s="2"/>
      <c r="P19" s="2"/>
      <c r="Q19" s="2"/>
      <c r="R19" s="2"/>
      <c r="S19" s="2"/>
      <c r="T19" s="2" t="s">
        <v>31</v>
      </c>
      <c r="U19" s="2" t="b">
        <v>0</v>
      </c>
      <c r="V19" s="2" t="s">
        <v>123</v>
      </c>
      <c r="W19" s="2" t="s">
        <v>151</v>
      </c>
      <c r="X19" s="2" t="s">
        <v>178</v>
      </c>
      <c r="Y19" s="2" t="s">
        <v>191</v>
      </c>
      <c r="Z19" s="2" t="s">
        <v>34</v>
      </c>
      <c r="AA19" s="2"/>
      <c r="AB19" s="2"/>
      <c r="AC19" s="2"/>
      <c r="AD19" s="2"/>
      <c r="AK19" s="8">
        <f>+IF(AE19&lt;&gt;"",AE19,F19)</f>
        <v>45891</v>
      </c>
    </row>
    <row r="20" spans="1:37" ht="15" customHeight="1">
      <c r="A20" s="2" t="s">
        <v>192</v>
      </c>
      <c r="B20" s="2">
        <v>0</v>
      </c>
      <c r="C20" s="2"/>
      <c r="D20" s="2" t="s">
        <v>26</v>
      </c>
      <c r="E20" s="2" t="s">
        <v>35</v>
      </c>
      <c r="F20" s="3">
        <v>45891</v>
      </c>
      <c r="G20" s="3">
        <v>45891</v>
      </c>
      <c r="H20" s="3">
        <v>45891</v>
      </c>
      <c r="I20" s="2"/>
      <c r="J20" s="2"/>
      <c r="K20" s="2" t="s">
        <v>28</v>
      </c>
      <c r="L20" s="2" t="s">
        <v>29</v>
      </c>
      <c r="M20" s="2"/>
      <c r="N20" s="2" t="s">
        <v>30</v>
      </c>
      <c r="O20" s="2"/>
      <c r="P20" s="2"/>
      <c r="Q20" s="2"/>
      <c r="R20" s="2"/>
      <c r="S20" s="2"/>
      <c r="T20" s="2" t="s">
        <v>31</v>
      </c>
      <c r="U20" s="2" t="b">
        <v>0</v>
      </c>
      <c r="V20" s="2" t="s">
        <v>123</v>
      </c>
      <c r="W20" s="2" t="s">
        <v>151</v>
      </c>
      <c r="X20" s="2" t="s">
        <v>178</v>
      </c>
      <c r="Y20" s="2" t="s">
        <v>193</v>
      </c>
      <c r="Z20" s="2" t="s">
        <v>34</v>
      </c>
      <c r="AA20" s="2"/>
      <c r="AB20" s="2"/>
      <c r="AC20" s="2"/>
      <c r="AD20" s="2"/>
      <c r="AK20" s="8">
        <f>+IF(AE20&lt;&gt;"",AE20,F20)</f>
        <v>45891</v>
      </c>
    </row>
    <row r="21" spans="1:37" ht="15" customHeight="1">
      <c r="A21" s="2" t="s">
        <v>194</v>
      </c>
      <c r="B21" s="2">
        <v>0</v>
      </c>
      <c r="C21" s="2"/>
      <c r="D21" s="2" t="s">
        <v>26</v>
      </c>
      <c r="E21" s="2" t="s">
        <v>35</v>
      </c>
      <c r="F21" s="3">
        <v>45891</v>
      </c>
      <c r="G21" s="3">
        <v>45891</v>
      </c>
      <c r="H21" s="3">
        <v>45891</v>
      </c>
      <c r="I21" s="2"/>
      <c r="J21" s="2"/>
      <c r="K21" s="2" t="s">
        <v>28</v>
      </c>
      <c r="L21" s="2" t="s">
        <v>29</v>
      </c>
      <c r="M21" s="2"/>
      <c r="N21" s="2" t="s">
        <v>30</v>
      </c>
      <c r="O21" s="2"/>
      <c r="P21" s="2"/>
      <c r="Q21" s="2"/>
      <c r="R21" s="2"/>
      <c r="S21" s="2"/>
      <c r="T21" s="2" t="s">
        <v>31</v>
      </c>
      <c r="U21" s="2" t="b">
        <v>0</v>
      </c>
      <c r="V21" s="2" t="s">
        <v>123</v>
      </c>
      <c r="W21" s="2" t="s">
        <v>151</v>
      </c>
      <c r="X21" s="2" t="s">
        <v>178</v>
      </c>
      <c r="Y21" s="2" t="s">
        <v>195</v>
      </c>
      <c r="Z21" s="2" t="s">
        <v>34</v>
      </c>
      <c r="AA21" s="2"/>
      <c r="AB21" s="2"/>
      <c r="AC21" s="2"/>
      <c r="AD21" s="2"/>
      <c r="AK21" s="8">
        <f>+IF(AE21&lt;&gt;"",AE21,F21)</f>
        <v>45891</v>
      </c>
    </row>
    <row r="22" spans="1:37" ht="15" customHeight="1">
      <c r="A22" s="2" t="s">
        <v>196</v>
      </c>
      <c r="B22" s="2">
        <v>0</v>
      </c>
      <c r="C22" s="2"/>
      <c r="D22" s="2" t="s">
        <v>26</v>
      </c>
      <c r="E22" s="2" t="s">
        <v>36</v>
      </c>
      <c r="F22" s="3">
        <v>45891</v>
      </c>
      <c r="G22" s="3">
        <v>45891</v>
      </c>
      <c r="H22" s="3">
        <v>45891</v>
      </c>
      <c r="I22" s="2"/>
      <c r="J22" s="2"/>
      <c r="K22" s="2" t="s">
        <v>28</v>
      </c>
      <c r="L22" s="2" t="s">
        <v>29</v>
      </c>
      <c r="M22" s="2"/>
      <c r="N22" s="2" t="s">
        <v>30</v>
      </c>
      <c r="O22" s="2"/>
      <c r="P22" s="2"/>
      <c r="Q22" s="2"/>
      <c r="R22" s="2"/>
      <c r="S22" s="2"/>
      <c r="T22" s="2" t="s">
        <v>31</v>
      </c>
      <c r="U22" s="2" t="b">
        <v>0</v>
      </c>
      <c r="V22" s="2" t="s">
        <v>123</v>
      </c>
      <c r="W22" s="2" t="s">
        <v>151</v>
      </c>
      <c r="X22" s="2" t="s">
        <v>178</v>
      </c>
      <c r="Y22" s="2" t="s">
        <v>197</v>
      </c>
      <c r="Z22" s="2" t="s">
        <v>34</v>
      </c>
      <c r="AA22" s="2"/>
      <c r="AB22" s="2"/>
      <c r="AC22" s="2"/>
      <c r="AD22" s="2"/>
      <c r="AK22" s="8">
        <f>+IF(AE22&lt;&gt;"",AE22,F22)</f>
        <v>45891</v>
      </c>
    </row>
    <row r="23" spans="1:37" ht="15" customHeight="1">
      <c r="A23" s="2" t="s">
        <v>198</v>
      </c>
      <c r="B23" s="2">
        <v>0</v>
      </c>
      <c r="C23" s="2"/>
      <c r="D23" s="2" t="s">
        <v>26</v>
      </c>
      <c r="E23" s="2" t="s">
        <v>36</v>
      </c>
      <c r="F23" s="3">
        <v>45891</v>
      </c>
      <c r="G23" s="3">
        <v>45891</v>
      </c>
      <c r="H23" s="3">
        <v>45891</v>
      </c>
      <c r="I23" s="2"/>
      <c r="J23" s="2"/>
      <c r="K23" s="2" t="s">
        <v>28</v>
      </c>
      <c r="L23" s="2" t="s">
        <v>29</v>
      </c>
      <c r="M23" s="2"/>
      <c r="N23" s="2" t="s">
        <v>30</v>
      </c>
      <c r="O23" s="2"/>
      <c r="P23" s="2"/>
      <c r="Q23" s="2"/>
      <c r="R23" s="2"/>
      <c r="S23" s="2"/>
      <c r="T23" s="2" t="s">
        <v>31</v>
      </c>
      <c r="U23" s="2" t="b">
        <v>0</v>
      </c>
      <c r="V23" s="2" t="s">
        <v>123</v>
      </c>
      <c r="W23" s="2" t="s">
        <v>151</v>
      </c>
      <c r="X23" s="2" t="s">
        <v>178</v>
      </c>
      <c r="Y23" s="2" t="s">
        <v>199</v>
      </c>
      <c r="Z23" s="2" t="s">
        <v>34</v>
      </c>
      <c r="AA23" s="2"/>
      <c r="AB23" s="2"/>
      <c r="AC23" s="2"/>
      <c r="AD23" s="2"/>
      <c r="AK23" s="8">
        <f>+IF(AE23&lt;&gt;"",AE23,F23)</f>
        <v>45891</v>
      </c>
    </row>
    <row r="24" spans="1:37" ht="15" customHeight="1">
      <c r="A24" s="2" t="s">
        <v>200</v>
      </c>
      <c r="B24" s="2">
        <v>0</v>
      </c>
      <c r="C24" s="2"/>
      <c r="D24" s="2" t="s">
        <v>26</v>
      </c>
      <c r="E24" s="2" t="s">
        <v>36</v>
      </c>
      <c r="F24" s="3">
        <v>45891</v>
      </c>
      <c r="G24" s="3">
        <v>45891</v>
      </c>
      <c r="H24" s="3">
        <v>45891</v>
      </c>
      <c r="I24" s="2"/>
      <c r="J24" s="2"/>
      <c r="K24" s="2" t="s">
        <v>28</v>
      </c>
      <c r="L24" s="2" t="s">
        <v>29</v>
      </c>
      <c r="M24" s="2"/>
      <c r="N24" s="2" t="s">
        <v>30</v>
      </c>
      <c r="O24" s="2"/>
      <c r="P24" s="2"/>
      <c r="Q24" s="2"/>
      <c r="R24" s="2"/>
      <c r="S24" s="2"/>
      <c r="T24" s="2" t="s">
        <v>31</v>
      </c>
      <c r="U24" s="2" t="b">
        <v>0</v>
      </c>
      <c r="V24" s="2" t="s">
        <v>123</v>
      </c>
      <c r="W24" s="2" t="s">
        <v>151</v>
      </c>
      <c r="X24" s="2" t="s">
        <v>178</v>
      </c>
      <c r="Y24" s="2" t="s">
        <v>201</v>
      </c>
      <c r="Z24" s="2" t="s">
        <v>34</v>
      </c>
      <c r="AA24" s="2"/>
      <c r="AB24" s="2"/>
      <c r="AC24" s="2"/>
      <c r="AD24" s="2"/>
      <c r="AK24" s="8">
        <f>+IF(AE24&lt;&gt;"",AE24,F24)</f>
        <v>45891</v>
      </c>
    </row>
    <row r="25" spans="1:37" ht="15" customHeight="1">
      <c r="A25" s="2" t="s">
        <v>176</v>
      </c>
      <c r="B25" s="2">
        <v>2525</v>
      </c>
      <c r="C25" s="2"/>
      <c r="D25" s="2" t="s">
        <v>26</v>
      </c>
      <c r="E25" s="2" t="s">
        <v>27</v>
      </c>
      <c r="F25" s="3">
        <v>45894</v>
      </c>
      <c r="G25" s="3">
        <v>45894</v>
      </c>
      <c r="H25" s="3">
        <v>45894</v>
      </c>
      <c r="I25" s="2"/>
      <c r="J25" s="2"/>
      <c r="K25" s="2" t="s">
        <v>28</v>
      </c>
      <c r="L25" s="2" t="s">
        <v>29</v>
      </c>
      <c r="M25" s="2"/>
      <c r="N25" s="2" t="s">
        <v>30</v>
      </c>
      <c r="O25" s="2">
        <v>55.34</v>
      </c>
      <c r="P25" s="2">
        <v>9.9600000000000009</v>
      </c>
      <c r="Q25" s="2">
        <v>65.3</v>
      </c>
      <c r="R25" s="2">
        <v>65.3</v>
      </c>
      <c r="S25" s="2">
        <v>65.3</v>
      </c>
      <c r="T25" s="2" t="s">
        <v>31</v>
      </c>
      <c r="U25" s="2" t="b">
        <v>0</v>
      </c>
      <c r="V25" s="2" t="s">
        <v>32</v>
      </c>
      <c r="W25" s="2" t="s">
        <v>33</v>
      </c>
      <c r="X25" s="2"/>
      <c r="Y25" s="2"/>
      <c r="Z25" s="2" t="s">
        <v>34</v>
      </c>
      <c r="AA25" s="2"/>
      <c r="AB25" s="2"/>
      <c r="AC25" s="2"/>
      <c r="AD25" s="2"/>
      <c r="AK25" s="8">
        <f>+IF(AE25&lt;&gt;"",AE25,F25)</f>
        <v>45894</v>
      </c>
    </row>
    <row r="26" spans="1:37" ht="15" customHeight="1">
      <c r="A26" s="2" t="s">
        <v>177</v>
      </c>
      <c r="B26" s="2">
        <v>0</v>
      </c>
      <c r="C26" s="2"/>
      <c r="D26" s="2" t="s">
        <v>26</v>
      </c>
      <c r="E26" s="2" t="s">
        <v>27</v>
      </c>
      <c r="F26" s="3">
        <v>45894</v>
      </c>
      <c r="G26" s="3">
        <v>45894</v>
      </c>
      <c r="H26" s="3">
        <v>45894</v>
      </c>
      <c r="I26" s="2"/>
      <c r="J26" s="2"/>
      <c r="K26" s="2" t="s">
        <v>28</v>
      </c>
      <c r="L26" s="2" t="s">
        <v>29</v>
      </c>
      <c r="M26" s="2"/>
      <c r="N26" s="2" t="s">
        <v>30</v>
      </c>
      <c r="O26" s="2">
        <v>51.86</v>
      </c>
      <c r="P26" s="2">
        <v>9.33</v>
      </c>
      <c r="Q26" s="2">
        <v>61.19</v>
      </c>
      <c r="R26" s="2">
        <v>61.19</v>
      </c>
      <c r="S26" s="2">
        <v>61.19</v>
      </c>
      <c r="T26" s="2" t="s">
        <v>31</v>
      </c>
      <c r="U26" s="2" t="b">
        <v>0</v>
      </c>
      <c r="V26" s="2" t="s">
        <v>32</v>
      </c>
      <c r="W26" s="2" t="s">
        <v>151</v>
      </c>
      <c r="X26" s="2" t="s">
        <v>178</v>
      </c>
      <c r="Y26" s="2" t="s">
        <v>179</v>
      </c>
      <c r="Z26" s="2" t="s">
        <v>34</v>
      </c>
      <c r="AA26" s="2"/>
      <c r="AB26" s="2"/>
      <c r="AC26" s="2"/>
      <c r="AD26" s="2"/>
      <c r="AK26" s="8">
        <f>+IF(AE26&lt;&gt;"",AE26,F26)</f>
        <v>45894</v>
      </c>
    </row>
    <row r="27" spans="1:37" ht="15" customHeight="1">
      <c r="A27" s="2" t="s">
        <v>180</v>
      </c>
      <c r="B27" s="2">
        <v>0</v>
      </c>
      <c r="C27" s="2"/>
      <c r="D27" s="2" t="s">
        <v>26</v>
      </c>
      <c r="E27" s="2" t="s">
        <v>27</v>
      </c>
      <c r="F27" s="3">
        <v>45894</v>
      </c>
      <c r="G27" s="3">
        <v>45894</v>
      </c>
      <c r="H27" s="3">
        <v>45894</v>
      </c>
      <c r="I27" s="2"/>
      <c r="J27" s="2"/>
      <c r="K27" s="2" t="s">
        <v>28</v>
      </c>
      <c r="L27" s="2" t="s">
        <v>29</v>
      </c>
      <c r="M27" s="2"/>
      <c r="N27" s="2" t="s">
        <v>30</v>
      </c>
      <c r="O27" s="2">
        <v>51.86</v>
      </c>
      <c r="P27" s="2">
        <v>9.33</v>
      </c>
      <c r="Q27" s="2">
        <v>61.19</v>
      </c>
      <c r="R27" s="2">
        <v>61.19</v>
      </c>
      <c r="S27" s="2">
        <v>61.19</v>
      </c>
      <c r="T27" s="2" t="s">
        <v>31</v>
      </c>
      <c r="U27" s="2" t="b">
        <v>0</v>
      </c>
      <c r="V27" s="2" t="s">
        <v>32</v>
      </c>
      <c r="W27" s="2" t="s">
        <v>151</v>
      </c>
      <c r="X27" s="2" t="s">
        <v>178</v>
      </c>
      <c r="Y27" s="2" t="s">
        <v>181</v>
      </c>
      <c r="Z27" s="2" t="s">
        <v>34</v>
      </c>
      <c r="AA27" s="2"/>
      <c r="AB27" s="2"/>
      <c r="AC27" s="2"/>
      <c r="AD27" s="2"/>
      <c r="AK27" s="8">
        <f>+IF(AE27&lt;&gt;"",AE27,F27)</f>
        <v>45894</v>
      </c>
    </row>
    <row r="28" spans="1:37" ht="15" customHeight="1">
      <c r="A28" s="2" t="s">
        <v>168</v>
      </c>
      <c r="B28" s="2">
        <v>0</v>
      </c>
      <c r="C28" s="2"/>
      <c r="D28" s="2" t="s">
        <v>26</v>
      </c>
      <c r="E28" s="2" t="s">
        <v>27</v>
      </c>
      <c r="F28" s="3">
        <v>45896</v>
      </c>
      <c r="G28" s="3">
        <v>45896</v>
      </c>
      <c r="H28" s="3">
        <v>45896</v>
      </c>
      <c r="I28" s="2"/>
      <c r="J28" s="2"/>
      <c r="K28" s="2" t="s">
        <v>28</v>
      </c>
      <c r="L28" s="2" t="s">
        <v>29</v>
      </c>
      <c r="M28" s="2"/>
      <c r="N28" s="2" t="s">
        <v>30</v>
      </c>
      <c r="O28" s="2">
        <v>900</v>
      </c>
      <c r="P28" s="2">
        <v>162</v>
      </c>
      <c r="Q28" s="2">
        <v>1062</v>
      </c>
      <c r="R28" s="2">
        <v>1062</v>
      </c>
      <c r="S28" s="2">
        <v>1062</v>
      </c>
      <c r="T28" s="2" t="s">
        <v>31</v>
      </c>
      <c r="U28" s="2" t="b">
        <v>0</v>
      </c>
      <c r="V28" s="2" t="s">
        <v>32</v>
      </c>
      <c r="W28" s="2" t="s">
        <v>33</v>
      </c>
      <c r="X28" s="2"/>
      <c r="Y28" s="2"/>
      <c r="Z28" s="2" t="s">
        <v>34</v>
      </c>
      <c r="AA28" s="2"/>
      <c r="AB28" s="2"/>
      <c r="AC28" s="2"/>
      <c r="AD28" s="2"/>
      <c r="AK28" s="8">
        <f>+IF(AE28&lt;&gt;"",AE28,F28)</f>
        <v>45896</v>
      </c>
    </row>
    <row r="29" spans="1:37" ht="15" customHeight="1">
      <c r="A29" s="2" t="s">
        <v>169</v>
      </c>
      <c r="B29" s="2">
        <v>2337</v>
      </c>
      <c r="C29" s="2"/>
      <c r="D29" s="2" t="s">
        <v>26</v>
      </c>
      <c r="E29" s="2" t="s">
        <v>27</v>
      </c>
      <c r="F29" s="3">
        <v>45896</v>
      </c>
      <c r="G29" s="3">
        <v>45896</v>
      </c>
      <c r="H29" s="3">
        <v>45896</v>
      </c>
      <c r="I29" s="2"/>
      <c r="J29" s="2"/>
      <c r="K29" s="2" t="s">
        <v>28</v>
      </c>
      <c r="L29" s="2" t="s">
        <v>29</v>
      </c>
      <c r="M29" s="2"/>
      <c r="N29" s="2" t="s">
        <v>30</v>
      </c>
      <c r="O29" s="2">
        <v>53.9</v>
      </c>
      <c r="P29" s="2">
        <v>9.6999999999999993</v>
      </c>
      <c r="Q29" s="2">
        <v>63.6</v>
      </c>
      <c r="R29" s="2">
        <v>63.6</v>
      </c>
      <c r="S29" s="2">
        <v>63.6</v>
      </c>
      <c r="T29" s="2" t="s">
        <v>31</v>
      </c>
      <c r="U29" s="2" t="b">
        <v>0</v>
      </c>
      <c r="V29" s="2" t="s">
        <v>32</v>
      </c>
      <c r="W29" s="2" t="s">
        <v>33</v>
      </c>
      <c r="X29" s="2"/>
      <c r="Y29" s="2"/>
      <c r="Z29" s="2" t="s">
        <v>34</v>
      </c>
      <c r="AA29" s="2"/>
      <c r="AB29" s="2"/>
      <c r="AC29" s="2"/>
      <c r="AD29" s="2"/>
      <c r="AK29" s="8">
        <f>+IF(AE29&lt;&gt;"",AE29,F29)</f>
        <v>45896</v>
      </c>
    </row>
    <row r="30" spans="1:37" ht="15" customHeight="1">
      <c r="A30" s="2" t="s">
        <v>170</v>
      </c>
      <c r="B30" s="2">
        <v>2337</v>
      </c>
      <c r="C30" s="2"/>
      <c r="D30" s="2" t="s">
        <v>26</v>
      </c>
      <c r="E30" s="2" t="s">
        <v>27</v>
      </c>
      <c r="F30" s="3">
        <v>45896</v>
      </c>
      <c r="G30" s="3">
        <v>45896</v>
      </c>
      <c r="H30" s="3">
        <v>45896</v>
      </c>
      <c r="I30" s="2"/>
      <c r="J30" s="2"/>
      <c r="K30" s="2" t="s">
        <v>28</v>
      </c>
      <c r="L30" s="2" t="s">
        <v>29</v>
      </c>
      <c r="M30" s="2"/>
      <c r="N30" s="2" t="s">
        <v>30</v>
      </c>
      <c r="O30" s="2">
        <v>53.81</v>
      </c>
      <c r="P30" s="2">
        <v>9.69</v>
      </c>
      <c r="Q30" s="2">
        <v>63.5</v>
      </c>
      <c r="R30" s="2">
        <v>63.5</v>
      </c>
      <c r="S30" s="2">
        <v>63.5</v>
      </c>
      <c r="T30" s="2" t="s">
        <v>31</v>
      </c>
      <c r="U30" s="2" t="b">
        <v>0</v>
      </c>
      <c r="V30" s="2" t="s">
        <v>32</v>
      </c>
      <c r="W30" s="2" t="s">
        <v>33</v>
      </c>
      <c r="X30" s="2"/>
      <c r="Y30" s="2"/>
      <c r="Z30" s="2" t="s">
        <v>34</v>
      </c>
      <c r="AA30" s="2"/>
      <c r="AB30" s="2"/>
      <c r="AC30" s="2"/>
      <c r="AD30" s="2"/>
      <c r="AK30" s="8">
        <f>+IF(AE30&lt;&gt;"",AE30,F30)</f>
        <v>45896</v>
      </c>
    </row>
    <row r="31" spans="1:37" ht="15" customHeight="1">
      <c r="A31" s="2" t="s">
        <v>171</v>
      </c>
      <c r="B31" s="2">
        <v>2337</v>
      </c>
      <c r="C31" s="2"/>
      <c r="D31" s="2" t="s">
        <v>26</v>
      </c>
      <c r="E31" s="2" t="s">
        <v>27</v>
      </c>
      <c r="F31" s="3">
        <v>45896</v>
      </c>
      <c r="G31" s="3">
        <v>45896</v>
      </c>
      <c r="H31" s="3">
        <v>45896</v>
      </c>
      <c r="I31" s="2"/>
      <c r="J31" s="2"/>
      <c r="K31" s="2" t="s">
        <v>28</v>
      </c>
      <c r="L31" s="2" t="s">
        <v>29</v>
      </c>
      <c r="M31" s="2"/>
      <c r="N31" s="2" t="s">
        <v>30</v>
      </c>
      <c r="O31" s="2">
        <v>1016.95</v>
      </c>
      <c r="P31" s="2">
        <v>183.05</v>
      </c>
      <c r="Q31" s="2">
        <v>1200</v>
      </c>
      <c r="R31" s="2">
        <v>1200</v>
      </c>
      <c r="S31" s="2">
        <v>1200</v>
      </c>
      <c r="T31" s="2" t="s">
        <v>31</v>
      </c>
      <c r="U31" s="2" t="b">
        <v>0</v>
      </c>
      <c r="V31" s="2" t="s">
        <v>32</v>
      </c>
      <c r="W31" s="2" t="s">
        <v>33</v>
      </c>
      <c r="X31" s="2"/>
      <c r="Y31" s="2"/>
      <c r="Z31" s="2" t="s">
        <v>34</v>
      </c>
      <c r="AA31" s="2"/>
      <c r="AB31" s="2"/>
      <c r="AC31" s="2"/>
      <c r="AD31" s="2"/>
      <c r="AK31" s="8">
        <f>+IF(AE31&lt;&gt;"",AE31,F31)</f>
        <v>45896</v>
      </c>
    </row>
    <row r="32" spans="1:37" ht="15" customHeight="1">
      <c r="A32" s="2" t="s">
        <v>172</v>
      </c>
      <c r="B32" s="2">
        <v>2337</v>
      </c>
      <c r="C32" s="2"/>
      <c r="D32" s="2" t="s">
        <v>26</v>
      </c>
      <c r="E32" s="2" t="s">
        <v>27</v>
      </c>
      <c r="F32" s="3">
        <v>45896</v>
      </c>
      <c r="G32" s="3">
        <v>45896</v>
      </c>
      <c r="H32" s="3">
        <v>45896</v>
      </c>
      <c r="I32" s="2"/>
      <c r="J32" s="2"/>
      <c r="K32" s="2" t="s">
        <v>28</v>
      </c>
      <c r="L32" s="2" t="s">
        <v>29</v>
      </c>
      <c r="M32" s="2"/>
      <c r="N32" s="2" t="s">
        <v>30</v>
      </c>
      <c r="O32" s="2">
        <v>1016.95</v>
      </c>
      <c r="P32" s="2">
        <v>183.05</v>
      </c>
      <c r="Q32" s="2">
        <v>1200</v>
      </c>
      <c r="R32" s="2">
        <v>1200</v>
      </c>
      <c r="S32" s="2">
        <v>1200</v>
      </c>
      <c r="T32" s="2" t="s">
        <v>31</v>
      </c>
      <c r="U32" s="2" t="b">
        <v>0</v>
      </c>
      <c r="V32" s="2" t="s">
        <v>32</v>
      </c>
      <c r="W32" s="2" t="s">
        <v>151</v>
      </c>
      <c r="X32" s="2"/>
      <c r="Y32" s="2"/>
      <c r="Z32" s="2" t="s">
        <v>34</v>
      </c>
      <c r="AA32" s="2"/>
      <c r="AB32" s="2"/>
      <c r="AC32" s="2"/>
      <c r="AD32" s="2"/>
      <c r="AK32" s="8">
        <f>+IF(AE32&lt;&gt;"",AE32,F32)</f>
        <v>45896</v>
      </c>
    </row>
    <row r="33" spans="1:37" ht="15" customHeight="1">
      <c r="A33" s="2" t="s">
        <v>173</v>
      </c>
      <c r="B33" s="2">
        <v>2337</v>
      </c>
      <c r="C33" s="2"/>
      <c r="D33" s="2" t="s">
        <v>26</v>
      </c>
      <c r="E33" s="2" t="s">
        <v>27</v>
      </c>
      <c r="F33" s="3">
        <v>45896</v>
      </c>
      <c r="G33" s="3">
        <v>45896</v>
      </c>
      <c r="H33" s="3">
        <v>45896</v>
      </c>
      <c r="I33" s="2"/>
      <c r="J33" s="2"/>
      <c r="K33" s="2" t="s">
        <v>28</v>
      </c>
      <c r="L33" s="2" t="s">
        <v>29</v>
      </c>
      <c r="M33" s="2"/>
      <c r="N33" s="2" t="s">
        <v>30</v>
      </c>
      <c r="O33" s="2">
        <v>805.08</v>
      </c>
      <c r="P33" s="2">
        <v>144.91</v>
      </c>
      <c r="Q33" s="2">
        <v>949.99</v>
      </c>
      <c r="R33" s="2">
        <v>949.99</v>
      </c>
      <c r="S33" s="2">
        <v>949.99</v>
      </c>
      <c r="T33" s="2" t="s">
        <v>31</v>
      </c>
      <c r="U33" s="2" t="b">
        <v>0</v>
      </c>
      <c r="V33" s="2" t="s">
        <v>32</v>
      </c>
      <c r="W33" s="2" t="s">
        <v>151</v>
      </c>
      <c r="X33" s="2"/>
      <c r="Y33" s="2"/>
      <c r="Z33" s="2" t="s">
        <v>34</v>
      </c>
      <c r="AA33" s="2"/>
      <c r="AB33" s="2"/>
      <c r="AC33" s="2"/>
      <c r="AD33" s="2"/>
      <c r="AK33" s="8">
        <f>+IF(AE33&lt;&gt;"",AE33,F33)</f>
        <v>45896</v>
      </c>
    </row>
    <row r="34" spans="1:37" ht="15" customHeight="1">
      <c r="A34" s="2" t="s">
        <v>174</v>
      </c>
      <c r="B34" s="2">
        <v>2337</v>
      </c>
      <c r="C34" s="2"/>
      <c r="D34" s="2" t="s">
        <v>26</v>
      </c>
      <c r="E34" s="2" t="s">
        <v>27</v>
      </c>
      <c r="F34" s="3">
        <v>45896</v>
      </c>
      <c r="G34" s="3">
        <v>45896</v>
      </c>
      <c r="H34" s="3">
        <v>45896</v>
      </c>
      <c r="I34" s="2"/>
      <c r="J34" s="2"/>
      <c r="K34" s="2" t="s">
        <v>28</v>
      </c>
      <c r="L34" s="2" t="s">
        <v>29</v>
      </c>
      <c r="M34" s="2"/>
      <c r="N34" s="2" t="s">
        <v>30</v>
      </c>
      <c r="O34" s="2">
        <v>677.97</v>
      </c>
      <c r="P34" s="2">
        <v>122.03</v>
      </c>
      <c r="Q34" s="2">
        <v>800</v>
      </c>
      <c r="R34" s="2">
        <v>800</v>
      </c>
      <c r="S34" s="2">
        <v>800</v>
      </c>
      <c r="T34" s="2" t="s">
        <v>31</v>
      </c>
      <c r="U34" s="2" t="b">
        <v>0</v>
      </c>
      <c r="V34" s="2" t="s">
        <v>32</v>
      </c>
      <c r="W34" s="2" t="s">
        <v>33</v>
      </c>
      <c r="X34" s="2"/>
      <c r="Y34" s="2"/>
      <c r="Z34" s="2" t="s">
        <v>34</v>
      </c>
      <c r="AA34" s="2"/>
      <c r="AB34" s="2"/>
      <c r="AC34" s="2"/>
      <c r="AD34" s="2"/>
      <c r="AK34" s="8">
        <f>+IF(AE34&lt;&gt;"",AE34,F34)</f>
        <v>45896</v>
      </c>
    </row>
    <row r="35" spans="1:37" ht="15" customHeight="1">
      <c r="A35" s="2" t="s">
        <v>175</v>
      </c>
      <c r="B35" s="2">
        <v>2337</v>
      </c>
      <c r="C35" s="2"/>
      <c r="D35" s="2" t="s">
        <v>26</v>
      </c>
      <c r="E35" s="2" t="s">
        <v>27</v>
      </c>
      <c r="F35" s="3">
        <v>45896</v>
      </c>
      <c r="G35" s="3">
        <v>45896</v>
      </c>
      <c r="H35" s="3">
        <v>45896</v>
      </c>
      <c r="I35" s="2"/>
      <c r="J35" s="2"/>
      <c r="K35" s="2" t="s">
        <v>28</v>
      </c>
      <c r="L35" s="2" t="s">
        <v>29</v>
      </c>
      <c r="M35" s="2"/>
      <c r="N35" s="2" t="s">
        <v>30</v>
      </c>
      <c r="O35" s="2">
        <v>51.99</v>
      </c>
      <c r="P35" s="2">
        <v>9.36</v>
      </c>
      <c r="Q35" s="2">
        <v>61.35</v>
      </c>
      <c r="R35" s="2">
        <v>61.35</v>
      </c>
      <c r="S35" s="2">
        <v>61.35</v>
      </c>
      <c r="T35" s="2" t="s">
        <v>31</v>
      </c>
      <c r="U35" s="2" t="b">
        <v>0</v>
      </c>
      <c r="V35" s="2" t="s">
        <v>32</v>
      </c>
      <c r="W35" s="2" t="s">
        <v>33</v>
      </c>
      <c r="X35" s="2"/>
      <c r="Y35" s="2"/>
      <c r="Z35" s="2" t="s">
        <v>34</v>
      </c>
      <c r="AA35" s="2"/>
      <c r="AB35" s="2"/>
      <c r="AC35" s="2"/>
      <c r="AD35" s="2"/>
      <c r="AK35" s="8">
        <f>+IF(AE35&lt;&gt;"",AE35,F35)</f>
        <v>45896</v>
      </c>
    </row>
    <row r="36" spans="1:37" ht="15" customHeight="1">
      <c r="A36" s="2" t="s">
        <v>167</v>
      </c>
      <c r="B36" s="2">
        <v>2337</v>
      </c>
      <c r="C36" s="2"/>
      <c r="D36" s="2" t="s">
        <v>26</v>
      </c>
      <c r="E36" s="2" t="s">
        <v>27</v>
      </c>
      <c r="F36" s="3">
        <v>45898</v>
      </c>
      <c r="G36" s="3">
        <v>45898</v>
      </c>
      <c r="H36" s="3">
        <v>45898</v>
      </c>
      <c r="I36" s="2"/>
      <c r="J36" s="2"/>
      <c r="K36" s="2" t="s">
        <v>28</v>
      </c>
      <c r="L36" s="2" t="s">
        <v>29</v>
      </c>
      <c r="M36" s="2"/>
      <c r="N36" s="2" t="s">
        <v>30</v>
      </c>
      <c r="O36" s="2">
        <v>54.15</v>
      </c>
      <c r="P36" s="2">
        <v>9.75</v>
      </c>
      <c r="Q36" s="2">
        <v>63.9</v>
      </c>
      <c r="R36" s="2">
        <v>63.9</v>
      </c>
      <c r="S36" s="2">
        <v>63.9</v>
      </c>
      <c r="T36" s="2" t="s">
        <v>31</v>
      </c>
      <c r="U36" s="2" t="b">
        <v>0</v>
      </c>
      <c r="V36" s="2" t="s">
        <v>32</v>
      </c>
      <c r="W36" s="2" t="s">
        <v>33</v>
      </c>
      <c r="X36" s="2"/>
      <c r="Y36" s="2"/>
      <c r="Z36" s="2" t="s">
        <v>34</v>
      </c>
      <c r="AA36" s="2"/>
      <c r="AB36" s="2"/>
      <c r="AC36" s="2"/>
      <c r="AD36" s="2"/>
      <c r="AK36" s="8">
        <f>+IF(AE36&lt;&gt;"",AE36,F36)</f>
        <v>45898</v>
      </c>
    </row>
    <row r="37" spans="1:37" ht="15" customHeight="1">
      <c r="A37" s="2" t="s">
        <v>162</v>
      </c>
      <c r="B37" s="2">
        <v>1254</v>
      </c>
      <c r="C37" s="2"/>
      <c r="D37" s="2" t="s">
        <v>26</v>
      </c>
      <c r="E37" s="2" t="s">
        <v>35</v>
      </c>
      <c r="F37" s="3">
        <v>45902</v>
      </c>
      <c r="G37" s="3">
        <v>45902</v>
      </c>
      <c r="H37" s="3">
        <v>45902</v>
      </c>
      <c r="I37" s="2"/>
      <c r="J37" s="2"/>
      <c r="K37" s="2" t="s">
        <v>28</v>
      </c>
      <c r="L37" s="2" t="s">
        <v>29</v>
      </c>
      <c r="M37" s="2"/>
      <c r="N37" s="2" t="s">
        <v>30</v>
      </c>
      <c r="O37" s="2">
        <v>322</v>
      </c>
      <c r="P37" s="2">
        <v>57.96</v>
      </c>
      <c r="Q37" s="2">
        <v>379.96</v>
      </c>
      <c r="R37" s="2">
        <v>379.96</v>
      </c>
      <c r="S37" s="2">
        <v>379.96</v>
      </c>
      <c r="T37" s="2" t="s">
        <v>31</v>
      </c>
      <c r="U37" s="2" t="b">
        <v>0</v>
      </c>
      <c r="V37" s="2" t="s">
        <v>32</v>
      </c>
      <c r="W37" s="2" t="s">
        <v>33</v>
      </c>
      <c r="X37" s="2"/>
      <c r="Y37" s="2"/>
      <c r="Z37" s="2" t="s">
        <v>34</v>
      </c>
      <c r="AA37" s="2"/>
      <c r="AB37" s="2"/>
      <c r="AC37" s="2"/>
      <c r="AD37" s="2"/>
      <c r="AK37" s="8">
        <f>+IF(AE37&lt;&gt;"",AE37,F37)</f>
        <v>45902</v>
      </c>
    </row>
    <row r="38" spans="1:37" ht="15" customHeight="1">
      <c r="A38" s="2" t="s">
        <v>163</v>
      </c>
      <c r="B38" s="2">
        <v>1254</v>
      </c>
      <c r="C38" s="2"/>
      <c r="D38" s="2" t="s">
        <v>26</v>
      </c>
      <c r="E38" s="2" t="s">
        <v>35</v>
      </c>
      <c r="F38" s="3">
        <v>45902</v>
      </c>
      <c r="G38" s="3">
        <v>45902</v>
      </c>
      <c r="H38" s="3">
        <v>45902</v>
      </c>
      <c r="I38" s="2"/>
      <c r="J38" s="2"/>
      <c r="K38" s="2" t="s">
        <v>28</v>
      </c>
      <c r="L38" s="2" t="s">
        <v>29</v>
      </c>
      <c r="M38" s="2"/>
      <c r="N38" s="2" t="s">
        <v>30</v>
      </c>
      <c r="O38" s="2">
        <v>322</v>
      </c>
      <c r="P38" s="2">
        <v>57.96</v>
      </c>
      <c r="Q38" s="2">
        <v>379.96</v>
      </c>
      <c r="R38" s="2">
        <v>379.96</v>
      </c>
      <c r="S38" s="2">
        <v>379.96</v>
      </c>
      <c r="T38" s="2" t="s">
        <v>31</v>
      </c>
      <c r="U38" s="2" t="b">
        <v>0</v>
      </c>
      <c r="V38" s="2" t="s">
        <v>32</v>
      </c>
      <c r="W38" s="2" t="s">
        <v>33</v>
      </c>
      <c r="X38" s="2"/>
      <c r="Y38" s="2"/>
      <c r="Z38" s="2" t="s">
        <v>34</v>
      </c>
      <c r="AA38" s="2"/>
      <c r="AB38" s="2"/>
      <c r="AC38" s="2"/>
      <c r="AD38" s="2"/>
      <c r="AK38" s="8">
        <f>+IF(AE38&lt;&gt;"",AE38,F38)</f>
        <v>45902</v>
      </c>
    </row>
    <row r="39" spans="1:37" ht="15" customHeight="1">
      <c r="A39" s="2" t="s">
        <v>164</v>
      </c>
      <c r="B39" s="2">
        <v>1254</v>
      </c>
      <c r="C39" s="2"/>
      <c r="D39" s="2" t="s">
        <v>26</v>
      </c>
      <c r="E39" s="2" t="s">
        <v>35</v>
      </c>
      <c r="F39" s="3">
        <v>45902</v>
      </c>
      <c r="G39" s="3">
        <v>45902</v>
      </c>
      <c r="H39" s="3">
        <v>45902</v>
      </c>
      <c r="I39" s="2"/>
      <c r="J39" s="2"/>
      <c r="K39" s="2" t="s">
        <v>28</v>
      </c>
      <c r="L39" s="2" t="s">
        <v>29</v>
      </c>
      <c r="M39" s="2"/>
      <c r="N39" s="2" t="s">
        <v>30</v>
      </c>
      <c r="O39" s="2">
        <v>322</v>
      </c>
      <c r="P39" s="2">
        <v>57.96</v>
      </c>
      <c r="Q39" s="2">
        <v>379.96</v>
      </c>
      <c r="R39" s="2">
        <v>379.96</v>
      </c>
      <c r="S39" s="2">
        <v>379.96</v>
      </c>
      <c r="T39" s="2" t="s">
        <v>31</v>
      </c>
      <c r="U39" s="2" t="b">
        <v>0</v>
      </c>
      <c r="V39" s="2" t="s">
        <v>32</v>
      </c>
      <c r="W39" s="2" t="s">
        <v>33</v>
      </c>
      <c r="X39" s="2"/>
      <c r="Y39" s="2"/>
      <c r="Z39" s="2" t="s">
        <v>34</v>
      </c>
      <c r="AA39" s="2"/>
      <c r="AB39" s="2"/>
      <c r="AC39" s="2"/>
      <c r="AD39" s="2"/>
      <c r="AK39" s="8">
        <f>+IF(AE39&lt;&gt;"",AE39,F39)</f>
        <v>45902</v>
      </c>
    </row>
    <row r="40" spans="1:37" ht="15" customHeight="1">
      <c r="A40" s="2" t="s">
        <v>165</v>
      </c>
      <c r="B40" s="2">
        <v>1254</v>
      </c>
      <c r="C40" s="2"/>
      <c r="D40" s="2" t="s">
        <v>26</v>
      </c>
      <c r="E40" s="2" t="s">
        <v>35</v>
      </c>
      <c r="F40" s="3">
        <v>45902</v>
      </c>
      <c r="G40" s="3">
        <v>45902</v>
      </c>
      <c r="H40" s="3">
        <v>45902</v>
      </c>
      <c r="I40" s="2"/>
      <c r="J40" s="2"/>
      <c r="K40" s="2" t="s">
        <v>28</v>
      </c>
      <c r="L40" s="2" t="s">
        <v>29</v>
      </c>
      <c r="M40" s="2"/>
      <c r="N40" s="2" t="s">
        <v>30</v>
      </c>
      <c r="O40" s="2">
        <v>322</v>
      </c>
      <c r="P40" s="2">
        <v>57.96</v>
      </c>
      <c r="Q40" s="2">
        <v>379.96</v>
      </c>
      <c r="R40" s="2">
        <v>379.96</v>
      </c>
      <c r="S40" s="2">
        <v>379.96</v>
      </c>
      <c r="T40" s="2" t="s">
        <v>31</v>
      </c>
      <c r="U40" s="2" t="b">
        <v>0</v>
      </c>
      <c r="V40" s="2" t="s">
        <v>32</v>
      </c>
      <c r="W40" s="2" t="s">
        <v>33</v>
      </c>
      <c r="X40" s="2"/>
      <c r="Y40" s="2"/>
      <c r="Z40" s="2" t="s">
        <v>34</v>
      </c>
      <c r="AA40" s="2"/>
      <c r="AB40" s="2"/>
      <c r="AC40" s="2"/>
      <c r="AD40" s="2"/>
      <c r="AK40" s="8">
        <f>+IF(AE40&lt;&gt;"",AE40,F40)</f>
        <v>45902</v>
      </c>
    </row>
    <row r="41" spans="1:37" ht="15" customHeight="1">
      <c r="A41" s="2" t="s">
        <v>166</v>
      </c>
      <c r="B41" s="2">
        <v>2337</v>
      </c>
      <c r="C41" s="2"/>
      <c r="D41" s="2" t="s">
        <v>26</v>
      </c>
      <c r="E41" s="2" t="s">
        <v>27</v>
      </c>
      <c r="F41" s="3">
        <v>45902</v>
      </c>
      <c r="G41" s="3">
        <v>45902</v>
      </c>
      <c r="H41" s="3">
        <v>45902</v>
      </c>
      <c r="I41" s="2"/>
      <c r="J41" s="2"/>
      <c r="K41" s="2" t="s">
        <v>28</v>
      </c>
      <c r="L41" s="2" t="s">
        <v>29</v>
      </c>
      <c r="M41" s="2"/>
      <c r="N41" s="2" t="s">
        <v>30</v>
      </c>
      <c r="O41" s="2">
        <v>54.15</v>
      </c>
      <c r="P41" s="2">
        <v>9.75</v>
      </c>
      <c r="Q41" s="2">
        <v>63.9</v>
      </c>
      <c r="R41" s="2">
        <v>63.9</v>
      </c>
      <c r="S41" s="2">
        <v>63.9</v>
      </c>
      <c r="T41" s="2" t="s">
        <v>31</v>
      </c>
      <c r="U41" s="2" t="b">
        <v>0</v>
      </c>
      <c r="V41" s="2" t="s">
        <v>32</v>
      </c>
      <c r="W41" s="2" t="s">
        <v>33</v>
      </c>
      <c r="X41" s="2"/>
      <c r="Y41" s="2"/>
      <c r="Z41" s="2" t="s">
        <v>34</v>
      </c>
      <c r="AA41" s="2"/>
      <c r="AB41" s="2"/>
      <c r="AC41" s="2"/>
      <c r="AD41" s="2"/>
      <c r="AK41" s="8">
        <f>+IF(AE41&lt;&gt;"",AE41,F41)</f>
        <v>45902</v>
      </c>
    </row>
    <row r="42" spans="1:37" ht="15" customHeight="1">
      <c r="A42" s="2" t="s">
        <v>161</v>
      </c>
      <c r="B42" s="2">
        <v>1254</v>
      </c>
      <c r="C42" s="2"/>
      <c r="D42" s="2" t="s">
        <v>26</v>
      </c>
      <c r="E42" s="2" t="s">
        <v>35</v>
      </c>
      <c r="F42" s="3">
        <v>45903</v>
      </c>
      <c r="G42" s="3">
        <v>45903</v>
      </c>
      <c r="H42" s="3">
        <v>45903</v>
      </c>
      <c r="I42" s="2"/>
      <c r="J42" s="2"/>
      <c r="K42" s="2" t="s">
        <v>28</v>
      </c>
      <c r="L42" s="2" t="s">
        <v>29</v>
      </c>
      <c r="M42" s="2"/>
      <c r="N42" s="2" t="s">
        <v>30</v>
      </c>
      <c r="O42" s="2">
        <v>322</v>
      </c>
      <c r="P42" s="2">
        <v>57.96</v>
      </c>
      <c r="Q42" s="2">
        <v>379.96</v>
      </c>
      <c r="R42" s="2">
        <v>379.96</v>
      </c>
      <c r="S42" s="2">
        <v>379.96</v>
      </c>
      <c r="T42" s="2" t="s">
        <v>31</v>
      </c>
      <c r="U42" s="2" t="b">
        <v>0</v>
      </c>
      <c r="V42" s="2" t="s">
        <v>32</v>
      </c>
      <c r="W42" s="2" t="s">
        <v>33</v>
      </c>
      <c r="X42" s="2"/>
      <c r="Y42" s="2"/>
      <c r="Z42" s="2" t="s">
        <v>34</v>
      </c>
      <c r="AA42" s="2"/>
      <c r="AB42" s="2"/>
      <c r="AC42" s="2"/>
      <c r="AD42" s="2"/>
      <c r="AK42" s="8">
        <f>+IF(AE42&lt;&gt;"",AE42,F42)</f>
        <v>45903</v>
      </c>
    </row>
    <row r="43" spans="1:37" ht="15" customHeight="1">
      <c r="A43" s="2" t="s">
        <v>143</v>
      </c>
      <c r="B43" s="2">
        <v>2337</v>
      </c>
      <c r="C43" s="2"/>
      <c r="D43" s="2" t="s">
        <v>26</v>
      </c>
      <c r="E43" s="2" t="s">
        <v>27</v>
      </c>
      <c r="F43" s="3">
        <v>45908</v>
      </c>
      <c r="G43" s="3">
        <v>45908</v>
      </c>
      <c r="H43" s="3">
        <v>45908</v>
      </c>
      <c r="I43" s="2"/>
      <c r="J43" s="2"/>
      <c r="K43" s="2" t="s">
        <v>28</v>
      </c>
      <c r="L43" s="2" t="s">
        <v>29</v>
      </c>
      <c r="M43" s="2"/>
      <c r="N43" s="2" t="s">
        <v>30</v>
      </c>
      <c r="O43" s="2">
        <v>65.25</v>
      </c>
      <c r="P43" s="2">
        <v>11.75</v>
      </c>
      <c r="Q43" s="2">
        <v>77</v>
      </c>
      <c r="R43" s="2">
        <v>77</v>
      </c>
      <c r="S43" s="2">
        <v>77</v>
      </c>
      <c r="T43" s="2" t="s">
        <v>31</v>
      </c>
      <c r="U43" s="2" t="b">
        <v>0</v>
      </c>
      <c r="V43" s="2" t="s">
        <v>32</v>
      </c>
      <c r="W43" s="2" t="s">
        <v>33</v>
      </c>
      <c r="X43" s="2"/>
      <c r="Y43" s="2"/>
      <c r="Z43" s="2" t="s">
        <v>34</v>
      </c>
      <c r="AA43" s="2"/>
      <c r="AB43" s="2"/>
      <c r="AC43" s="2"/>
      <c r="AD43" s="2"/>
      <c r="AK43" s="8">
        <f>+IF(AE43&lt;&gt;"",AE43,F43)</f>
        <v>45908</v>
      </c>
    </row>
    <row r="44" spans="1:37" ht="15" customHeight="1">
      <c r="A44" s="2" t="s">
        <v>144</v>
      </c>
      <c r="B44" s="2">
        <v>2337</v>
      </c>
      <c r="C44" s="2"/>
      <c r="D44" s="2" t="s">
        <v>26</v>
      </c>
      <c r="E44" s="2" t="s">
        <v>27</v>
      </c>
      <c r="F44" s="3">
        <v>45908</v>
      </c>
      <c r="G44" s="3">
        <v>45908</v>
      </c>
      <c r="H44" s="3">
        <v>45908</v>
      </c>
      <c r="I44" s="2"/>
      <c r="J44" s="2"/>
      <c r="K44" s="2" t="s">
        <v>28</v>
      </c>
      <c r="L44" s="2" t="s">
        <v>29</v>
      </c>
      <c r="M44" s="2"/>
      <c r="N44" s="2" t="s">
        <v>30</v>
      </c>
      <c r="O44" s="2">
        <v>118.64</v>
      </c>
      <c r="P44" s="2">
        <v>21.36</v>
      </c>
      <c r="Q44" s="2">
        <v>140</v>
      </c>
      <c r="R44" s="2">
        <v>140</v>
      </c>
      <c r="S44" s="2">
        <v>140</v>
      </c>
      <c r="T44" s="2" t="s">
        <v>31</v>
      </c>
      <c r="U44" s="2" t="b">
        <v>0</v>
      </c>
      <c r="V44" s="2" t="s">
        <v>32</v>
      </c>
      <c r="W44" s="2" t="s">
        <v>33</v>
      </c>
      <c r="X44" s="2"/>
      <c r="Y44" s="2"/>
      <c r="Z44" s="2" t="s">
        <v>34</v>
      </c>
      <c r="AA44" s="2"/>
      <c r="AB44" s="2"/>
      <c r="AC44" s="2"/>
      <c r="AD44" s="2"/>
      <c r="AK44" s="8">
        <f>+IF(AE44&lt;&gt;"",AE44,F44)</f>
        <v>45908</v>
      </c>
    </row>
    <row r="45" spans="1:37" ht="15" customHeight="1">
      <c r="A45" s="2" t="s">
        <v>145</v>
      </c>
      <c r="B45" s="2">
        <v>2337</v>
      </c>
      <c r="C45" s="2"/>
      <c r="D45" s="2" t="s">
        <v>26</v>
      </c>
      <c r="E45" s="2" t="s">
        <v>27</v>
      </c>
      <c r="F45" s="3">
        <v>45908</v>
      </c>
      <c r="G45" s="3">
        <v>45908</v>
      </c>
      <c r="H45" s="3">
        <v>45908</v>
      </c>
      <c r="I45" s="2"/>
      <c r="J45" s="2"/>
      <c r="K45" s="2" t="s">
        <v>28</v>
      </c>
      <c r="L45" s="2" t="s">
        <v>29</v>
      </c>
      <c r="M45" s="2"/>
      <c r="N45" s="2" t="s">
        <v>30</v>
      </c>
      <c r="O45" s="2">
        <v>110.17</v>
      </c>
      <c r="P45" s="2">
        <v>19.829999999999998</v>
      </c>
      <c r="Q45" s="2">
        <v>130</v>
      </c>
      <c r="R45" s="2">
        <v>130</v>
      </c>
      <c r="S45" s="2">
        <v>130</v>
      </c>
      <c r="T45" s="2" t="s">
        <v>31</v>
      </c>
      <c r="U45" s="2" t="b">
        <v>0</v>
      </c>
      <c r="V45" s="2" t="s">
        <v>32</v>
      </c>
      <c r="W45" s="2" t="s">
        <v>33</v>
      </c>
      <c r="X45" s="2"/>
      <c r="Y45" s="2"/>
      <c r="Z45" s="2" t="s">
        <v>34</v>
      </c>
      <c r="AA45" s="2"/>
      <c r="AB45" s="2"/>
      <c r="AC45" s="2"/>
      <c r="AD45" s="2"/>
      <c r="AK45" s="8">
        <f>+IF(AE45&lt;&gt;"",AE45,F45)</f>
        <v>45908</v>
      </c>
    </row>
    <row r="46" spans="1:37" ht="15" customHeight="1">
      <c r="A46" s="2" t="s">
        <v>146</v>
      </c>
      <c r="B46" s="2">
        <v>2337</v>
      </c>
      <c r="C46" s="2"/>
      <c r="D46" s="2" t="s">
        <v>26</v>
      </c>
      <c r="E46" s="2" t="s">
        <v>27</v>
      </c>
      <c r="F46" s="3">
        <v>45908</v>
      </c>
      <c r="G46" s="3">
        <v>45908</v>
      </c>
      <c r="H46" s="3">
        <v>45908</v>
      </c>
      <c r="I46" s="2"/>
      <c r="J46" s="2"/>
      <c r="K46" s="2" t="s">
        <v>28</v>
      </c>
      <c r="L46" s="2" t="s">
        <v>29</v>
      </c>
      <c r="M46" s="2"/>
      <c r="N46" s="2" t="s">
        <v>30</v>
      </c>
      <c r="O46" s="2">
        <v>135.59</v>
      </c>
      <c r="P46" s="2">
        <v>24.41</v>
      </c>
      <c r="Q46" s="2">
        <v>160</v>
      </c>
      <c r="R46" s="2">
        <v>160</v>
      </c>
      <c r="S46" s="2">
        <v>160</v>
      </c>
      <c r="T46" s="2" t="s">
        <v>31</v>
      </c>
      <c r="U46" s="2" t="b">
        <v>0</v>
      </c>
      <c r="V46" s="2" t="s">
        <v>32</v>
      </c>
      <c r="W46" s="2" t="s">
        <v>33</v>
      </c>
      <c r="X46" s="2"/>
      <c r="Y46" s="2"/>
      <c r="Z46" s="2" t="s">
        <v>34</v>
      </c>
      <c r="AA46" s="2"/>
      <c r="AB46" s="2"/>
      <c r="AC46" s="2"/>
      <c r="AD46" s="2"/>
      <c r="AK46" s="8">
        <f>+IF(AE46&lt;&gt;"",AE46,F46)</f>
        <v>45908</v>
      </c>
    </row>
    <row r="47" spans="1:37" ht="15" customHeight="1">
      <c r="A47" s="2" t="s">
        <v>147</v>
      </c>
      <c r="B47" s="2">
        <v>2337</v>
      </c>
      <c r="C47" s="2"/>
      <c r="D47" s="2" t="s">
        <v>26</v>
      </c>
      <c r="E47" s="2" t="s">
        <v>27</v>
      </c>
      <c r="F47" s="3">
        <v>45908</v>
      </c>
      <c r="G47" s="3">
        <v>45908</v>
      </c>
      <c r="H47" s="3">
        <v>45908</v>
      </c>
      <c r="I47" s="2"/>
      <c r="J47" s="2"/>
      <c r="K47" s="2" t="s">
        <v>28</v>
      </c>
      <c r="L47" s="2" t="s">
        <v>29</v>
      </c>
      <c r="M47" s="2"/>
      <c r="N47" s="2" t="s">
        <v>30</v>
      </c>
      <c r="O47" s="2">
        <v>93.22</v>
      </c>
      <c r="P47" s="2">
        <v>16.78</v>
      </c>
      <c r="Q47" s="2">
        <v>110</v>
      </c>
      <c r="R47" s="2">
        <v>110</v>
      </c>
      <c r="S47" s="2">
        <v>110</v>
      </c>
      <c r="T47" s="2" t="s">
        <v>31</v>
      </c>
      <c r="U47" s="2" t="b">
        <v>0</v>
      </c>
      <c r="V47" s="2" t="s">
        <v>32</v>
      </c>
      <c r="W47" s="2" t="s">
        <v>33</v>
      </c>
      <c r="X47" s="2"/>
      <c r="Y47" s="2"/>
      <c r="Z47" s="2" t="s">
        <v>34</v>
      </c>
      <c r="AA47" s="2"/>
      <c r="AB47" s="2"/>
      <c r="AC47" s="2"/>
      <c r="AD47" s="2"/>
      <c r="AK47" s="8">
        <f>+IF(AE47&lt;&gt;"",AE47,F47)</f>
        <v>45908</v>
      </c>
    </row>
    <row r="48" spans="1:37" ht="15" customHeight="1">
      <c r="A48" s="2" t="s">
        <v>25</v>
      </c>
      <c r="B48" s="2">
        <v>2337</v>
      </c>
      <c r="C48" s="2"/>
      <c r="D48" s="2" t="s">
        <v>26</v>
      </c>
      <c r="E48" s="2" t="s">
        <v>27</v>
      </c>
      <c r="F48" s="3">
        <v>45908</v>
      </c>
      <c r="G48" s="3">
        <v>45908</v>
      </c>
      <c r="H48" s="3">
        <v>45908</v>
      </c>
      <c r="I48" s="2"/>
      <c r="J48" s="2"/>
      <c r="K48" s="2" t="s">
        <v>28</v>
      </c>
      <c r="L48" s="2" t="s">
        <v>29</v>
      </c>
      <c r="M48" s="2"/>
      <c r="N48" s="2" t="s">
        <v>30</v>
      </c>
      <c r="O48" s="2">
        <v>127.12</v>
      </c>
      <c r="P48" s="2">
        <v>22.88</v>
      </c>
      <c r="Q48" s="2">
        <v>150</v>
      </c>
      <c r="R48" s="2">
        <v>150</v>
      </c>
      <c r="S48" s="2">
        <v>150</v>
      </c>
      <c r="T48" s="2" t="s">
        <v>31</v>
      </c>
      <c r="U48" s="2" t="b">
        <v>0</v>
      </c>
      <c r="V48" s="2" t="s">
        <v>32</v>
      </c>
      <c r="W48" s="2" t="s">
        <v>33</v>
      </c>
      <c r="X48" s="2"/>
      <c r="Y48" s="2"/>
      <c r="Z48" s="2" t="s">
        <v>34</v>
      </c>
      <c r="AA48" s="2"/>
      <c r="AB48" s="2"/>
      <c r="AC48" s="2"/>
      <c r="AD48" s="2"/>
      <c r="AK48" s="8">
        <f>+IF(AE48&lt;&gt;"",AE48,F48)</f>
        <v>45908</v>
      </c>
    </row>
    <row r="49" spans="1:37" ht="15" customHeight="1">
      <c r="A49" s="2" t="s">
        <v>148</v>
      </c>
      <c r="B49" s="2">
        <v>2337</v>
      </c>
      <c r="C49" s="2"/>
      <c r="D49" s="2" t="s">
        <v>26</v>
      </c>
      <c r="E49" s="2" t="s">
        <v>27</v>
      </c>
      <c r="F49" s="3">
        <v>45908</v>
      </c>
      <c r="G49" s="3">
        <v>45908</v>
      </c>
      <c r="H49" s="3">
        <v>45908</v>
      </c>
      <c r="I49" s="2"/>
      <c r="J49" s="2"/>
      <c r="K49" s="2" t="s">
        <v>28</v>
      </c>
      <c r="L49" s="2" t="s">
        <v>29</v>
      </c>
      <c r="M49" s="2"/>
      <c r="N49" s="2" t="s">
        <v>30</v>
      </c>
      <c r="O49" s="2">
        <v>110.17</v>
      </c>
      <c r="P49" s="2">
        <v>19.829999999999998</v>
      </c>
      <c r="Q49" s="2">
        <v>130</v>
      </c>
      <c r="R49" s="2">
        <v>130</v>
      </c>
      <c r="S49" s="2">
        <v>130</v>
      </c>
      <c r="T49" s="2" t="s">
        <v>31</v>
      </c>
      <c r="U49" s="2" t="b">
        <v>0</v>
      </c>
      <c r="V49" s="2" t="s">
        <v>32</v>
      </c>
      <c r="W49" s="2" t="s">
        <v>33</v>
      </c>
      <c r="X49" s="2"/>
      <c r="Y49" s="2"/>
      <c r="Z49" s="2" t="s">
        <v>34</v>
      </c>
      <c r="AA49" s="2"/>
      <c r="AB49" s="2"/>
      <c r="AC49" s="2"/>
      <c r="AD49" s="2"/>
      <c r="AK49" s="8">
        <f>+IF(AE49&lt;&gt;"",AE49,F49)</f>
        <v>45908</v>
      </c>
    </row>
    <row r="50" spans="1:37" ht="15" customHeight="1">
      <c r="A50" s="2" t="s">
        <v>149</v>
      </c>
      <c r="B50" s="2">
        <v>2337</v>
      </c>
      <c r="C50" s="2"/>
      <c r="D50" s="2" t="s">
        <v>26</v>
      </c>
      <c r="E50" s="2" t="s">
        <v>27</v>
      </c>
      <c r="F50" s="3">
        <v>45908</v>
      </c>
      <c r="G50" s="3">
        <v>45908</v>
      </c>
      <c r="H50" s="3">
        <v>45908</v>
      </c>
      <c r="I50" s="2"/>
      <c r="J50" s="2"/>
      <c r="K50" s="2" t="s">
        <v>28</v>
      </c>
      <c r="L50" s="2" t="s">
        <v>29</v>
      </c>
      <c r="M50" s="2"/>
      <c r="N50" s="2" t="s">
        <v>30</v>
      </c>
      <c r="O50" s="2">
        <v>84.75</v>
      </c>
      <c r="P50" s="2">
        <v>15.26</v>
      </c>
      <c r="Q50" s="2">
        <v>100.01</v>
      </c>
      <c r="R50" s="2">
        <v>100.01</v>
      </c>
      <c r="S50" s="2">
        <v>100.01</v>
      </c>
      <c r="T50" s="2" t="s">
        <v>31</v>
      </c>
      <c r="U50" s="2" t="b">
        <v>0</v>
      </c>
      <c r="V50" s="2" t="s">
        <v>32</v>
      </c>
      <c r="W50" s="2" t="s">
        <v>33</v>
      </c>
      <c r="X50" s="2"/>
      <c r="Y50" s="2"/>
      <c r="Z50" s="2" t="s">
        <v>34</v>
      </c>
      <c r="AA50" s="2"/>
      <c r="AB50" s="2"/>
      <c r="AC50" s="2"/>
      <c r="AD50" s="2"/>
      <c r="AK50" s="8">
        <f>+IF(AE50&lt;&gt;"",AE50,F50)</f>
        <v>45908</v>
      </c>
    </row>
    <row r="51" spans="1:37" ht="15" customHeight="1">
      <c r="A51" s="2" t="s">
        <v>150</v>
      </c>
      <c r="B51" s="2">
        <v>2337</v>
      </c>
      <c r="C51" s="2"/>
      <c r="D51" s="2" t="s">
        <v>26</v>
      </c>
      <c r="E51" s="2" t="s">
        <v>27</v>
      </c>
      <c r="F51" s="3">
        <v>45908</v>
      </c>
      <c r="G51" s="3">
        <v>45908</v>
      </c>
      <c r="H51" s="3">
        <v>45908</v>
      </c>
      <c r="I51" s="2"/>
      <c r="J51" s="2"/>
      <c r="K51" s="2" t="s">
        <v>28</v>
      </c>
      <c r="L51" s="2" t="s">
        <v>29</v>
      </c>
      <c r="M51" s="2"/>
      <c r="N51" s="2" t="s">
        <v>30</v>
      </c>
      <c r="O51" s="2">
        <v>104.24</v>
      </c>
      <c r="P51" s="2">
        <v>18.760000000000002</v>
      </c>
      <c r="Q51" s="2">
        <v>123</v>
      </c>
      <c r="R51" s="2">
        <v>123</v>
      </c>
      <c r="S51" s="2">
        <v>123</v>
      </c>
      <c r="T51" s="2" t="s">
        <v>31</v>
      </c>
      <c r="U51" s="2" t="b">
        <v>0</v>
      </c>
      <c r="V51" s="2" t="s">
        <v>32</v>
      </c>
      <c r="W51" s="2" t="s">
        <v>151</v>
      </c>
      <c r="X51" s="2"/>
      <c r="Y51" s="2"/>
      <c r="Z51" s="2" t="s">
        <v>34</v>
      </c>
      <c r="AA51" s="2"/>
      <c r="AB51" s="2"/>
      <c r="AC51" s="2"/>
      <c r="AD51" s="2"/>
      <c r="AK51" s="8">
        <f>+IF(AE51&lt;&gt;"",AE51,F51)</f>
        <v>45908</v>
      </c>
    </row>
    <row r="52" spans="1:37" ht="15" customHeight="1">
      <c r="A52" s="2" t="s">
        <v>152</v>
      </c>
      <c r="B52" s="2">
        <v>2337</v>
      </c>
      <c r="C52" s="2"/>
      <c r="D52" s="2" t="s">
        <v>26</v>
      </c>
      <c r="E52" s="2" t="s">
        <v>27</v>
      </c>
      <c r="F52" s="3">
        <v>45908</v>
      </c>
      <c r="G52" s="3">
        <v>45908</v>
      </c>
      <c r="H52" s="3">
        <v>45908</v>
      </c>
      <c r="I52" s="2"/>
      <c r="J52" s="2"/>
      <c r="K52" s="2" t="s">
        <v>28</v>
      </c>
      <c r="L52" s="2" t="s">
        <v>29</v>
      </c>
      <c r="M52" s="2"/>
      <c r="N52" s="2" t="s">
        <v>30</v>
      </c>
      <c r="O52" s="2">
        <v>65.25</v>
      </c>
      <c r="P52" s="2">
        <v>11.75</v>
      </c>
      <c r="Q52" s="2">
        <v>77</v>
      </c>
      <c r="R52" s="2">
        <v>77</v>
      </c>
      <c r="S52" s="2">
        <v>77</v>
      </c>
      <c r="T52" s="2" t="s">
        <v>31</v>
      </c>
      <c r="U52" s="2" t="b">
        <v>0</v>
      </c>
      <c r="V52" s="2" t="s">
        <v>32</v>
      </c>
      <c r="W52" s="2" t="s">
        <v>33</v>
      </c>
      <c r="X52" s="2"/>
      <c r="Y52" s="2"/>
      <c r="Z52" s="2" t="s">
        <v>34</v>
      </c>
      <c r="AA52" s="2"/>
      <c r="AB52" s="2"/>
      <c r="AC52" s="2"/>
      <c r="AD52" s="2"/>
      <c r="AK52" s="8">
        <f>+IF(AE52&lt;&gt;"",AE52,F52)</f>
        <v>45908</v>
      </c>
    </row>
    <row r="53" spans="1:37" ht="15" customHeight="1">
      <c r="A53" s="2" t="s">
        <v>153</v>
      </c>
      <c r="B53" s="2">
        <v>2337</v>
      </c>
      <c r="C53" s="2"/>
      <c r="D53" s="2" t="s">
        <v>26</v>
      </c>
      <c r="E53" s="2" t="s">
        <v>27</v>
      </c>
      <c r="F53" s="3">
        <v>45908</v>
      </c>
      <c r="G53" s="3">
        <v>45908</v>
      </c>
      <c r="H53" s="3">
        <v>45908</v>
      </c>
      <c r="I53" s="2"/>
      <c r="J53" s="2"/>
      <c r="K53" s="2" t="s">
        <v>28</v>
      </c>
      <c r="L53" s="2" t="s">
        <v>29</v>
      </c>
      <c r="M53" s="2"/>
      <c r="N53" s="2" t="s">
        <v>30</v>
      </c>
      <c r="O53" s="2">
        <v>65.25</v>
      </c>
      <c r="P53" s="2">
        <v>11.75</v>
      </c>
      <c r="Q53" s="2">
        <v>77</v>
      </c>
      <c r="R53" s="2">
        <v>77</v>
      </c>
      <c r="S53" s="2">
        <v>77</v>
      </c>
      <c r="T53" s="2" t="s">
        <v>31</v>
      </c>
      <c r="U53" s="2" t="b">
        <v>0</v>
      </c>
      <c r="V53" s="2" t="s">
        <v>32</v>
      </c>
      <c r="W53" s="2" t="s">
        <v>33</v>
      </c>
      <c r="X53" s="2"/>
      <c r="Y53" s="2"/>
      <c r="Z53" s="2" t="s">
        <v>34</v>
      </c>
      <c r="AA53" s="2"/>
      <c r="AB53" s="2"/>
      <c r="AC53" s="2"/>
      <c r="AD53" s="2"/>
      <c r="AK53" s="8">
        <f>+IF(AE53&lt;&gt;"",AE53,F53)</f>
        <v>45908</v>
      </c>
    </row>
    <row r="54" spans="1:37" ht="15" customHeight="1">
      <c r="A54" s="2" t="s">
        <v>154</v>
      </c>
      <c r="B54" s="2">
        <v>2337</v>
      </c>
      <c r="C54" s="2"/>
      <c r="D54" s="2" t="s">
        <v>26</v>
      </c>
      <c r="E54" s="2" t="s">
        <v>27</v>
      </c>
      <c r="F54" s="3">
        <v>45908</v>
      </c>
      <c r="G54" s="3">
        <v>45908</v>
      </c>
      <c r="H54" s="3">
        <v>45908</v>
      </c>
      <c r="I54" s="2"/>
      <c r="J54" s="2"/>
      <c r="K54" s="2" t="s">
        <v>28</v>
      </c>
      <c r="L54" s="2" t="s">
        <v>29</v>
      </c>
      <c r="M54" s="2"/>
      <c r="N54" s="2" t="s">
        <v>30</v>
      </c>
      <c r="O54" s="2">
        <v>65.25</v>
      </c>
      <c r="P54" s="2">
        <v>11.75</v>
      </c>
      <c r="Q54" s="2">
        <v>77</v>
      </c>
      <c r="R54" s="2">
        <v>77</v>
      </c>
      <c r="S54" s="2">
        <v>77</v>
      </c>
      <c r="T54" s="2" t="s">
        <v>31</v>
      </c>
      <c r="U54" s="2" t="b">
        <v>0</v>
      </c>
      <c r="V54" s="2" t="s">
        <v>32</v>
      </c>
      <c r="W54" s="2" t="s">
        <v>33</v>
      </c>
      <c r="X54" s="2"/>
      <c r="Y54" s="2"/>
      <c r="Z54" s="2" t="s">
        <v>34</v>
      </c>
      <c r="AA54" s="2"/>
      <c r="AB54" s="2"/>
      <c r="AC54" s="2"/>
      <c r="AD54" s="2"/>
      <c r="AK54" s="8">
        <f>+IF(AE54&lt;&gt;"",AE54,F54)</f>
        <v>45908</v>
      </c>
    </row>
    <row r="55" spans="1:37" ht="15" customHeight="1">
      <c r="A55" s="2" t="s">
        <v>155</v>
      </c>
      <c r="B55" s="2">
        <v>2337</v>
      </c>
      <c r="C55" s="2"/>
      <c r="D55" s="2" t="s">
        <v>26</v>
      </c>
      <c r="E55" s="2" t="s">
        <v>27</v>
      </c>
      <c r="F55" s="3">
        <v>45908</v>
      </c>
      <c r="G55" s="3">
        <v>45908</v>
      </c>
      <c r="H55" s="3">
        <v>45908</v>
      </c>
      <c r="I55" s="2"/>
      <c r="J55" s="2"/>
      <c r="K55" s="2" t="s">
        <v>28</v>
      </c>
      <c r="L55" s="2" t="s">
        <v>29</v>
      </c>
      <c r="M55" s="2"/>
      <c r="N55" s="2" t="s">
        <v>30</v>
      </c>
      <c r="O55" s="2">
        <v>65.25</v>
      </c>
      <c r="P55" s="2">
        <v>11.75</v>
      </c>
      <c r="Q55" s="2">
        <v>77</v>
      </c>
      <c r="R55" s="2">
        <v>77</v>
      </c>
      <c r="S55" s="2">
        <v>77</v>
      </c>
      <c r="T55" s="2" t="s">
        <v>31</v>
      </c>
      <c r="U55" s="2" t="b">
        <v>0</v>
      </c>
      <c r="V55" s="2" t="s">
        <v>32</v>
      </c>
      <c r="W55" s="2" t="s">
        <v>33</v>
      </c>
      <c r="X55" s="2"/>
      <c r="Y55" s="2"/>
      <c r="Z55" s="2" t="s">
        <v>34</v>
      </c>
      <c r="AA55" s="2"/>
      <c r="AB55" s="2"/>
      <c r="AC55" s="2"/>
      <c r="AD55" s="2"/>
      <c r="AK55" s="8">
        <f>+IF(AE55&lt;&gt;"",AE55,F55)</f>
        <v>45908</v>
      </c>
    </row>
    <row r="56" spans="1:37" ht="15" customHeight="1">
      <c r="A56" s="2" t="s">
        <v>156</v>
      </c>
      <c r="B56" s="2">
        <v>2337</v>
      </c>
      <c r="C56" s="2"/>
      <c r="D56" s="2" t="s">
        <v>26</v>
      </c>
      <c r="E56" s="2" t="s">
        <v>27</v>
      </c>
      <c r="F56" s="3">
        <v>45908</v>
      </c>
      <c r="G56" s="3">
        <v>45908</v>
      </c>
      <c r="H56" s="3">
        <v>45908</v>
      </c>
      <c r="I56" s="2"/>
      <c r="J56" s="2"/>
      <c r="K56" s="2" t="s">
        <v>28</v>
      </c>
      <c r="L56" s="2" t="s">
        <v>29</v>
      </c>
      <c r="M56" s="2"/>
      <c r="N56" s="2" t="s">
        <v>30</v>
      </c>
      <c r="O56" s="2">
        <v>65.25</v>
      </c>
      <c r="P56" s="2">
        <v>11.75</v>
      </c>
      <c r="Q56" s="2">
        <v>77</v>
      </c>
      <c r="R56" s="2">
        <v>77</v>
      </c>
      <c r="S56" s="2">
        <v>77</v>
      </c>
      <c r="T56" s="2" t="s">
        <v>31</v>
      </c>
      <c r="U56" s="2" t="b">
        <v>0</v>
      </c>
      <c r="V56" s="2" t="s">
        <v>32</v>
      </c>
      <c r="W56" s="2" t="s">
        <v>33</v>
      </c>
      <c r="X56" s="2"/>
      <c r="Y56" s="2"/>
      <c r="Z56" s="2" t="s">
        <v>34</v>
      </c>
      <c r="AA56" s="2"/>
      <c r="AB56" s="2"/>
      <c r="AC56" s="2"/>
      <c r="AD56" s="2"/>
      <c r="AK56" s="8">
        <f>+IF(AE56&lt;&gt;"",AE56,F56)</f>
        <v>45908</v>
      </c>
    </row>
    <row r="57" spans="1:37" ht="15" customHeight="1">
      <c r="A57" s="2" t="s">
        <v>157</v>
      </c>
      <c r="B57" s="2">
        <v>1254</v>
      </c>
      <c r="C57" s="2"/>
      <c r="D57" s="2" t="s">
        <v>26</v>
      </c>
      <c r="E57" s="2" t="s">
        <v>35</v>
      </c>
      <c r="F57" s="3">
        <v>45908</v>
      </c>
      <c r="G57" s="3">
        <v>45908</v>
      </c>
      <c r="H57" s="3">
        <v>45908</v>
      </c>
      <c r="I57" s="2"/>
      <c r="J57" s="2"/>
      <c r="K57" s="2" t="s">
        <v>28</v>
      </c>
      <c r="L57" s="2" t="s">
        <v>29</v>
      </c>
      <c r="M57" s="2"/>
      <c r="N57" s="2" t="s">
        <v>30</v>
      </c>
      <c r="O57" s="2">
        <v>322</v>
      </c>
      <c r="P57" s="2">
        <v>57.96</v>
      </c>
      <c r="Q57" s="2">
        <v>379.96</v>
      </c>
      <c r="R57" s="2">
        <v>379.96</v>
      </c>
      <c r="S57" s="2">
        <v>379.96</v>
      </c>
      <c r="T57" s="2" t="s">
        <v>31</v>
      </c>
      <c r="U57" s="2" t="b">
        <v>0</v>
      </c>
      <c r="V57" s="2" t="s">
        <v>32</v>
      </c>
      <c r="W57" s="2" t="s">
        <v>33</v>
      </c>
      <c r="X57" s="2"/>
      <c r="Y57" s="2"/>
      <c r="Z57" s="2" t="s">
        <v>34</v>
      </c>
      <c r="AA57" s="2"/>
      <c r="AB57" s="2"/>
      <c r="AC57" s="2"/>
      <c r="AD57" s="2"/>
      <c r="AK57" s="8">
        <f>+IF(AE57&lt;&gt;"",AE57,F57)</f>
        <v>45908</v>
      </c>
    </row>
    <row r="58" spans="1:37" ht="15" customHeight="1">
      <c r="A58" s="2" t="s">
        <v>158</v>
      </c>
      <c r="B58" s="2">
        <v>1254</v>
      </c>
      <c r="C58" s="2"/>
      <c r="D58" s="2" t="s">
        <v>26</v>
      </c>
      <c r="E58" s="2" t="s">
        <v>35</v>
      </c>
      <c r="F58" s="3">
        <v>45908</v>
      </c>
      <c r="G58" s="3">
        <v>45908</v>
      </c>
      <c r="H58" s="3">
        <v>45908</v>
      </c>
      <c r="I58" s="2"/>
      <c r="J58" s="2"/>
      <c r="K58" s="2" t="s">
        <v>28</v>
      </c>
      <c r="L58" s="2" t="s">
        <v>29</v>
      </c>
      <c r="M58" s="2"/>
      <c r="N58" s="2" t="s">
        <v>30</v>
      </c>
      <c r="O58" s="2">
        <v>322</v>
      </c>
      <c r="P58" s="2">
        <v>57.96</v>
      </c>
      <c r="Q58" s="2">
        <v>379.96</v>
      </c>
      <c r="R58" s="2">
        <v>379.96</v>
      </c>
      <c r="S58" s="2">
        <v>379.96</v>
      </c>
      <c r="T58" s="2" t="s">
        <v>31</v>
      </c>
      <c r="U58" s="2" t="b">
        <v>0</v>
      </c>
      <c r="V58" s="2" t="s">
        <v>32</v>
      </c>
      <c r="W58" s="2" t="s">
        <v>33</v>
      </c>
      <c r="X58" s="2"/>
      <c r="Y58" s="2"/>
      <c r="Z58" s="2" t="s">
        <v>34</v>
      </c>
      <c r="AA58" s="2"/>
      <c r="AB58" s="2"/>
      <c r="AC58" s="2"/>
      <c r="AD58" s="2"/>
      <c r="AK58" s="8">
        <f>+IF(AE58&lt;&gt;"",AE58,F58)</f>
        <v>45908</v>
      </c>
    </row>
    <row r="59" spans="1:37" ht="15" customHeight="1">
      <c r="A59" s="2" t="s">
        <v>159</v>
      </c>
      <c r="B59" s="2">
        <v>2337</v>
      </c>
      <c r="C59" s="2"/>
      <c r="D59" s="2" t="s">
        <v>26</v>
      </c>
      <c r="E59" s="2" t="s">
        <v>27</v>
      </c>
      <c r="F59" s="3">
        <v>45908</v>
      </c>
      <c r="G59" s="3">
        <v>45908</v>
      </c>
      <c r="H59" s="3">
        <v>45908</v>
      </c>
      <c r="I59" s="2"/>
      <c r="J59" s="2"/>
      <c r="K59" s="2" t="s">
        <v>28</v>
      </c>
      <c r="L59" s="2" t="s">
        <v>29</v>
      </c>
      <c r="M59" s="2"/>
      <c r="N59" s="2" t="s">
        <v>30</v>
      </c>
      <c r="O59" s="2">
        <v>76.27</v>
      </c>
      <c r="P59" s="2">
        <v>13.73</v>
      </c>
      <c r="Q59" s="2">
        <v>90</v>
      </c>
      <c r="R59" s="2">
        <v>90</v>
      </c>
      <c r="S59" s="2">
        <v>90</v>
      </c>
      <c r="T59" s="2" t="s">
        <v>31</v>
      </c>
      <c r="U59" s="2" t="b">
        <v>0</v>
      </c>
      <c r="V59" s="2" t="s">
        <v>32</v>
      </c>
      <c r="W59" s="2" t="s">
        <v>33</v>
      </c>
      <c r="X59" s="2"/>
      <c r="Y59" s="2"/>
      <c r="Z59" s="2" t="s">
        <v>34</v>
      </c>
      <c r="AA59" s="2"/>
      <c r="AB59" s="2"/>
      <c r="AC59" s="2"/>
      <c r="AD59" s="2"/>
      <c r="AK59" s="8">
        <f>+IF(AE59&lt;&gt;"",AE59,F59)</f>
        <v>45908</v>
      </c>
    </row>
    <row r="60" spans="1:37" ht="15" customHeight="1">
      <c r="A60" s="2" t="s">
        <v>160</v>
      </c>
      <c r="B60" s="2">
        <v>2337</v>
      </c>
      <c r="C60" s="2"/>
      <c r="D60" s="2" t="s">
        <v>26</v>
      </c>
      <c r="E60" s="2" t="s">
        <v>27</v>
      </c>
      <c r="F60" s="3">
        <v>45908</v>
      </c>
      <c r="G60" s="3">
        <v>45908</v>
      </c>
      <c r="H60" s="3">
        <v>45908</v>
      </c>
      <c r="I60" s="2"/>
      <c r="J60" s="2"/>
      <c r="K60" s="2" t="s">
        <v>28</v>
      </c>
      <c r="L60" s="2" t="s">
        <v>29</v>
      </c>
      <c r="M60" s="2"/>
      <c r="N60" s="2" t="s">
        <v>30</v>
      </c>
      <c r="O60" s="2">
        <v>78.81</v>
      </c>
      <c r="P60" s="2">
        <v>14.19</v>
      </c>
      <c r="Q60" s="2">
        <v>93</v>
      </c>
      <c r="R60" s="2">
        <v>93</v>
      </c>
      <c r="S60" s="2">
        <v>93</v>
      </c>
      <c r="T60" s="2" t="s">
        <v>31</v>
      </c>
      <c r="U60" s="2" t="b">
        <v>0</v>
      </c>
      <c r="V60" s="2" t="s">
        <v>32</v>
      </c>
      <c r="W60" s="2" t="s">
        <v>33</v>
      </c>
      <c r="X60" s="2"/>
      <c r="Y60" s="2"/>
      <c r="Z60" s="2" t="s">
        <v>34</v>
      </c>
      <c r="AA60" s="2"/>
      <c r="AB60" s="2"/>
      <c r="AC60" s="2"/>
      <c r="AD60" s="2"/>
      <c r="AK60" s="8">
        <f>+IF(AE60&lt;&gt;"",AE60,F60)</f>
        <v>45908</v>
      </c>
    </row>
    <row r="61" spans="1:37" ht="15" customHeight="1">
      <c r="A61" s="2" t="s">
        <v>142</v>
      </c>
      <c r="B61" s="2">
        <v>2337</v>
      </c>
      <c r="C61" s="2"/>
      <c r="D61" s="2" t="s">
        <v>26</v>
      </c>
      <c r="E61" s="2" t="s">
        <v>27</v>
      </c>
      <c r="F61" s="3">
        <v>45912</v>
      </c>
      <c r="G61" s="3">
        <v>45912</v>
      </c>
      <c r="H61" s="3">
        <v>45912</v>
      </c>
      <c r="I61" s="2"/>
      <c r="J61" s="2"/>
      <c r="K61" s="2" t="s">
        <v>28</v>
      </c>
      <c r="L61" s="2" t="s">
        <v>29</v>
      </c>
      <c r="M61" s="2"/>
      <c r="N61" s="2" t="s">
        <v>30</v>
      </c>
      <c r="O61" s="2">
        <v>33.9</v>
      </c>
      <c r="P61" s="2">
        <v>6.1</v>
      </c>
      <c r="Q61" s="2">
        <v>40</v>
      </c>
      <c r="R61" s="2">
        <v>40</v>
      </c>
      <c r="S61" s="2">
        <v>40</v>
      </c>
      <c r="T61" s="2" t="s">
        <v>31</v>
      </c>
      <c r="U61" s="2" t="b">
        <v>0</v>
      </c>
      <c r="V61" s="2" t="s">
        <v>32</v>
      </c>
      <c r="W61" s="2" t="s">
        <v>33</v>
      </c>
      <c r="X61" s="2"/>
      <c r="Y61" s="2"/>
      <c r="Z61" s="2" t="s">
        <v>34</v>
      </c>
      <c r="AA61" s="2"/>
      <c r="AB61" s="2"/>
      <c r="AC61" s="2"/>
      <c r="AD61" s="2"/>
      <c r="AK61" s="8">
        <f>+IF(AE61&lt;&gt;"",AE61,F61)</f>
        <v>45912</v>
      </c>
    </row>
    <row r="62" spans="1:37" ht="15" customHeight="1">
      <c r="A62" s="2" t="s">
        <v>140</v>
      </c>
      <c r="B62" s="2">
        <v>2</v>
      </c>
      <c r="C62" s="2" t="s">
        <v>115</v>
      </c>
      <c r="D62" s="2" t="s">
        <v>26</v>
      </c>
      <c r="E62" s="2" t="s">
        <v>37</v>
      </c>
      <c r="F62" s="3">
        <v>45916</v>
      </c>
      <c r="G62" s="3">
        <v>45916</v>
      </c>
      <c r="H62" s="3">
        <v>45916</v>
      </c>
      <c r="I62" s="2" t="s">
        <v>141</v>
      </c>
      <c r="J62" s="2"/>
      <c r="K62" s="2" t="s">
        <v>28</v>
      </c>
      <c r="L62" s="2" t="s">
        <v>29</v>
      </c>
      <c r="M62" s="2"/>
      <c r="N62" s="2" t="s">
        <v>30</v>
      </c>
      <c r="O62" s="2"/>
      <c r="P62" s="2"/>
      <c r="Q62" s="2"/>
      <c r="R62" s="2"/>
      <c r="S62" s="2"/>
      <c r="T62" s="2" t="s">
        <v>31</v>
      </c>
      <c r="U62" s="2" t="b">
        <v>0</v>
      </c>
      <c r="V62" s="2" t="s">
        <v>123</v>
      </c>
      <c r="W62" s="2" t="s">
        <v>33</v>
      </c>
      <c r="X62" s="2"/>
      <c r="Y62" s="2"/>
      <c r="Z62" s="2" t="s">
        <v>34</v>
      </c>
      <c r="AA62" s="2"/>
      <c r="AB62" s="2"/>
      <c r="AC62" s="2"/>
      <c r="AD62" s="2"/>
      <c r="AK62" s="8">
        <f>+IF(AE62&lt;&gt;"",AE62,F62)</f>
        <v>45916</v>
      </c>
    </row>
    <row r="63" spans="1:37" ht="15" customHeight="1">
      <c r="A63" s="2" t="s">
        <v>124</v>
      </c>
      <c r="B63" s="2">
        <v>2544</v>
      </c>
      <c r="C63" s="2"/>
      <c r="D63" s="2" t="s">
        <v>26</v>
      </c>
      <c r="E63" s="2" t="s">
        <v>38</v>
      </c>
      <c r="F63" s="3">
        <v>45917</v>
      </c>
      <c r="G63" s="3">
        <v>45917</v>
      </c>
      <c r="H63" s="3">
        <v>45917</v>
      </c>
      <c r="I63" s="2"/>
      <c r="J63" s="2"/>
      <c r="K63" s="2" t="s">
        <v>28</v>
      </c>
      <c r="L63" s="2" t="s">
        <v>29</v>
      </c>
      <c r="M63" s="2"/>
      <c r="N63" s="2" t="s">
        <v>30</v>
      </c>
      <c r="O63" s="2">
        <v>47.46</v>
      </c>
      <c r="P63" s="2">
        <v>8.5399999999999991</v>
      </c>
      <c r="Q63" s="2">
        <v>56</v>
      </c>
      <c r="R63" s="2">
        <v>56</v>
      </c>
      <c r="S63" s="2">
        <v>56</v>
      </c>
      <c r="T63" s="2" t="s">
        <v>31</v>
      </c>
      <c r="U63" s="2" t="b">
        <v>0</v>
      </c>
      <c r="V63" s="2" t="s">
        <v>32</v>
      </c>
      <c r="W63" s="2" t="s">
        <v>33</v>
      </c>
      <c r="X63" s="2"/>
      <c r="Y63" s="2"/>
      <c r="Z63" s="2" t="s">
        <v>34</v>
      </c>
      <c r="AA63" s="2"/>
      <c r="AB63" s="2"/>
      <c r="AC63" s="2"/>
      <c r="AD63" s="2"/>
      <c r="AK63" s="8">
        <f>+IF(AE63&lt;&gt;"",AE63,F63)</f>
        <v>45917</v>
      </c>
    </row>
    <row r="64" spans="1:37" ht="15" customHeight="1">
      <c r="A64" s="2" t="s">
        <v>125</v>
      </c>
      <c r="B64" s="2">
        <v>2544</v>
      </c>
      <c r="C64" s="2"/>
      <c r="D64" s="2" t="s">
        <v>26</v>
      </c>
      <c r="E64" s="2" t="s">
        <v>38</v>
      </c>
      <c r="F64" s="3">
        <v>45917</v>
      </c>
      <c r="G64" s="3">
        <v>45917</v>
      </c>
      <c r="H64" s="3">
        <v>45917</v>
      </c>
      <c r="I64" s="2"/>
      <c r="J64" s="2"/>
      <c r="K64" s="2" t="s">
        <v>28</v>
      </c>
      <c r="L64" s="2" t="s">
        <v>29</v>
      </c>
      <c r="M64" s="2"/>
      <c r="N64" s="2" t="s">
        <v>30</v>
      </c>
      <c r="O64" s="2">
        <v>67.8</v>
      </c>
      <c r="P64" s="2">
        <v>12.2</v>
      </c>
      <c r="Q64" s="2">
        <v>80</v>
      </c>
      <c r="R64" s="2">
        <v>80</v>
      </c>
      <c r="S64" s="2">
        <v>80</v>
      </c>
      <c r="T64" s="2" t="s">
        <v>31</v>
      </c>
      <c r="U64" s="2" t="b">
        <v>0</v>
      </c>
      <c r="V64" s="2" t="s">
        <v>32</v>
      </c>
      <c r="W64" s="2" t="s">
        <v>33</v>
      </c>
      <c r="X64" s="2"/>
      <c r="Y64" s="2"/>
      <c r="Z64" s="2" t="s">
        <v>34</v>
      </c>
      <c r="AA64" s="2"/>
      <c r="AB64" s="2"/>
      <c r="AC64" s="2"/>
      <c r="AD64" s="2"/>
      <c r="AK64" s="8">
        <f>+IF(AE64&lt;&gt;"",AE64,F64)</f>
        <v>45917</v>
      </c>
    </row>
    <row r="65" spans="1:37" ht="15" customHeight="1">
      <c r="A65" s="2" t="s">
        <v>126</v>
      </c>
      <c r="B65" s="2">
        <v>2544</v>
      </c>
      <c r="C65" s="2"/>
      <c r="D65" s="2" t="s">
        <v>26</v>
      </c>
      <c r="E65" s="2" t="s">
        <v>38</v>
      </c>
      <c r="F65" s="3">
        <v>45917</v>
      </c>
      <c r="G65" s="3">
        <v>45917</v>
      </c>
      <c r="H65" s="3">
        <v>45917</v>
      </c>
      <c r="I65" s="2"/>
      <c r="J65" s="2"/>
      <c r="K65" s="2" t="s">
        <v>28</v>
      </c>
      <c r="L65" s="2" t="s">
        <v>29</v>
      </c>
      <c r="M65" s="2"/>
      <c r="N65" s="2" t="s">
        <v>30</v>
      </c>
      <c r="O65" s="2">
        <v>55.93</v>
      </c>
      <c r="P65" s="2">
        <v>10.07</v>
      </c>
      <c r="Q65" s="2">
        <v>66</v>
      </c>
      <c r="R65" s="2">
        <v>66</v>
      </c>
      <c r="S65" s="2">
        <v>66</v>
      </c>
      <c r="T65" s="2" t="s">
        <v>31</v>
      </c>
      <c r="U65" s="2" t="b">
        <v>0</v>
      </c>
      <c r="V65" s="2" t="s">
        <v>32</v>
      </c>
      <c r="W65" s="2" t="s">
        <v>33</v>
      </c>
      <c r="X65" s="2"/>
      <c r="Y65" s="2"/>
      <c r="Z65" s="2" t="s">
        <v>34</v>
      </c>
      <c r="AA65" s="2"/>
      <c r="AB65" s="2"/>
      <c r="AC65" s="2"/>
      <c r="AD65" s="2"/>
      <c r="AK65" s="8">
        <f>+IF(AE65&lt;&gt;"",AE65,F65)</f>
        <v>45917</v>
      </c>
    </row>
    <row r="66" spans="1:37" ht="15" customHeight="1">
      <c r="A66" s="2" t="s">
        <v>127</v>
      </c>
      <c r="B66" s="2">
        <v>2544</v>
      </c>
      <c r="C66" s="2"/>
      <c r="D66" s="2" t="s">
        <v>26</v>
      </c>
      <c r="E66" s="2" t="s">
        <v>38</v>
      </c>
      <c r="F66" s="3">
        <v>45917</v>
      </c>
      <c r="G66" s="3">
        <v>45917</v>
      </c>
      <c r="H66" s="3">
        <v>45917</v>
      </c>
      <c r="I66" s="2"/>
      <c r="J66" s="2"/>
      <c r="K66" s="2" t="s">
        <v>28</v>
      </c>
      <c r="L66" s="2" t="s">
        <v>29</v>
      </c>
      <c r="M66" s="2"/>
      <c r="N66" s="2" t="s">
        <v>30</v>
      </c>
      <c r="O66" s="2">
        <v>76.27</v>
      </c>
      <c r="P66" s="2">
        <v>13.73</v>
      </c>
      <c r="Q66" s="2">
        <v>90</v>
      </c>
      <c r="R66" s="2">
        <v>90</v>
      </c>
      <c r="S66" s="2">
        <v>90</v>
      </c>
      <c r="T66" s="2" t="s">
        <v>31</v>
      </c>
      <c r="U66" s="2" t="b">
        <v>0</v>
      </c>
      <c r="V66" s="2" t="s">
        <v>32</v>
      </c>
      <c r="W66" s="2" t="s">
        <v>33</v>
      </c>
      <c r="X66" s="2"/>
      <c r="Y66" s="2"/>
      <c r="Z66" s="2" t="s">
        <v>34</v>
      </c>
      <c r="AA66" s="2"/>
      <c r="AB66" s="2"/>
      <c r="AC66" s="2"/>
      <c r="AD66" s="2"/>
      <c r="AK66" s="8">
        <f>+IF(AE66&lt;&gt;"",AE66,F66)</f>
        <v>45917</v>
      </c>
    </row>
    <row r="67" spans="1:37" ht="15" customHeight="1">
      <c r="A67" s="2" t="s">
        <v>128</v>
      </c>
      <c r="B67" s="2">
        <v>2544</v>
      </c>
      <c r="C67" s="2"/>
      <c r="D67" s="2" t="s">
        <v>26</v>
      </c>
      <c r="E67" s="2" t="s">
        <v>38</v>
      </c>
      <c r="F67" s="3">
        <v>45917</v>
      </c>
      <c r="G67" s="3">
        <v>45917</v>
      </c>
      <c r="H67" s="3">
        <v>45917</v>
      </c>
      <c r="I67" s="2"/>
      <c r="J67" s="2"/>
      <c r="K67" s="2" t="s">
        <v>28</v>
      </c>
      <c r="L67" s="2" t="s">
        <v>29</v>
      </c>
      <c r="M67" s="2"/>
      <c r="N67" s="2" t="s">
        <v>30</v>
      </c>
      <c r="O67" s="2">
        <v>67.8</v>
      </c>
      <c r="P67" s="2">
        <v>12.2</v>
      </c>
      <c r="Q67" s="2">
        <v>80</v>
      </c>
      <c r="R67" s="2">
        <v>80</v>
      </c>
      <c r="S67" s="2">
        <v>80</v>
      </c>
      <c r="T67" s="2" t="s">
        <v>31</v>
      </c>
      <c r="U67" s="2" t="b">
        <v>0</v>
      </c>
      <c r="V67" s="2" t="s">
        <v>32</v>
      </c>
      <c r="W67" s="2" t="s">
        <v>33</v>
      </c>
      <c r="X67" s="2"/>
      <c r="Y67" s="2"/>
      <c r="Z67" s="2" t="s">
        <v>34</v>
      </c>
      <c r="AA67" s="2"/>
      <c r="AB67" s="2"/>
      <c r="AC67" s="2"/>
      <c r="AD67" s="2"/>
      <c r="AK67" s="8">
        <f>+IF(AE67&lt;&gt;"",AE67,F67)</f>
        <v>45917</v>
      </c>
    </row>
    <row r="68" spans="1:37" ht="15" customHeight="1">
      <c r="A68" s="2" t="s">
        <v>129</v>
      </c>
      <c r="B68" s="2">
        <v>2544</v>
      </c>
      <c r="C68" s="2"/>
      <c r="D68" s="2" t="s">
        <v>26</v>
      </c>
      <c r="E68" s="2" t="s">
        <v>38</v>
      </c>
      <c r="F68" s="3">
        <v>45917</v>
      </c>
      <c r="G68" s="3">
        <v>45917</v>
      </c>
      <c r="H68" s="3">
        <v>45917</v>
      </c>
      <c r="I68" s="2"/>
      <c r="J68" s="2"/>
      <c r="K68" s="2" t="s">
        <v>28</v>
      </c>
      <c r="L68" s="2" t="s">
        <v>29</v>
      </c>
      <c r="M68" s="2"/>
      <c r="N68" s="2" t="s">
        <v>30</v>
      </c>
      <c r="O68" s="2">
        <v>50.85</v>
      </c>
      <c r="P68" s="2">
        <v>9.15</v>
      </c>
      <c r="Q68" s="2">
        <v>60</v>
      </c>
      <c r="R68" s="2">
        <v>60</v>
      </c>
      <c r="S68" s="2">
        <v>60</v>
      </c>
      <c r="T68" s="2" t="s">
        <v>31</v>
      </c>
      <c r="U68" s="2" t="b">
        <v>0</v>
      </c>
      <c r="V68" s="2" t="s">
        <v>32</v>
      </c>
      <c r="W68" s="2" t="s">
        <v>33</v>
      </c>
      <c r="X68" s="2"/>
      <c r="Y68" s="2"/>
      <c r="Z68" s="2" t="s">
        <v>34</v>
      </c>
      <c r="AA68" s="2"/>
      <c r="AB68" s="2"/>
      <c r="AC68" s="2"/>
      <c r="AD68" s="2"/>
      <c r="AK68" s="8">
        <f>+IF(AE68&lt;&gt;"",AE68,F68)</f>
        <v>45917</v>
      </c>
    </row>
    <row r="69" spans="1:37" ht="15" customHeight="1">
      <c r="A69" s="2" t="s">
        <v>130</v>
      </c>
      <c r="B69" s="2">
        <v>2544</v>
      </c>
      <c r="C69" s="2"/>
      <c r="D69" s="2" t="s">
        <v>26</v>
      </c>
      <c r="E69" s="2" t="s">
        <v>38</v>
      </c>
      <c r="F69" s="3">
        <v>45917</v>
      </c>
      <c r="G69" s="3">
        <v>45917</v>
      </c>
      <c r="H69" s="3">
        <v>45917</v>
      </c>
      <c r="I69" s="2"/>
      <c r="J69" s="2"/>
      <c r="K69" s="2" t="s">
        <v>28</v>
      </c>
      <c r="L69" s="2" t="s">
        <v>29</v>
      </c>
      <c r="M69" s="2"/>
      <c r="N69" s="2" t="s">
        <v>30</v>
      </c>
      <c r="O69" s="2">
        <v>33.9</v>
      </c>
      <c r="P69" s="2">
        <v>6.1</v>
      </c>
      <c r="Q69" s="2">
        <v>40</v>
      </c>
      <c r="R69" s="2">
        <v>40</v>
      </c>
      <c r="S69" s="2">
        <v>40</v>
      </c>
      <c r="T69" s="2" t="s">
        <v>31</v>
      </c>
      <c r="U69" s="2" t="b">
        <v>0</v>
      </c>
      <c r="V69" s="2" t="s">
        <v>32</v>
      </c>
      <c r="W69" s="2" t="s">
        <v>33</v>
      </c>
      <c r="X69" s="2"/>
      <c r="Y69" s="2"/>
      <c r="Z69" s="2" t="s">
        <v>34</v>
      </c>
      <c r="AA69" s="2"/>
      <c r="AB69" s="2"/>
      <c r="AC69" s="2"/>
      <c r="AD69" s="2"/>
      <c r="AK69" s="8">
        <f>+IF(AE69&lt;&gt;"",AE69,F69)</f>
        <v>45917</v>
      </c>
    </row>
    <row r="70" spans="1:37" ht="15" customHeight="1">
      <c r="A70" s="2" t="s">
        <v>131</v>
      </c>
      <c r="B70" s="2">
        <v>2544</v>
      </c>
      <c r="C70" s="2"/>
      <c r="D70" s="2" t="s">
        <v>26</v>
      </c>
      <c r="E70" s="2" t="s">
        <v>38</v>
      </c>
      <c r="F70" s="3">
        <v>45917</v>
      </c>
      <c r="G70" s="3">
        <v>45917</v>
      </c>
      <c r="H70" s="3">
        <v>45917</v>
      </c>
      <c r="I70" s="2"/>
      <c r="J70" s="2"/>
      <c r="K70" s="2" t="s">
        <v>28</v>
      </c>
      <c r="L70" s="2" t="s">
        <v>29</v>
      </c>
      <c r="M70" s="2"/>
      <c r="N70" s="2" t="s">
        <v>30</v>
      </c>
      <c r="O70" s="2">
        <v>74.58</v>
      </c>
      <c r="P70" s="2">
        <v>13.42</v>
      </c>
      <c r="Q70" s="2">
        <v>88</v>
      </c>
      <c r="R70" s="2">
        <v>88</v>
      </c>
      <c r="S70" s="2">
        <v>88</v>
      </c>
      <c r="T70" s="2" t="s">
        <v>31</v>
      </c>
      <c r="U70" s="2" t="b">
        <v>0</v>
      </c>
      <c r="V70" s="2" t="s">
        <v>32</v>
      </c>
      <c r="W70" s="2" t="s">
        <v>33</v>
      </c>
      <c r="X70" s="2"/>
      <c r="Y70" s="2"/>
      <c r="Z70" s="2" t="s">
        <v>34</v>
      </c>
      <c r="AA70" s="2"/>
      <c r="AB70" s="2"/>
      <c r="AC70" s="2"/>
      <c r="AD70" s="2"/>
      <c r="AK70" s="8">
        <f>+IF(AE70&lt;&gt;"",AE70,F70)</f>
        <v>45917</v>
      </c>
    </row>
    <row r="71" spans="1:37" ht="15" customHeight="1">
      <c r="A71" s="2" t="s">
        <v>132</v>
      </c>
      <c r="B71" s="2">
        <v>2544</v>
      </c>
      <c r="C71" s="2"/>
      <c r="D71" s="2" t="s">
        <v>26</v>
      </c>
      <c r="E71" s="2" t="s">
        <v>38</v>
      </c>
      <c r="F71" s="3">
        <v>45917</v>
      </c>
      <c r="G71" s="3">
        <v>45917</v>
      </c>
      <c r="H71" s="3">
        <v>45917</v>
      </c>
      <c r="I71" s="2"/>
      <c r="J71" s="2"/>
      <c r="K71" s="2" t="s">
        <v>28</v>
      </c>
      <c r="L71" s="2" t="s">
        <v>29</v>
      </c>
      <c r="M71" s="2"/>
      <c r="N71" s="2" t="s">
        <v>30</v>
      </c>
      <c r="O71" s="2">
        <v>169.49</v>
      </c>
      <c r="P71" s="2">
        <v>30.51</v>
      </c>
      <c r="Q71" s="2">
        <v>200</v>
      </c>
      <c r="R71" s="2">
        <v>200</v>
      </c>
      <c r="S71" s="2">
        <v>200</v>
      </c>
      <c r="T71" s="2" t="s">
        <v>31</v>
      </c>
      <c r="U71" s="2" t="b">
        <v>0</v>
      </c>
      <c r="V71" s="2" t="s">
        <v>32</v>
      </c>
      <c r="W71" s="2" t="s">
        <v>33</v>
      </c>
      <c r="X71" s="2"/>
      <c r="Y71" s="2"/>
      <c r="Z71" s="2" t="s">
        <v>34</v>
      </c>
      <c r="AA71" s="2"/>
      <c r="AB71" s="2"/>
      <c r="AC71" s="2"/>
      <c r="AD71" s="2"/>
      <c r="AK71" s="8">
        <f>+IF(AE71&lt;&gt;"",AE71,F71)</f>
        <v>45917</v>
      </c>
    </row>
    <row r="72" spans="1:37" ht="15" customHeight="1">
      <c r="A72" s="2" t="s">
        <v>133</v>
      </c>
      <c r="B72" s="2">
        <v>2544</v>
      </c>
      <c r="C72" s="2"/>
      <c r="D72" s="2" t="s">
        <v>26</v>
      </c>
      <c r="E72" s="2" t="s">
        <v>38</v>
      </c>
      <c r="F72" s="3">
        <v>45917</v>
      </c>
      <c r="G72" s="3">
        <v>45917</v>
      </c>
      <c r="H72" s="3">
        <v>45917</v>
      </c>
      <c r="I72" s="2"/>
      <c r="J72" s="2"/>
      <c r="K72" s="2" t="s">
        <v>28</v>
      </c>
      <c r="L72" s="2" t="s">
        <v>29</v>
      </c>
      <c r="M72" s="2"/>
      <c r="N72" s="2" t="s">
        <v>30</v>
      </c>
      <c r="O72" s="2">
        <v>127.12</v>
      </c>
      <c r="P72" s="2">
        <v>22.88</v>
      </c>
      <c r="Q72" s="2">
        <v>150</v>
      </c>
      <c r="R72" s="2">
        <v>150</v>
      </c>
      <c r="S72" s="2">
        <v>150</v>
      </c>
      <c r="T72" s="2" t="s">
        <v>31</v>
      </c>
      <c r="U72" s="2" t="b">
        <v>0</v>
      </c>
      <c r="V72" s="2" t="s">
        <v>32</v>
      </c>
      <c r="W72" s="2" t="s">
        <v>33</v>
      </c>
      <c r="X72" s="2"/>
      <c r="Y72" s="2"/>
      <c r="Z72" s="2" t="s">
        <v>34</v>
      </c>
      <c r="AA72" s="2"/>
      <c r="AB72" s="2"/>
      <c r="AC72" s="2"/>
      <c r="AD72" s="2"/>
      <c r="AK72" s="8">
        <f>+IF(AE72&lt;&gt;"",AE72,F72)</f>
        <v>45917</v>
      </c>
    </row>
    <row r="73" spans="1:37" ht="15" customHeight="1">
      <c r="A73" s="2" t="s">
        <v>134</v>
      </c>
      <c r="B73" s="2">
        <v>2259</v>
      </c>
      <c r="C73" s="2"/>
      <c r="D73" s="2" t="s">
        <v>26</v>
      </c>
      <c r="E73" s="2" t="s">
        <v>35</v>
      </c>
      <c r="F73" s="3">
        <v>45917</v>
      </c>
      <c r="G73" s="3">
        <v>45917</v>
      </c>
      <c r="H73" s="3">
        <v>45917</v>
      </c>
      <c r="I73" s="2"/>
      <c r="J73" s="2"/>
      <c r="K73" s="2" t="s">
        <v>28</v>
      </c>
      <c r="L73" s="2" t="s">
        <v>29</v>
      </c>
      <c r="M73" s="2"/>
      <c r="N73" s="2" t="s">
        <v>30</v>
      </c>
      <c r="O73" s="2">
        <v>101.69</v>
      </c>
      <c r="P73" s="2">
        <v>18.3</v>
      </c>
      <c r="Q73" s="2">
        <v>119.99</v>
      </c>
      <c r="R73" s="2">
        <v>119.99</v>
      </c>
      <c r="S73" s="2">
        <v>119.99</v>
      </c>
      <c r="T73" s="2" t="s">
        <v>31</v>
      </c>
      <c r="U73" s="2" t="b">
        <v>0</v>
      </c>
      <c r="V73" s="2" t="s">
        <v>32</v>
      </c>
      <c r="W73" s="2" t="s">
        <v>33</v>
      </c>
      <c r="X73" s="2"/>
      <c r="Y73" s="2"/>
      <c r="Z73" s="2" t="s">
        <v>34</v>
      </c>
      <c r="AA73" s="2"/>
      <c r="AB73" s="2"/>
      <c r="AC73" s="2"/>
      <c r="AD73" s="2"/>
      <c r="AK73" s="8">
        <f>+IF(AE73&lt;&gt;"",AE73,F73)</f>
        <v>45917</v>
      </c>
    </row>
    <row r="74" spans="1:37" ht="15" customHeight="1">
      <c r="A74" s="2" t="s">
        <v>135</v>
      </c>
      <c r="B74" s="2">
        <v>2259</v>
      </c>
      <c r="C74" s="2"/>
      <c r="D74" s="2" t="s">
        <v>26</v>
      </c>
      <c r="E74" s="2" t="s">
        <v>35</v>
      </c>
      <c r="F74" s="3">
        <v>45917</v>
      </c>
      <c r="G74" s="3">
        <v>45917</v>
      </c>
      <c r="H74" s="3">
        <v>45917</v>
      </c>
      <c r="I74" s="2"/>
      <c r="J74" s="2"/>
      <c r="K74" s="2" t="s">
        <v>28</v>
      </c>
      <c r="L74" s="2" t="s">
        <v>29</v>
      </c>
      <c r="M74" s="2"/>
      <c r="N74" s="2" t="s">
        <v>30</v>
      </c>
      <c r="O74" s="2">
        <v>33.9</v>
      </c>
      <c r="P74" s="2">
        <v>6.1</v>
      </c>
      <c r="Q74" s="2">
        <v>40</v>
      </c>
      <c r="R74" s="2">
        <v>40</v>
      </c>
      <c r="S74" s="2">
        <v>40</v>
      </c>
      <c r="T74" s="2" t="s">
        <v>31</v>
      </c>
      <c r="U74" s="2" t="b">
        <v>0</v>
      </c>
      <c r="V74" s="2" t="s">
        <v>32</v>
      </c>
      <c r="W74" s="2" t="s">
        <v>33</v>
      </c>
      <c r="X74" s="2"/>
      <c r="Y74" s="2"/>
      <c r="Z74" s="2" t="s">
        <v>34</v>
      </c>
      <c r="AA74" s="2"/>
      <c r="AB74" s="2"/>
      <c r="AC74" s="2"/>
      <c r="AD74" s="2"/>
      <c r="AK74" s="8">
        <f>+IF(AE74&lt;&gt;"",AE74,F74)</f>
        <v>45917</v>
      </c>
    </row>
    <row r="75" spans="1:37" ht="15" customHeight="1">
      <c r="A75" s="2" t="s">
        <v>136</v>
      </c>
      <c r="B75" s="2">
        <v>2259</v>
      </c>
      <c r="C75" s="2"/>
      <c r="D75" s="2" t="s">
        <v>26</v>
      </c>
      <c r="E75" s="2" t="s">
        <v>35</v>
      </c>
      <c r="F75" s="3">
        <v>45917</v>
      </c>
      <c r="G75" s="3">
        <v>45917</v>
      </c>
      <c r="H75" s="3">
        <v>45917</v>
      </c>
      <c r="I75" s="2"/>
      <c r="J75" s="2"/>
      <c r="K75" s="2" t="s">
        <v>28</v>
      </c>
      <c r="L75" s="2" t="s">
        <v>29</v>
      </c>
      <c r="M75" s="2"/>
      <c r="N75" s="2" t="s">
        <v>30</v>
      </c>
      <c r="O75" s="2">
        <v>16.95</v>
      </c>
      <c r="P75" s="2">
        <v>3.05</v>
      </c>
      <c r="Q75" s="2">
        <v>20</v>
      </c>
      <c r="R75" s="2">
        <v>20</v>
      </c>
      <c r="S75" s="2">
        <v>20</v>
      </c>
      <c r="T75" s="2" t="s">
        <v>31</v>
      </c>
      <c r="U75" s="2" t="b">
        <v>0</v>
      </c>
      <c r="V75" s="2" t="s">
        <v>32</v>
      </c>
      <c r="W75" s="2" t="s">
        <v>33</v>
      </c>
      <c r="X75" s="2"/>
      <c r="Y75" s="2"/>
      <c r="Z75" s="2" t="s">
        <v>34</v>
      </c>
      <c r="AA75" s="2"/>
      <c r="AB75" s="2"/>
      <c r="AC75" s="2"/>
      <c r="AD75" s="2"/>
      <c r="AK75" s="8">
        <f>+IF(AE75&lt;&gt;"",AE75,F75)</f>
        <v>45917</v>
      </c>
    </row>
    <row r="76" spans="1:37" ht="15" customHeight="1">
      <c r="A76" s="2" t="s">
        <v>137</v>
      </c>
      <c r="B76" s="2">
        <v>2259</v>
      </c>
      <c r="C76" s="2"/>
      <c r="D76" s="2" t="s">
        <v>26</v>
      </c>
      <c r="E76" s="2" t="s">
        <v>35</v>
      </c>
      <c r="F76" s="3">
        <v>45917</v>
      </c>
      <c r="G76" s="3">
        <v>45917</v>
      </c>
      <c r="H76" s="3">
        <v>45917</v>
      </c>
      <c r="I76" s="2"/>
      <c r="J76" s="2"/>
      <c r="K76" s="2" t="s">
        <v>28</v>
      </c>
      <c r="L76" s="2" t="s">
        <v>29</v>
      </c>
      <c r="M76" s="2"/>
      <c r="N76" s="2" t="s">
        <v>30</v>
      </c>
      <c r="O76" s="2">
        <v>84.75</v>
      </c>
      <c r="P76" s="2">
        <v>15.26</v>
      </c>
      <c r="Q76" s="2">
        <v>100.01</v>
      </c>
      <c r="R76" s="2">
        <v>100.01</v>
      </c>
      <c r="S76" s="2">
        <v>100.01</v>
      </c>
      <c r="T76" s="2" t="s">
        <v>31</v>
      </c>
      <c r="U76" s="2" t="b">
        <v>0</v>
      </c>
      <c r="V76" s="2" t="s">
        <v>32</v>
      </c>
      <c r="W76" s="2" t="s">
        <v>33</v>
      </c>
      <c r="X76" s="2"/>
      <c r="Y76" s="2"/>
      <c r="Z76" s="2" t="s">
        <v>34</v>
      </c>
      <c r="AA76" s="2"/>
      <c r="AB76" s="2"/>
      <c r="AC76" s="2"/>
      <c r="AD76" s="2"/>
      <c r="AK76" s="8">
        <f>+IF(AE76&lt;&gt;"",AE76,F76)</f>
        <v>45917</v>
      </c>
    </row>
    <row r="77" spans="1:37" ht="15" customHeight="1">
      <c r="A77" s="2" t="s">
        <v>138</v>
      </c>
      <c r="B77" s="2">
        <v>2337</v>
      </c>
      <c r="C77" s="2"/>
      <c r="D77" s="2" t="s">
        <v>26</v>
      </c>
      <c r="E77" s="2" t="s">
        <v>27</v>
      </c>
      <c r="F77" s="3">
        <v>45917</v>
      </c>
      <c r="G77" s="3">
        <v>45917</v>
      </c>
      <c r="H77" s="3">
        <v>45917</v>
      </c>
      <c r="I77" s="2"/>
      <c r="J77" s="2"/>
      <c r="K77" s="2" t="s">
        <v>28</v>
      </c>
      <c r="L77" s="2" t="s">
        <v>29</v>
      </c>
      <c r="M77" s="2"/>
      <c r="N77" s="2" t="s">
        <v>30</v>
      </c>
      <c r="O77" s="2">
        <v>55.93</v>
      </c>
      <c r="P77" s="2">
        <v>10.07</v>
      </c>
      <c r="Q77" s="2">
        <v>66</v>
      </c>
      <c r="R77" s="2">
        <v>66</v>
      </c>
      <c r="S77" s="2">
        <v>66</v>
      </c>
      <c r="T77" s="2" t="s">
        <v>31</v>
      </c>
      <c r="U77" s="2" t="b">
        <v>0</v>
      </c>
      <c r="V77" s="2" t="s">
        <v>32</v>
      </c>
      <c r="W77" s="2" t="s">
        <v>33</v>
      </c>
      <c r="X77" s="2"/>
      <c r="Y77" s="2"/>
      <c r="Z77" s="2" t="s">
        <v>34</v>
      </c>
      <c r="AA77" s="2"/>
      <c r="AB77" s="2"/>
      <c r="AC77" s="2"/>
      <c r="AD77" s="2"/>
      <c r="AK77" s="8">
        <f>+IF(AE77&lt;&gt;"",AE77,F77)</f>
        <v>45917</v>
      </c>
    </row>
    <row r="78" spans="1:37" ht="15" customHeight="1">
      <c r="A78" s="2" t="s">
        <v>139</v>
      </c>
      <c r="B78" s="2">
        <v>2337</v>
      </c>
      <c r="C78" s="2"/>
      <c r="D78" s="2" t="s">
        <v>26</v>
      </c>
      <c r="E78" s="2" t="s">
        <v>27</v>
      </c>
      <c r="F78" s="3">
        <v>45917</v>
      </c>
      <c r="G78" s="3">
        <v>45917</v>
      </c>
      <c r="H78" s="3">
        <v>45917</v>
      </c>
      <c r="I78" s="2"/>
      <c r="J78" s="2"/>
      <c r="K78" s="2" t="s">
        <v>28</v>
      </c>
      <c r="L78" s="2" t="s">
        <v>29</v>
      </c>
      <c r="M78" s="2"/>
      <c r="N78" s="2" t="s">
        <v>30</v>
      </c>
      <c r="O78" s="2">
        <v>74.58</v>
      </c>
      <c r="P78" s="2">
        <v>13.42</v>
      </c>
      <c r="Q78" s="2">
        <v>88</v>
      </c>
      <c r="R78" s="2">
        <v>88</v>
      </c>
      <c r="S78" s="2">
        <v>88</v>
      </c>
      <c r="T78" s="2" t="s">
        <v>31</v>
      </c>
      <c r="U78" s="2" t="b">
        <v>0</v>
      </c>
      <c r="V78" s="2" t="s">
        <v>32</v>
      </c>
      <c r="W78" s="2" t="s">
        <v>33</v>
      </c>
      <c r="X78" s="2"/>
      <c r="Y78" s="2"/>
      <c r="Z78" s="2" t="s">
        <v>34</v>
      </c>
      <c r="AA78" s="2"/>
      <c r="AB78" s="2"/>
      <c r="AC78" s="2"/>
      <c r="AD78" s="2"/>
      <c r="AK78" s="8">
        <f>+IF(AE78&lt;&gt;"",AE78,F78)</f>
        <v>45917</v>
      </c>
    </row>
    <row r="79" spans="1:37" ht="15" customHeight="1">
      <c r="A79" s="2" t="s">
        <v>111</v>
      </c>
      <c r="B79" s="2">
        <v>2461</v>
      </c>
      <c r="C79" s="2"/>
      <c r="D79" s="2" t="s">
        <v>26</v>
      </c>
      <c r="E79" s="2" t="s">
        <v>112</v>
      </c>
      <c r="F79" s="3">
        <v>45919</v>
      </c>
      <c r="G79" s="3">
        <v>45919</v>
      </c>
      <c r="H79" s="3">
        <v>45919</v>
      </c>
      <c r="I79" s="2"/>
      <c r="J79" s="2"/>
      <c r="K79" s="2" t="s">
        <v>28</v>
      </c>
      <c r="L79" s="2" t="s">
        <v>29</v>
      </c>
      <c r="M79" s="2"/>
      <c r="N79" s="2" t="s">
        <v>30</v>
      </c>
      <c r="O79" s="2">
        <v>1355.93</v>
      </c>
      <c r="P79" s="2">
        <v>244.07</v>
      </c>
      <c r="Q79" s="2">
        <v>1600</v>
      </c>
      <c r="R79" s="2">
        <v>1600</v>
      </c>
      <c r="S79" s="2">
        <v>1600</v>
      </c>
      <c r="T79" s="2" t="s">
        <v>31</v>
      </c>
      <c r="U79" s="2" t="b">
        <v>0</v>
      </c>
      <c r="V79" s="2" t="s">
        <v>32</v>
      </c>
      <c r="W79" s="2" t="s">
        <v>33</v>
      </c>
      <c r="X79" s="2"/>
      <c r="Y79" s="2"/>
      <c r="Z79" s="2" t="s">
        <v>34</v>
      </c>
      <c r="AA79" s="2"/>
      <c r="AB79" s="2"/>
      <c r="AC79" s="2"/>
      <c r="AD79" s="2"/>
      <c r="AK79" s="8">
        <f>+IF(AE79&lt;&gt;"",AE79,F79)</f>
        <v>45919</v>
      </c>
    </row>
    <row r="80" spans="1:37" ht="15" customHeight="1">
      <c r="A80" s="2" t="s">
        <v>113</v>
      </c>
      <c r="B80" s="2">
        <v>2259</v>
      </c>
      <c r="C80" s="2"/>
      <c r="D80" s="2" t="s">
        <v>26</v>
      </c>
      <c r="E80" s="2" t="s">
        <v>35</v>
      </c>
      <c r="F80" s="3">
        <v>45919</v>
      </c>
      <c r="G80" s="3">
        <v>45919</v>
      </c>
      <c r="H80" s="3">
        <v>45919</v>
      </c>
      <c r="I80" s="2"/>
      <c r="J80" s="2"/>
      <c r="K80" s="2" t="s">
        <v>28</v>
      </c>
      <c r="L80" s="2" t="s">
        <v>29</v>
      </c>
      <c r="M80" s="2"/>
      <c r="N80" s="2" t="s">
        <v>30</v>
      </c>
      <c r="O80" s="2">
        <v>50.85</v>
      </c>
      <c r="P80" s="2">
        <v>9.15</v>
      </c>
      <c r="Q80" s="2">
        <v>60</v>
      </c>
      <c r="R80" s="2">
        <v>60</v>
      </c>
      <c r="S80" s="2">
        <v>60</v>
      </c>
      <c r="T80" s="2" t="s">
        <v>31</v>
      </c>
      <c r="U80" s="2" t="b">
        <v>0</v>
      </c>
      <c r="V80" s="2" t="s">
        <v>32</v>
      </c>
      <c r="W80" s="2" t="s">
        <v>33</v>
      </c>
      <c r="X80" s="2"/>
      <c r="Y80" s="2"/>
      <c r="Z80" s="2" t="s">
        <v>34</v>
      </c>
      <c r="AA80" s="2"/>
      <c r="AB80" s="2"/>
      <c r="AC80" s="2"/>
      <c r="AD80" s="2"/>
      <c r="AK80" s="8">
        <f>+IF(AE80&lt;&gt;"",AE80,F80)</f>
        <v>45919</v>
      </c>
    </row>
    <row r="81" spans="1:37" ht="15" customHeight="1">
      <c r="A81" s="2" t="s">
        <v>114</v>
      </c>
      <c r="B81" s="2">
        <v>2</v>
      </c>
      <c r="C81" s="2" t="s">
        <v>115</v>
      </c>
      <c r="D81" s="2" t="s">
        <v>26</v>
      </c>
      <c r="E81" s="2" t="s">
        <v>37</v>
      </c>
      <c r="F81" s="3">
        <v>45919</v>
      </c>
      <c r="G81" s="3">
        <v>45919</v>
      </c>
      <c r="H81" s="3">
        <v>45919</v>
      </c>
      <c r="I81" s="2" t="s">
        <v>116</v>
      </c>
      <c r="J81" s="2"/>
      <c r="K81" s="2" t="s">
        <v>28</v>
      </c>
      <c r="L81" s="2" t="s">
        <v>29</v>
      </c>
      <c r="M81" s="2"/>
      <c r="N81" s="2" t="s">
        <v>30</v>
      </c>
      <c r="O81" s="2">
        <v>4000</v>
      </c>
      <c r="P81" s="2">
        <v>720</v>
      </c>
      <c r="Q81" s="2">
        <v>4720</v>
      </c>
      <c r="R81" s="2">
        <v>4720</v>
      </c>
      <c r="S81" s="2">
        <v>4720</v>
      </c>
      <c r="T81" s="2" t="s">
        <v>31</v>
      </c>
      <c r="U81" s="2" t="b">
        <v>0</v>
      </c>
      <c r="V81" s="2" t="s">
        <v>32</v>
      </c>
      <c r="W81" s="2" t="s">
        <v>33</v>
      </c>
      <c r="X81" s="2"/>
      <c r="Y81" s="2"/>
      <c r="Z81" s="2" t="s">
        <v>34</v>
      </c>
      <c r="AA81" s="2"/>
      <c r="AB81" s="2"/>
      <c r="AC81" s="2"/>
      <c r="AD81" s="2"/>
      <c r="AK81" s="8">
        <f>+IF(AE81&lt;&gt;"",AE81,F81)</f>
        <v>45919</v>
      </c>
    </row>
    <row r="82" spans="1:37" ht="15" customHeight="1">
      <c r="A82" s="2" t="s">
        <v>117</v>
      </c>
      <c r="B82" s="2">
        <v>2</v>
      </c>
      <c r="C82" s="2" t="s">
        <v>115</v>
      </c>
      <c r="D82" s="2" t="s">
        <v>26</v>
      </c>
      <c r="E82" s="2" t="s">
        <v>37</v>
      </c>
      <c r="F82" s="3">
        <v>45919</v>
      </c>
      <c r="G82" s="3">
        <v>45919</v>
      </c>
      <c r="H82" s="3">
        <v>45919</v>
      </c>
      <c r="I82" s="2" t="s">
        <v>118</v>
      </c>
      <c r="J82" s="2"/>
      <c r="K82" s="2" t="s">
        <v>28</v>
      </c>
      <c r="L82" s="2" t="s">
        <v>29</v>
      </c>
      <c r="M82" s="2"/>
      <c r="N82" s="2" t="s">
        <v>30</v>
      </c>
      <c r="O82" s="2">
        <v>2000</v>
      </c>
      <c r="P82" s="2">
        <v>360</v>
      </c>
      <c r="Q82" s="2">
        <v>2360</v>
      </c>
      <c r="R82" s="2">
        <v>2360</v>
      </c>
      <c r="S82" s="2">
        <v>2360</v>
      </c>
      <c r="T82" s="2" t="s">
        <v>31</v>
      </c>
      <c r="U82" s="2" t="b">
        <v>0</v>
      </c>
      <c r="V82" s="2" t="s">
        <v>32</v>
      </c>
      <c r="W82" s="2" t="s">
        <v>33</v>
      </c>
      <c r="X82" s="2"/>
      <c r="Y82" s="2"/>
      <c r="Z82" s="2" t="s">
        <v>34</v>
      </c>
      <c r="AA82" s="2"/>
      <c r="AB82" s="2"/>
      <c r="AC82" s="2"/>
      <c r="AD82" s="2"/>
      <c r="AK82" s="8">
        <f>+IF(AE82&lt;&gt;"",AE82,F82)</f>
        <v>45919</v>
      </c>
    </row>
    <row r="83" spans="1:37" ht="15" customHeight="1">
      <c r="A83" s="2" t="s">
        <v>119</v>
      </c>
      <c r="B83" s="2">
        <v>2</v>
      </c>
      <c r="C83" s="2" t="s">
        <v>115</v>
      </c>
      <c r="D83" s="2" t="s">
        <v>26</v>
      </c>
      <c r="E83" s="2" t="s">
        <v>37</v>
      </c>
      <c r="F83" s="3">
        <v>45919</v>
      </c>
      <c r="G83" s="3">
        <v>45919</v>
      </c>
      <c r="H83" s="3">
        <v>45919</v>
      </c>
      <c r="I83" s="2" t="s">
        <v>120</v>
      </c>
      <c r="J83" s="2"/>
      <c r="K83" s="2" t="s">
        <v>28</v>
      </c>
      <c r="L83" s="2" t="s">
        <v>29</v>
      </c>
      <c r="M83" s="2"/>
      <c r="N83" s="2" t="s">
        <v>30</v>
      </c>
      <c r="O83" s="2">
        <v>2000</v>
      </c>
      <c r="P83" s="2">
        <v>360</v>
      </c>
      <c r="Q83" s="2">
        <v>2360</v>
      </c>
      <c r="R83" s="2">
        <v>2360</v>
      </c>
      <c r="S83" s="2">
        <v>2360</v>
      </c>
      <c r="T83" s="2" t="s">
        <v>31</v>
      </c>
      <c r="U83" s="2" t="b">
        <v>0</v>
      </c>
      <c r="V83" s="2" t="s">
        <v>32</v>
      </c>
      <c r="W83" s="2" t="s">
        <v>33</v>
      </c>
      <c r="X83" s="2"/>
      <c r="Y83" s="2"/>
      <c r="Z83" s="2" t="s">
        <v>34</v>
      </c>
      <c r="AA83" s="2"/>
      <c r="AB83" s="2"/>
      <c r="AC83" s="2"/>
      <c r="AD83" s="2"/>
      <c r="AK83" s="8">
        <f>+IF(AE83&lt;&gt;"",AE83,F83)</f>
        <v>45919</v>
      </c>
    </row>
    <row r="84" spans="1:37" ht="15" customHeight="1">
      <c r="A84" s="2" t="s">
        <v>121</v>
      </c>
      <c r="B84" s="2">
        <v>2</v>
      </c>
      <c r="C84" s="2" t="s">
        <v>115</v>
      </c>
      <c r="D84" s="2" t="s">
        <v>26</v>
      </c>
      <c r="E84" s="2" t="s">
        <v>37</v>
      </c>
      <c r="F84" s="3">
        <v>45919</v>
      </c>
      <c r="G84" s="3">
        <v>45919</v>
      </c>
      <c r="H84" s="3">
        <v>45919</v>
      </c>
      <c r="I84" s="2" t="s">
        <v>122</v>
      </c>
      <c r="J84" s="2"/>
      <c r="K84" s="2" t="s">
        <v>28</v>
      </c>
      <c r="L84" s="2" t="s">
        <v>29</v>
      </c>
      <c r="M84" s="2"/>
      <c r="N84" s="2" t="s">
        <v>30</v>
      </c>
      <c r="O84" s="2"/>
      <c r="P84" s="2"/>
      <c r="Q84" s="2"/>
      <c r="R84" s="2"/>
      <c r="S84" s="2"/>
      <c r="T84" s="2" t="s">
        <v>31</v>
      </c>
      <c r="U84" s="2" t="b">
        <v>0</v>
      </c>
      <c r="V84" s="2" t="s">
        <v>123</v>
      </c>
      <c r="W84" s="2" t="s">
        <v>33</v>
      </c>
      <c r="X84" s="2"/>
      <c r="Y84" s="2"/>
      <c r="Z84" s="2" t="s">
        <v>34</v>
      </c>
      <c r="AA84" s="2"/>
      <c r="AB84" s="2"/>
      <c r="AC84" s="2"/>
      <c r="AD84" s="2"/>
      <c r="AK84" s="8">
        <f>+IF(AE84&lt;&gt;"",AE84,F84)</f>
        <v>45919</v>
      </c>
    </row>
    <row r="85" spans="1:37">
      <c r="A85" s="2"/>
      <c r="B85" s="2"/>
      <c r="C85" s="2"/>
      <c r="D85" s="2"/>
      <c r="E85" s="2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7">
      <c r="A86" s="2"/>
      <c r="B86" s="2"/>
      <c r="C86" s="2"/>
      <c r="D86" s="2"/>
      <c r="E86" s="2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7">
      <c r="A87" s="2"/>
      <c r="B87" s="2"/>
      <c r="C87" s="2"/>
      <c r="D87" s="2"/>
      <c r="E87" s="2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7">
      <c r="A88" s="2"/>
      <c r="B88" s="2"/>
      <c r="C88" s="2"/>
      <c r="D88" s="2"/>
      <c r="E88" s="2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7">
      <c r="A89" s="2"/>
      <c r="B89" s="2"/>
      <c r="C89" s="2"/>
      <c r="D89" s="2"/>
      <c r="E89" s="2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7">
      <c r="A90" s="2"/>
      <c r="B90" s="2"/>
      <c r="C90" s="2"/>
      <c r="D90" s="2"/>
      <c r="E90" s="2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7">
      <c r="A91" s="2"/>
      <c r="B91" s="2"/>
      <c r="C91" s="2"/>
      <c r="D91" s="2"/>
      <c r="E91" s="2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7">
      <c r="A92" s="2"/>
      <c r="B92" s="2"/>
      <c r="C92" s="2"/>
      <c r="D92" s="2"/>
      <c r="E92" s="2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7">
      <c r="A93" s="2"/>
      <c r="B93" s="2"/>
      <c r="C93" s="2"/>
      <c r="D93" s="2"/>
      <c r="E93" s="2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7">
      <c r="A94" s="2"/>
      <c r="B94" s="2"/>
      <c r="C94" s="2"/>
      <c r="D94" s="2"/>
      <c r="E94" s="2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7">
      <c r="A95" s="2"/>
      <c r="B95" s="2"/>
      <c r="C95" s="2"/>
      <c r="D95" s="2"/>
      <c r="E95" s="2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7">
      <c r="A96" s="2"/>
      <c r="B96" s="2"/>
      <c r="C96" s="2"/>
      <c r="D96" s="2"/>
      <c r="E96" s="2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>
      <c r="A189" s="2"/>
      <c r="B189" s="2"/>
      <c r="C189" s="2"/>
      <c r="D189" s="2"/>
      <c r="E189" s="2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>
      <c r="A190" s="2"/>
      <c r="B190" s="2"/>
      <c r="C190" s="2"/>
      <c r="D190" s="2"/>
      <c r="E190" s="2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>
      <c r="A191" s="2"/>
      <c r="B191" s="2"/>
      <c r="C191" s="2"/>
      <c r="D191" s="2"/>
      <c r="E191" s="2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>
      <c r="A192" s="2"/>
      <c r="B192" s="2"/>
      <c r="C192" s="2"/>
      <c r="D192" s="2"/>
      <c r="E192" s="2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>
      <c r="A193" s="2"/>
      <c r="B193" s="2"/>
      <c r="C193" s="2"/>
      <c r="D193" s="2"/>
      <c r="E193" s="2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>
      <c r="A194" s="2"/>
      <c r="B194" s="2"/>
      <c r="C194" s="2"/>
      <c r="D194" s="2"/>
      <c r="E194" s="2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>
      <c r="A195" s="2"/>
      <c r="B195" s="2"/>
      <c r="C195" s="2"/>
      <c r="D195" s="2"/>
      <c r="E195" s="2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>
      <c r="A196" s="2"/>
      <c r="B196" s="2"/>
      <c r="C196" s="2"/>
      <c r="D196" s="2"/>
      <c r="E196" s="2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>
      <c r="A197" s="2"/>
      <c r="B197" s="2"/>
      <c r="C197" s="2"/>
      <c r="D197" s="2"/>
      <c r="E197" s="2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>
      <c r="A198" s="2"/>
      <c r="B198" s="2"/>
      <c r="C198" s="2"/>
      <c r="D198" s="2"/>
      <c r="E198" s="2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>
      <c r="A199" s="2"/>
      <c r="B199" s="2"/>
      <c r="C199" s="2"/>
      <c r="D199" s="2"/>
      <c r="E199" s="2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>
      <c r="A200" s="2"/>
      <c r="B200" s="2"/>
      <c r="C200" s="2"/>
      <c r="D200" s="2"/>
      <c r="E200" s="2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>
      <c r="A201" s="2"/>
      <c r="B201" s="2"/>
      <c r="C201" s="2"/>
      <c r="D201" s="2"/>
      <c r="E201" s="2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>
      <c r="A202" s="2"/>
      <c r="B202" s="2"/>
      <c r="C202" s="2"/>
      <c r="D202" s="2"/>
      <c r="E202" s="2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>
      <c r="A203" s="2"/>
      <c r="B203" s="2"/>
      <c r="C203" s="2"/>
      <c r="D203" s="2"/>
      <c r="E203" s="2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>
      <c r="A204" s="2"/>
      <c r="B204" s="2"/>
      <c r="C204" s="2"/>
      <c r="D204" s="2"/>
      <c r="E204" s="2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>
      <c r="A205" s="2"/>
      <c r="B205" s="2"/>
      <c r="C205" s="2"/>
      <c r="D205" s="2"/>
      <c r="E205" s="2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>
      <c r="A206" s="2"/>
      <c r="B206" s="2"/>
      <c r="C206" s="2"/>
      <c r="D206" s="2"/>
      <c r="E206" s="2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>
      <c r="A207" s="2"/>
      <c r="B207" s="2"/>
      <c r="C207" s="2"/>
      <c r="D207" s="2"/>
      <c r="E207" s="2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>
      <c r="A208" s="2"/>
      <c r="B208" s="2"/>
      <c r="C208" s="2"/>
      <c r="D208" s="2"/>
      <c r="E208" s="2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>
      <c r="A209" s="2"/>
      <c r="B209" s="2"/>
      <c r="C209" s="2"/>
      <c r="D209" s="2"/>
      <c r="E209" s="2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>
      <c r="A210" s="2"/>
      <c r="B210" s="2"/>
      <c r="C210" s="2"/>
      <c r="D210" s="2"/>
      <c r="E210" s="2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>
      <c r="A211" s="2"/>
      <c r="B211" s="2"/>
      <c r="C211" s="2"/>
      <c r="D211" s="2"/>
      <c r="E211" s="2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>
      <c r="A212" s="2"/>
      <c r="B212" s="2"/>
      <c r="C212" s="2"/>
      <c r="D212" s="2"/>
      <c r="E212" s="2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>
      <c r="A213" s="2"/>
      <c r="B213" s="2"/>
      <c r="C213" s="2"/>
      <c r="D213" s="2"/>
      <c r="E213" s="2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>
      <c r="A214" s="2"/>
      <c r="B214" s="2"/>
      <c r="C214" s="2"/>
      <c r="D214" s="2"/>
      <c r="E214" s="2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>
      <c r="A215" s="2"/>
      <c r="B215" s="2"/>
      <c r="C215" s="2"/>
      <c r="D215" s="2"/>
      <c r="E215" s="2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>
      <c r="A216" s="2"/>
      <c r="B216" s="2"/>
      <c r="C216" s="2"/>
      <c r="D216" s="2"/>
      <c r="E216" s="2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>
      <c r="A217" s="2"/>
      <c r="B217" s="2"/>
      <c r="C217" s="2"/>
      <c r="D217" s="2"/>
      <c r="E217" s="2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>
      <c r="A218" s="2"/>
      <c r="B218" s="2"/>
      <c r="C218" s="2"/>
      <c r="D218" s="2"/>
      <c r="E218" s="2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>
      <c r="A219" s="2"/>
      <c r="B219" s="2"/>
      <c r="C219" s="2"/>
      <c r="D219" s="2"/>
      <c r="E219" s="2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>
      <c r="A220" s="2"/>
      <c r="B220" s="2"/>
      <c r="C220" s="2"/>
      <c r="D220" s="2"/>
      <c r="E220" s="2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>
      <c r="A221" s="2"/>
      <c r="B221" s="2"/>
      <c r="C221" s="2"/>
      <c r="D221" s="2"/>
      <c r="E221" s="2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>
      <c r="A222" s="2"/>
      <c r="B222" s="2"/>
      <c r="C222" s="2"/>
      <c r="D222" s="2"/>
      <c r="E222" s="2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>
      <c r="A223" s="2"/>
      <c r="B223" s="2"/>
      <c r="C223" s="2"/>
      <c r="D223" s="2"/>
      <c r="E223" s="2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>
      <c r="A224" s="2"/>
      <c r="B224" s="2"/>
      <c r="C224" s="2"/>
      <c r="D224" s="2"/>
      <c r="E224" s="2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>
      <c r="A225" s="2"/>
      <c r="B225" s="2"/>
      <c r="C225" s="2"/>
      <c r="D225" s="2"/>
      <c r="E225" s="2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>
      <c r="A226" s="2"/>
      <c r="B226" s="2"/>
      <c r="C226" s="2"/>
      <c r="D226" s="2"/>
      <c r="E226" s="2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>
      <c r="A227" s="2"/>
      <c r="B227" s="2"/>
      <c r="C227" s="2"/>
      <c r="D227" s="2"/>
      <c r="E227" s="2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>
      <c r="A228" s="2"/>
      <c r="B228" s="2"/>
      <c r="C228" s="2"/>
      <c r="D228" s="2"/>
      <c r="E228" s="2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>
      <c r="A229" s="2"/>
      <c r="B229" s="2"/>
      <c r="C229" s="2"/>
      <c r="D229" s="2"/>
      <c r="E229" s="2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>
      <c r="A230" s="2"/>
      <c r="B230" s="2"/>
      <c r="C230" s="2"/>
      <c r="D230" s="2"/>
      <c r="E230" s="2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>
      <c r="A231" s="2"/>
      <c r="B231" s="2"/>
      <c r="C231" s="2"/>
      <c r="D231" s="2"/>
      <c r="E231" s="2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>
      <c r="A232" s="2"/>
      <c r="B232" s="2"/>
      <c r="C232" s="2"/>
      <c r="D232" s="2"/>
      <c r="E232" s="2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>
      <c r="A233" s="2"/>
      <c r="B233" s="2"/>
      <c r="C233" s="2"/>
      <c r="D233" s="2"/>
      <c r="E233" s="2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>
      <c r="A234" s="2"/>
      <c r="B234" s="2"/>
      <c r="C234" s="2"/>
      <c r="D234" s="2"/>
      <c r="E234" s="2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>
      <c r="A235" s="2"/>
      <c r="B235" s="2"/>
      <c r="C235" s="2"/>
      <c r="D235" s="2"/>
      <c r="E235" s="2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>
      <c r="A236" s="2"/>
      <c r="B236" s="2"/>
      <c r="C236" s="2"/>
      <c r="D236" s="2"/>
      <c r="E236" s="2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>
      <c r="A237" s="2"/>
      <c r="B237" s="2"/>
      <c r="C237" s="2"/>
      <c r="D237" s="2"/>
      <c r="E237" s="2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>
      <c r="A238" s="2"/>
      <c r="B238" s="2"/>
      <c r="C238" s="2"/>
      <c r="D238" s="2"/>
      <c r="E238" s="2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>
      <c r="A239" s="2"/>
      <c r="B239" s="2"/>
      <c r="C239" s="2"/>
      <c r="D239" s="2"/>
      <c r="E239" s="2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>
      <c r="A240" s="2"/>
      <c r="B240" s="2"/>
      <c r="C240" s="2"/>
      <c r="D240" s="2"/>
      <c r="E240" s="2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>
      <c r="A241" s="2"/>
      <c r="B241" s="2"/>
      <c r="C241" s="2"/>
      <c r="D241" s="2"/>
      <c r="E241" s="2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>
      <c r="A242" s="2"/>
      <c r="B242" s="2"/>
      <c r="C242" s="2"/>
      <c r="D242" s="2"/>
      <c r="E242" s="2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>
      <c r="A243" s="2"/>
      <c r="B243" s="2"/>
      <c r="C243" s="2"/>
      <c r="D243" s="2"/>
      <c r="E243" s="2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>
      <c r="A244" s="2"/>
      <c r="B244" s="2"/>
      <c r="C244" s="2"/>
      <c r="D244" s="2"/>
      <c r="E244" s="2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>
      <c r="A245" s="2"/>
      <c r="B245" s="2"/>
      <c r="C245" s="2"/>
      <c r="D245" s="2"/>
      <c r="E245" s="2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>
      <c r="A246" s="2"/>
      <c r="B246" s="2"/>
      <c r="C246" s="2"/>
      <c r="D246" s="2"/>
      <c r="E246" s="2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>
      <c r="A247" s="2"/>
      <c r="B247" s="2"/>
      <c r="C247" s="2"/>
      <c r="D247" s="2"/>
      <c r="E247" s="2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>
      <c r="A248" s="2"/>
      <c r="B248" s="2"/>
      <c r="C248" s="2"/>
      <c r="D248" s="2"/>
      <c r="E248" s="2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>
      <c r="A249" s="2"/>
      <c r="B249" s="2"/>
      <c r="C249" s="2"/>
      <c r="D249" s="2"/>
      <c r="E249" s="2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>
      <c r="A250" s="2"/>
      <c r="B250" s="2"/>
      <c r="C250" s="2"/>
      <c r="D250" s="2"/>
      <c r="E250" s="2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>
      <c r="A251" s="2"/>
      <c r="B251" s="2"/>
      <c r="C251" s="2"/>
      <c r="D251" s="2"/>
      <c r="E251" s="2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>
      <c r="A252" s="2"/>
      <c r="B252" s="2"/>
      <c r="C252" s="2"/>
      <c r="D252" s="2"/>
      <c r="E252" s="2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>
      <c r="A253" s="2"/>
      <c r="B253" s="2"/>
      <c r="C253" s="2"/>
      <c r="D253" s="2"/>
      <c r="E253" s="2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>
      <c r="A254" s="2"/>
      <c r="B254" s="2"/>
      <c r="C254" s="2"/>
      <c r="D254" s="2"/>
      <c r="E254" s="2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>
      <c r="A255" s="2"/>
      <c r="B255" s="2"/>
      <c r="C255" s="2"/>
      <c r="D255" s="2"/>
      <c r="E255" s="2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>
      <c r="A256" s="2"/>
      <c r="B256" s="2"/>
      <c r="C256" s="2"/>
      <c r="D256" s="2"/>
      <c r="E256" s="2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>
      <c r="A257" s="2"/>
      <c r="B257" s="2"/>
      <c r="C257" s="2"/>
      <c r="D257" s="2"/>
      <c r="E257" s="2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>
      <c r="A258" s="2"/>
      <c r="B258" s="2"/>
      <c r="C258" s="2"/>
      <c r="D258" s="2"/>
      <c r="E258" s="2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>
      <c r="A259" s="2"/>
      <c r="B259" s="2"/>
      <c r="C259" s="2"/>
      <c r="D259" s="2"/>
      <c r="E259" s="2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>
      <c r="A260" s="2"/>
      <c r="B260" s="2"/>
      <c r="C260" s="2"/>
      <c r="D260" s="2"/>
      <c r="E260" s="2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>
      <c r="A261" s="2"/>
      <c r="B261" s="2"/>
      <c r="C261" s="2"/>
      <c r="D261" s="2"/>
      <c r="E261" s="2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>
      <c r="A262" s="2"/>
      <c r="B262" s="2"/>
      <c r="C262" s="2"/>
      <c r="D262" s="2"/>
      <c r="E262" s="2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>
      <c r="A263" s="2"/>
      <c r="B263" s="2"/>
      <c r="C263" s="2"/>
      <c r="D263" s="2"/>
      <c r="E263" s="2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>
      <c r="A264" s="2"/>
      <c r="B264" s="2"/>
      <c r="C264" s="2"/>
      <c r="D264" s="2"/>
      <c r="E264" s="2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>
      <c r="A265" s="2"/>
      <c r="B265" s="2"/>
      <c r="C265" s="2"/>
      <c r="D265" s="2"/>
      <c r="E265" s="2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>
      <c r="A266" s="2"/>
      <c r="B266" s="2"/>
      <c r="C266" s="2"/>
      <c r="D266" s="2"/>
      <c r="E266" s="2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>
      <c r="A267" s="2"/>
      <c r="B267" s="2"/>
      <c r="C267" s="2"/>
      <c r="D267" s="2"/>
      <c r="E267" s="2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>
      <c r="A268" s="2"/>
      <c r="B268" s="2"/>
      <c r="C268" s="2"/>
      <c r="D268" s="2"/>
      <c r="E268" s="2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>
      <c r="A269" s="2"/>
      <c r="B269" s="2"/>
      <c r="C269" s="2"/>
      <c r="D269" s="2"/>
      <c r="E269" s="2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>
      <c r="A270" s="2"/>
      <c r="B270" s="2"/>
      <c r="C270" s="2"/>
      <c r="D270" s="2"/>
      <c r="E270" s="2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>
      <c r="A271" s="2"/>
      <c r="B271" s="2"/>
      <c r="C271" s="2"/>
      <c r="D271" s="2"/>
      <c r="E271" s="2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>
      <c r="A272" s="2"/>
      <c r="B272" s="2"/>
      <c r="C272" s="2"/>
      <c r="D272" s="2"/>
      <c r="E272" s="2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>
      <c r="A273" s="2"/>
      <c r="B273" s="2"/>
      <c r="C273" s="2"/>
      <c r="D273" s="2"/>
      <c r="E273" s="2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>
      <c r="A274" s="2"/>
      <c r="B274" s="2"/>
      <c r="C274" s="2"/>
      <c r="D274" s="2"/>
      <c r="E274" s="2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>
      <c r="A275" s="2"/>
      <c r="B275" s="2"/>
      <c r="C275" s="2"/>
      <c r="D275" s="2"/>
      <c r="E275" s="2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>
      <c r="A276" s="2"/>
      <c r="B276" s="2"/>
      <c r="C276" s="2"/>
      <c r="D276" s="2"/>
      <c r="E276" s="2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>
      <c r="A277" s="2"/>
      <c r="B277" s="2"/>
      <c r="C277" s="2"/>
      <c r="D277" s="2"/>
      <c r="E277" s="2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>
      <c r="A278" s="2"/>
      <c r="B278" s="2"/>
      <c r="C278" s="2"/>
      <c r="D278" s="2"/>
      <c r="E278" s="2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>
      <c r="A279" s="2"/>
      <c r="B279" s="2"/>
      <c r="C279" s="2"/>
      <c r="D279" s="2"/>
      <c r="E279" s="2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>
      <c r="A280" s="2"/>
      <c r="B280" s="2"/>
      <c r="C280" s="2"/>
      <c r="D280" s="2"/>
      <c r="E280" s="2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>
      <c r="A281" s="2"/>
      <c r="B281" s="2"/>
      <c r="C281" s="2"/>
      <c r="D281" s="2"/>
      <c r="E281" s="2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>
      <c r="A282" s="2"/>
      <c r="B282" s="2"/>
      <c r="C282" s="2"/>
      <c r="D282" s="2"/>
      <c r="E282" s="2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>
      <c r="A283" s="2"/>
      <c r="B283" s="2"/>
      <c r="C283" s="2"/>
      <c r="D283" s="2"/>
      <c r="E283" s="2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>
      <c r="A284" s="2"/>
      <c r="B284" s="2"/>
      <c r="C284" s="2"/>
      <c r="D284" s="2"/>
      <c r="E284" s="2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>
      <c r="A285" s="2"/>
      <c r="B285" s="2"/>
      <c r="C285" s="2"/>
      <c r="D285" s="2"/>
      <c r="E285" s="2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>
      <c r="A286" s="2"/>
      <c r="B286" s="2"/>
      <c r="C286" s="2"/>
      <c r="D286" s="2"/>
      <c r="E286" s="2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>
      <c r="A287" s="2"/>
      <c r="B287" s="2"/>
      <c r="C287" s="2"/>
      <c r="D287" s="2"/>
      <c r="E287" s="2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>
      <c r="A288" s="2"/>
      <c r="B288" s="2"/>
      <c r="C288" s="2"/>
      <c r="D288" s="2"/>
      <c r="E288" s="2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>
      <c r="A289" s="2"/>
      <c r="B289" s="2"/>
      <c r="C289" s="2"/>
      <c r="D289" s="2"/>
      <c r="E289" s="2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>
      <c r="A290" s="2"/>
      <c r="B290" s="2"/>
      <c r="C290" s="2"/>
      <c r="D290" s="2"/>
      <c r="E290" s="2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>
      <c r="A291" s="2"/>
      <c r="B291" s="2"/>
      <c r="C291" s="2"/>
      <c r="D291" s="2"/>
      <c r="E291" s="2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>
      <c r="A292" s="2"/>
      <c r="B292" s="2"/>
      <c r="C292" s="2"/>
      <c r="D292" s="2"/>
      <c r="E292" s="2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>
      <c r="A293" s="2"/>
      <c r="B293" s="2"/>
      <c r="C293" s="2"/>
      <c r="D293" s="2"/>
      <c r="E293" s="2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>
      <c r="A294" s="2"/>
      <c r="B294" s="2"/>
      <c r="C294" s="2"/>
      <c r="D294" s="2"/>
      <c r="E294" s="2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>
      <c r="A295" s="2"/>
      <c r="B295" s="2"/>
      <c r="C295" s="2"/>
      <c r="D295" s="2"/>
      <c r="E295" s="2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>
      <c r="A296" s="2"/>
      <c r="B296" s="2"/>
      <c r="C296" s="2"/>
      <c r="D296" s="2"/>
      <c r="E296" s="2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>
      <c r="A297" s="2"/>
      <c r="B297" s="2"/>
      <c r="C297" s="2"/>
      <c r="D297" s="2"/>
      <c r="E297" s="2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>
      <c r="A298" s="2"/>
      <c r="B298" s="2"/>
      <c r="C298" s="2"/>
      <c r="D298" s="2"/>
      <c r="E298" s="2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>
      <c r="A299" s="2"/>
      <c r="B299" s="2"/>
      <c r="C299" s="2"/>
      <c r="D299" s="2"/>
      <c r="E299" s="2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>
      <c r="A300" s="2"/>
      <c r="B300" s="2"/>
      <c r="C300" s="2"/>
      <c r="D300" s="2"/>
      <c r="E300" s="2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>
      <c r="A301" s="2"/>
      <c r="B301" s="2"/>
      <c r="C301" s="2"/>
      <c r="D301" s="2"/>
      <c r="E301" s="2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>
      <c r="A302" s="2"/>
      <c r="B302" s="2"/>
      <c r="C302" s="2"/>
      <c r="D302" s="2"/>
      <c r="E302" s="2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>
      <c r="A303" s="2"/>
      <c r="B303" s="2"/>
      <c r="C303" s="2"/>
      <c r="D303" s="2"/>
      <c r="E303" s="2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>
      <c r="A304" s="2"/>
      <c r="B304" s="2"/>
      <c r="C304" s="2"/>
      <c r="D304" s="2"/>
      <c r="E304" s="2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>
      <c r="A305" s="2"/>
      <c r="B305" s="2"/>
      <c r="C305" s="2"/>
      <c r="D305" s="2"/>
      <c r="E305" s="2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>
      <c r="A306" s="2"/>
      <c r="B306" s="2"/>
      <c r="C306" s="2"/>
      <c r="D306" s="2"/>
      <c r="E306" s="2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>
      <c r="A307" s="2"/>
      <c r="B307" s="2"/>
      <c r="C307" s="2"/>
      <c r="D307" s="2"/>
      <c r="E307" s="2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>
      <c r="A308" s="2"/>
      <c r="B308" s="2"/>
      <c r="C308" s="2"/>
      <c r="D308" s="2"/>
      <c r="E308" s="2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>
      <c r="A309" s="2"/>
      <c r="B309" s="2"/>
      <c r="C309" s="2"/>
      <c r="D309" s="2"/>
      <c r="E309" s="2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>
      <c r="A310" s="2"/>
      <c r="B310" s="2"/>
      <c r="C310" s="2"/>
      <c r="D310" s="2"/>
      <c r="E310" s="2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>
      <c r="A311" s="2"/>
      <c r="B311" s="2"/>
      <c r="C311" s="2"/>
      <c r="D311" s="2"/>
      <c r="E311" s="2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>
      <c r="A312" s="2"/>
      <c r="B312" s="2"/>
      <c r="C312" s="2"/>
      <c r="D312" s="2"/>
      <c r="E312" s="2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>
      <c r="A313" s="2"/>
      <c r="B313" s="2"/>
      <c r="C313" s="2"/>
      <c r="D313" s="2"/>
      <c r="E313" s="2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>
      <c r="A314" s="2"/>
      <c r="B314" s="2"/>
      <c r="C314" s="2"/>
      <c r="D314" s="2"/>
      <c r="E314" s="2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>
      <c r="A315" s="2"/>
      <c r="B315" s="2"/>
      <c r="C315" s="2"/>
      <c r="D315" s="2"/>
      <c r="E315" s="2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>
      <c r="A316" s="2"/>
      <c r="B316" s="2"/>
      <c r="C316" s="2"/>
      <c r="D316" s="2"/>
      <c r="E316" s="2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>
      <c r="A317" s="2"/>
      <c r="B317" s="2"/>
      <c r="C317" s="2"/>
      <c r="D317" s="2"/>
      <c r="E317" s="2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>
      <c r="A318" s="2"/>
      <c r="B318" s="2"/>
      <c r="C318" s="2"/>
      <c r="D318" s="2"/>
      <c r="E318" s="2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>
      <c r="A319" s="2"/>
      <c r="B319" s="2"/>
      <c r="C319" s="2"/>
      <c r="D319" s="2"/>
      <c r="E319" s="2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>
      <c r="A320" s="2"/>
      <c r="B320" s="2"/>
      <c r="C320" s="2"/>
      <c r="D320" s="2"/>
      <c r="E320" s="2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>
      <c r="A321" s="2"/>
      <c r="B321" s="2"/>
      <c r="C321" s="2"/>
      <c r="D321" s="2"/>
      <c r="E321" s="2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>
      <c r="A322" s="2"/>
      <c r="B322" s="2"/>
      <c r="C322" s="2"/>
      <c r="D322" s="2"/>
      <c r="E322" s="2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>
      <c r="A323" s="2"/>
      <c r="B323" s="2"/>
      <c r="C323" s="2"/>
      <c r="D323" s="2"/>
      <c r="E323" s="2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>
      <c r="A324" s="2"/>
      <c r="B324" s="2"/>
      <c r="C324" s="2"/>
      <c r="D324" s="2"/>
      <c r="E324" s="2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>
      <c r="A325" s="2"/>
      <c r="B325" s="2"/>
      <c r="C325" s="2"/>
      <c r="D325" s="2"/>
      <c r="E325" s="2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>
      <c r="A326" s="2"/>
      <c r="B326" s="2"/>
      <c r="C326" s="2"/>
      <c r="D326" s="2"/>
      <c r="E326" s="2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>
      <c r="A327" s="2"/>
      <c r="B327" s="2"/>
      <c r="C327" s="2"/>
      <c r="D327" s="2"/>
      <c r="E327" s="2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>
      <c r="A328" s="2"/>
      <c r="B328" s="2"/>
      <c r="C328" s="2"/>
      <c r="D328" s="2"/>
      <c r="E328" s="2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>
      <c r="A329" s="2"/>
      <c r="B329" s="2"/>
      <c r="C329" s="2"/>
      <c r="D329" s="2"/>
      <c r="E329" s="2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>
      <c r="A330" s="2"/>
      <c r="B330" s="2"/>
      <c r="C330" s="2"/>
      <c r="D330" s="2"/>
      <c r="E330" s="2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>
      <c r="A331" s="2"/>
      <c r="B331" s="2"/>
      <c r="C331" s="2"/>
      <c r="D331" s="2"/>
      <c r="E331" s="2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>
      <c r="A332" s="2"/>
      <c r="B332" s="2"/>
      <c r="C332" s="2"/>
      <c r="D332" s="2"/>
      <c r="E332" s="2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>
      <c r="A333" s="2"/>
      <c r="B333" s="2"/>
      <c r="C333" s="2"/>
      <c r="D333" s="2"/>
      <c r="E333" s="2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>
      <c r="A334" s="2"/>
      <c r="B334" s="2"/>
      <c r="C334" s="2"/>
      <c r="D334" s="2"/>
      <c r="E334" s="2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>
      <c r="A335" s="2"/>
      <c r="B335" s="2"/>
      <c r="C335" s="2"/>
      <c r="D335" s="2"/>
      <c r="E335" s="2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>
      <c r="A336" s="2"/>
      <c r="B336" s="2"/>
      <c r="C336" s="2"/>
      <c r="D336" s="2"/>
      <c r="E336" s="2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>
      <c r="A337" s="2"/>
      <c r="B337" s="2"/>
      <c r="C337" s="2"/>
      <c r="D337" s="2"/>
      <c r="E337" s="2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>
      <c r="A338" s="2"/>
      <c r="B338" s="2"/>
      <c r="C338" s="2"/>
      <c r="D338" s="2"/>
      <c r="E338" s="2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>
      <c r="A339" s="2"/>
      <c r="B339" s="2"/>
      <c r="C339" s="2"/>
      <c r="D339" s="2"/>
      <c r="E339" s="2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>
      <c r="A340" s="2"/>
      <c r="B340" s="2"/>
      <c r="C340" s="2"/>
      <c r="D340" s="2"/>
      <c r="E340" s="2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>
      <c r="A341" s="2"/>
      <c r="B341" s="2"/>
      <c r="C341" s="2"/>
      <c r="D341" s="2"/>
      <c r="E341" s="2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>
      <c r="A342" s="2"/>
      <c r="B342" s="2"/>
      <c r="C342" s="2"/>
      <c r="D342" s="2"/>
      <c r="E342" s="2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>
      <c r="A343" s="2"/>
      <c r="B343" s="2"/>
      <c r="C343" s="2"/>
      <c r="D343" s="2"/>
      <c r="E343" s="2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>
      <c r="A344" s="2"/>
      <c r="B344" s="2"/>
      <c r="C344" s="2"/>
      <c r="D344" s="2"/>
      <c r="E344" s="2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>
      <c r="A345" s="2"/>
      <c r="B345" s="2"/>
      <c r="C345" s="2"/>
      <c r="D345" s="2"/>
      <c r="E345" s="2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>
      <c r="A346" s="2"/>
      <c r="B346" s="2"/>
      <c r="C346" s="2"/>
      <c r="D346" s="2"/>
      <c r="E346" s="2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>
      <c r="A347" s="2"/>
      <c r="B347" s="2"/>
      <c r="C347" s="2"/>
      <c r="D347" s="2"/>
      <c r="E347" s="2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>
      <c r="A348" s="2"/>
      <c r="B348" s="2"/>
      <c r="C348" s="2"/>
      <c r="D348" s="2"/>
      <c r="E348" s="2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>
      <c r="A349" s="2"/>
      <c r="B349" s="2"/>
      <c r="C349" s="2"/>
      <c r="D349" s="2"/>
      <c r="E349" s="2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>
      <c r="A350" s="2"/>
      <c r="B350" s="2"/>
      <c r="C350" s="2"/>
      <c r="D350" s="2"/>
      <c r="E350" s="2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>
      <c r="A351" s="2"/>
      <c r="B351" s="2"/>
      <c r="C351" s="2"/>
      <c r="D351" s="2"/>
      <c r="E351" s="2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>
      <c r="A352" s="2"/>
      <c r="B352" s="2"/>
      <c r="C352" s="2"/>
      <c r="D352" s="2"/>
      <c r="E352" s="2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>
      <c r="A353" s="2"/>
      <c r="B353" s="2"/>
      <c r="C353" s="2"/>
      <c r="D353" s="2"/>
      <c r="E353" s="2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>
      <c r="A354" s="2"/>
      <c r="B354" s="2"/>
      <c r="C354" s="2"/>
      <c r="D354" s="2"/>
      <c r="E354" s="2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>
      <c r="A355" s="2"/>
      <c r="B355" s="2"/>
      <c r="C355" s="2"/>
      <c r="D355" s="2"/>
      <c r="E355" s="2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>
      <c r="A356" s="2"/>
      <c r="B356" s="2"/>
      <c r="C356" s="2"/>
      <c r="D356" s="2"/>
      <c r="E356" s="2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>
      <c r="A357" s="2"/>
      <c r="B357" s="2"/>
      <c r="C357" s="2"/>
      <c r="D357" s="2"/>
      <c r="E357" s="2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>
      <c r="A358" s="2"/>
      <c r="B358" s="2"/>
      <c r="C358" s="2"/>
      <c r="D358" s="2"/>
      <c r="E358" s="2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>
      <c r="A359" s="2"/>
      <c r="B359" s="2"/>
      <c r="C359" s="2"/>
      <c r="D359" s="2"/>
      <c r="E359" s="2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>
      <c r="A360" s="2"/>
      <c r="B360" s="2"/>
      <c r="C360" s="2"/>
      <c r="D360" s="2"/>
      <c r="E360" s="2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>
      <c r="A361" s="2"/>
      <c r="B361" s="2"/>
      <c r="C361" s="2"/>
      <c r="D361" s="2"/>
      <c r="E361" s="2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>
      <c r="A362" s="2"/>
      <c r="B362" s="2"/>
      <c r="C362" s="2"/>
      <c r="D362" s="2"/>
      <c r="E362" s="2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>
      <c r="A363" s="2"/>
      <c r="B363" s="2"/>
      <c r="C363" s="2"/>
      <c r="D363" s="2"/>
      <c r="E363" s="2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>
      <c r="A364" s="2"/>
      <c r="B364" s="2"/>
      <c r="C364" s="2"/>
      <c r="D364" s="2"/>
      <c r="E364" s="2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>
      <c r="A365" s="2"/>
      <c r="B365" s="2"/>
      <c r="C365" s="2"/>
      <c r="D365" s="2"/>
      <c r="E365" s="2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>
      <c r="A366" s="2"/>
      <c r="B366" s="2"/>
      <c r="C366" s="2"/>
      <c r="D366" s="2"/>
      <c r="E366" s="2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>
      <c r="A367" s="2"/>
      <c r="B367" s="2"/>
      <c r="C367" s="2"/>
      <c r="D367" s="2"/>
      <c r="E367" s="2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>
      <c r="A368" s="2"/>
      <c r="B368" s="2"/>
      <c r="C368" s="2"/>
      <c r="D368" s="2"/>
      <c r="E368" s="2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>
      <c r="A369" s="2"/>
      <c r="B369" s="2"/>
      <c r="C369" s="2"/>
      <c r="D369" s="2"/>
      <c r="E369" s="2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>
      <c r="A370" s="2"/>
      <c r="B370" s="2"/>
      <c r="C370" s="2"/>
      <c r="D370" s="2"/>
      <c r="E370" s="2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>
      <c r="A371" s="2"/>
      <c r="B371" s="2"/>
      <c r="C371" s="2"/>
      <c r="D371" s="2"/>
      <c r="E371" s="2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>
      <c r="A372" s="2"/>
      <c r="B372" s="2"/>
      <c r="C372" s="2"/>
      <c r="D372" s="2"/>
      <c r="E372" s="2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>
      <c r="A373" s="2"/>
      <c r="B373" s="2"/>
      <c r="C373" s="2"/>
      <c r="D373" s="2"/>
      <c r="E373" s="2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>
      <c r="A374" s="2"/>
      <c r="B374" s="2"/>
      <c r="C374" s="2"/>
      <c r="D374" s="2"/>
      <c r="E374" s="2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>
      <c r="A375" s="2"/>
      <c r="B375" s="2"/>
      <c r="C375" s="2"/>
      <c r="D375" s="2"/>
      <c r="E375" s="2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>
      <c r="A376" s="2"/>
      <c r="B376" s="2"/>
      <c r="C376" s="2"/>
      <c r="D376" s="2"/>
      <c r="E376" s="2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>
      <c r="A377" s="2"/>
      <c r="B377" s="2"/>
      <c r="C377" s="2"/>
      <c r="D377" s="2"/>
      <c r="E377" s="2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>
      <c r="A378" s="2"/>
      <c r="B378" s="2"/>
      <c r="C378" s="2"/>
      <c r="D378" s="2"/>
      <c r="E378" s="2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>
      <c r="A379" s="2"/>
      <c r="B379" s="2"/>
      <c r="C379" s="2"/>
      <c r="D379" s="2"/>
      <c r="E379" s="2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>
      <c r="A380" s="2"/>
      <c r="B380" s="2"/>
      <c r="C380" s="2"/>
      <c r="D380" s="2"/>
      <c r="E380" s="2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>
      <c r="A381" s="2"/>
      <c r="B381" s="2"/>
      <c r="C381" s="2"/>
      <c r="D381" s="2"/>
      <c r="E381" s="2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>
      <c r="A382" s="2"/>
      <c r="B382" s="2"/>
      <c r="C382" s="2"/>
      <c r="D382" s="2"/>
      <c r="E382" s="2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>
      <c r="A383" s="2"/>
      <c r="B383" s="2"/>
      <c r="C383" s="2"/>
      <c r="D383" s="2"/>
      <c r="E383" s="2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>
      <c r="A384" s="2"/>
      <c r="B384" s="2"/>
      <c r="C384" s="2"/>
      <c r="D384" s="2"/>
      <c r="E384" s="2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>
      <c r="A385" s="2"/>
      <c r="B385" s="2"/>
      <c r="C385" s="2"/>
      <c r="D385" s="2"/>
      <c r="E385" s="2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>
      <c r="A386" s="2"/>
      <c r="B386" s="2"/>
      <c r="C386" s="2"/>
      <c r="D386" s="2"/>
      <c r="E386" s="2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>
      <c r="A387" s="2"/>
      <c r="B387" s="2"/>
      <c r="C387" s="2"/>
      <c r="D387" s="2"/>
      <c r="E387" s="2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>
      <c r="A388" s="2"/>
      <c r="B388" s="2"/>
      <c r="C388" s="2"/>
      <c r="D388" s="2"/>
      <c r="E388" s="2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>
      <c r="A389" s="2"/>
      <c r="B389" s="2"/>
      <c r="C389" s="2"/>
      <c r="D389" s="2"/>
      <c r="E389" s="2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>
      <c r="A390" s="2"/>
      <c r="B390" s="2"/>
      <c r="C390" s="2"/>
      <c r="D390" s="2"/>
      <c r="E390" s="2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>
      <c r="A391" s="2"/>
      <c r="B391" s="2"/>
      <c r="C391" s="2"/>
      <c r="D391" s="2"/>
      <c r="E391" s="2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>
      <c r="A392" s="2"/>
      <c r="B392" s="2"/>
      <c r="C392" s="2"/>
      <c r="D392" s="2"/>
      <c r="E392" s="2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>
      <c r="A393" s="2"/>
      <c r="B393" s="2"/>
      <c r="C393" s="2"/>
      <c r="D393" s="2"/>
      <c r="E393" s="2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>
      <c r="A394" s="2"/>
      <c r="B394" s="2"/>
      <c r="C394" s="2"/>
      <c r="D394" s="2"/>
      <c r="E394" s="2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>
      <c r="A395" s="2"/>
      <c r="B395" s="2"/>
      <c r="C395" s="2"/>
      <c r="D395" s="2"/>
      <c r="E395" s="2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>
      <c r="A396" s="2"/>
      <c r="B396" s="2"/>
      <c r="C396" s="2"/>
      <c r="D396" s="2"/>
      <c r="E396" s="2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>
      <c r="A397" s="2"/>
      <c r="B397" s="2"/>
      <c r="C397" s="2"/>
      <c r="D397" s="2"/>
      <c r="E397" s="2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>
      <c r="A398" s="2"/>
      <c r="B398" s="2"/>
      <c r="C398" s="2"/>
      <c r="D398" s="2"/>
      <c r="E398" s="2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>
      <c r="A399" s="2"/>
      <c r="B399" s="2"/>
      <c r="C399" s="2"/>
      <c r="D399" s="2"/>
      <c r="E399" s="2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>
      <c r="A400" s="2"/>
      <c r="B400" s="2"/>
      <c r="C400" s="2"/>
      <c r="D400" s="2"/>
      <c r="E400" s="2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>
      <c r="A401" s="2"/>
      <c r="B401" s="2"/>
      <c r="C401" s="2"/>
      <c r="D401" s="2"/>
      <c r="E401" s="2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>
      <c r="A402" s="2"/>
      <c r="B402" s="2"/>
      <c r="C402" s="2"/>
      <c r="D402" s="2"/>
      <c r="E402" s="2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>
      <c r="A403" s="2"/>
      <c r="B403" s="2"/>
      <c r="C403" s="2"/>
      <c r="D403" s="2"/>
      <c r="E403" s="2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>
      <c r="A404" s="2"/>
      <c r="B404" s="2"/>
      <c r="C404" s="2"/>
      <c r="D404" s="2"/>
      <c r="E404" s="2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>
      <c r="A405" s="2"/>
      <c r="B405" s="2"/>
      <c r="C405" s="2"/>
      <c r="D405" s="2"/>
      <c r="E405" s="2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>
      <c r="A406" s="2"/>
      <c r="B406" s="2"/>
      <c r="C406" s="2"/>
      <c r="D406" s="2"/>
      <c r="E406" s="2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>
      <c r="A407" s="2"/>
      <c r="B407" s="2"/>
      <c r="C407" s="2"/>
      <c r="D407" s="2"/>
      <c r="E407" s="2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>
      <c r="A408" s="2"/>
      <c r="B408" s="2"/>
      <c r="C408" s="2"/>
      <c r="D408" s="2"/>
      <c r="E408" s="2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>
      <c r="A409" s="2"/>
      <c r="B409" s="2"/>
      <c r="C409" s="2"/>
      <c r="D409" s="2"/>
      <c r="E409" s="2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>
      <c r="A410" s="2"/>
      <c r="B410" s="2"/>
      <c r="C410" s="2"/>
      <c r="D410" s="2"/>
      <c r="E410" s="2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>
      <c r="A411" s="2"/>
      <c r="B411" s="2"/>
      <c r="C411" s="2"/>
      <c r="D411" s="2"/>
      <c r="E411" s="2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>
      <c r="A412" s="2"/>
      <c r="B412" s="2"/>
      <c r="C412" s="2"/>
      <c r="D412" s="2"/>
      <c r="E412" s="2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>
      <c r="A413" s="2"/>
      <c r="B413" s="2"/>
      <c r="C413" s="2"/>
      <c r="D413" s="2"/>
      <c r="E413" s="2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>
      <c r="A414" s="2"/>
      <c r="B414" s="2"/>
      <c r="C414" s="2"/>
      <c r="D414" s="2"/>
      <c r="E414" s="2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>
      <c r="A415" s="2"/>
      <c r="B415" s="2"/>
      <c r="C415" s="2"/>
      <c r="D415" s="2"/>
      <c r="E415" s="2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>
      <c r="A416" s="2"/>
      <c r="B416" s="2"/>
      <c r="C416" s="2"/>
      <c r="D416" s="2"/>
      <c r="E416" s="2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>
      <c r="A417" s="2"/>
      <c r="B417" s="2"/>
      <c r="C417" s="2"/>
      <c r="D417" s="2"/>
      <c r="E417" s="2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>
      <c r="A418" s="2"/>
      <c r="B418" s="2"/>
      <c r="C418" s="2"/>
      <c r="D418" s="2"/>
      <c r="E418" s="2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>
      <c r="A419" s="2"/>
      <c r="B419" s="2"/>
      <c r="C419" s="2"/>
      <c r="D419" s="2"/>
      <c r="E419" s="2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>
      <c r="A420" s="2"/>
      <c r="B420" s="2"/>
      <c r="C420" s="2"/>
      <c r="D420" s="2"/>
      <c r="E420" s="2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>
      <c r="A421" s="2"/>
      <c r="B421" s="2"/>
      <c r="C421" s="2"/>
      <c r="D421" s="2"/>
      <c r="E421" s="2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>
      <c r="A422" s="2"/>
      <c r="B422" s="2"/>
      <c r="C422" s="2"/>
      <c r="D422" s="2"/>
      <c r="E422" s="2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>
      <c r="A423" s="2"/>
      <c r="B423" s="2"/>
      <c r="C423" s="2"/>
      <c r="D423" s="2"/>
      <c r="E423" s="2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>
      <c r="A424" s="2"/>
      <c r="B424" s="2"/>
      <c r="C424" s="2"/>
      <c r="D424" s="2"/>
      <c r="E424" s="2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>
      <c r="A425" s="2"/>
      <c r="B425" s="2"/>
      <c r="C425" s="2"/>
      <c r="D425" s="2"/>
      <c r="E425" s="2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>
      <c r="A426" s="2"/>
      <c r="B426" s="2"/>
      <c r="C426" s="2"/>
      <c r="D426" s="2"/>
      <c r="E426" s="2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>
      <c r="A427" s="2"/>
      <c r="B427" s="2"/>
      <c r="C427" s="2"/>
      <c r="D427" s="2"/>
      <c r="E427" s="2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>
      <c r="A428" s="2"/>
      <c r="B428" s="2"/>
      <c r="C428" s="2"/>
      <c r="D428" s="2"/>
      <c r="E428" s="2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>
      <c r="A429" s="2"/>
      <c r="B429" s="2"/>
      <c r="C429" s="2"/>
      <c r="D429" s="2"/>
      <c r="E429" s="2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>
      <c r="A430" s="2"/>
      <c r="B430" s="2"/>
      <c r="C430" s="2"/>
      <c r="D430" s="2"/>
      <c r="E430" s="2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>
      <c r="A431" s="2"/>
      <c r="B431" s="2"/>
      <c r="C431" s="2"/>
      <c r="D431" s="2"/>
      <c r="E431" s="2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>
      <c r="A432" s="2"/>
      <c r="B432" s="2"/>
      <c r="C432" s="2"/>
      <c r="D432" s="2"/>
      <c r="E432" s="2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>
      <c r="A433" s="2"/>
      <c r="B433" s="2"/>
      <c r="C433" s="2"/>
      <c r="D433" s="2"/>
      <c r="E433" s="2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>
      <c r="A434" s="2"/>
      <c r="B434" s="2"/>
      <c r="C434" s="2"/>
      <c r="D434" s="2"/>
      <c r="E434" s="2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>
      <c r="A435" s="2"/>
      <c r="B435" s="2"/>
      <c r="C435" s="2"/>
      <c r="D435" s="2"/>
      <c r="E435" s="2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>
      <c r="A436" s="2"/>
      <c r="B436" s="2"/>
      <c r="C436" s="2"/>
      <c r="D436" s="2"/>
      <c r="E436" s="2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>
      <c r="A437" s="2"/>
      <c r="B437" s="2"/>
      <c r="C437" s="2"/>
      <c r="D437" s="2"/>
      <c r="E437" s="2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>
      <c r="A438" s="2"/>
      <c r="B438" s="2"/>
      <c r="C438" s="2"/>
      <c r="D438" s="2"/>
      <c r="E438" s="2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>
      <c r="A439" s="2"/>
      <c r="B439" s="2"/>
      <c r="C439" s="2"/>
      <c r="D439" s="2"/>
      <c r="E439" s="2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>
      <c r="A440" s="2"/>
      <c r="B440" s="2"/>
      <c r="C440" s="2"/>
      <c r="D440" s="2"/>
      <c r="E440" s="2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>
      <c r="A441" s="2"/>
      <c r="B441" s="2"/>
      <c r="C441" s="2"/>
      <c r="D441" s="2"/>
      <c r="E441" s="2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>
      <c r="A442" s="2"/>
      <c r="B442" s="2"/>
      <c r="C442" s="2"/>
      <c r="D442" s="2"/>
      <c r="E442" s="2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>
      <c r="A443" s="2"/>
      <c r="B443" s="2"/>
      <c r="C443" s="2"/>
      <c r="D443" s="2"/>
      <c r="E443" s="2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>
      <c r="A444" s="2"/>
      <c r="B444" s="2"/>
      <c r="C444" s="2"/>
      <c r="D444" s="2"/>
      <c r="E444" s="2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>
      <c r="A445" s="2"/>
      <c r="B445" s="2"/>
      <c r="C445" s="2"/>
      <c r="D445" s="2"/>
      <c r="E445" s="2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>
      <c r="A446" s="2"/>
      <c r="B446" s="2"/>
      <c r="C446" s="2"/>
      <c r="D446" s="2"/>
      <c r="E446" s="2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</sheetData>
  <autoFilter ref="A1:AK84" xr:uid="{00000000-0001-0000-0000-000000000000}">
    <sortState xmlns:xlrd2="http://schemas.microsoft.com/office/spreadsheetml/2017/richdata2" ref="A2:AK84">
      <sortCondition ref="F1:F84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J90"/>
  <sheetViews>
    <sheetView topLeftCell="V1" zoomScaleNormal="100" workbookViewId="0">
      <selection activeCell="W44" sqref="W44"/>
    </sheetView>
  </sheetViews>
  <sheetFormatPr baseColWidth="10" defaultRowHeight="12.75"/>
  <cols>
    <col min="1" max="1" width="4.7109375" style="17" customWidth="1"/>
    <col min="2" max="2" width="13.42578125" style="17" bestFit="1" customWidth="1"/>
    <col min="3" max="3" width="22.42578125" style="17" bestFit="1" customWidth="1"/>
    <col min="4" max="4" width="5.85546875" style="17" customWidth="1"/>
    <col min="5" max="5" width="28.28515625" style="17" bestFit="1" customWidth="1"/>
    <col min="6" max="6" width="25.85546875" style="17" bestFit="1" customWidth="1"/>
    <col min="7" max="7" width="5.28515625" style="17" customWidth="1"/>
    <col min="8" max="8" width="31" style="17" bestFit="1" customWidth="1"/>
    <col min="9" max="9" width="25.85546875" style="17" bestFit="1" customWidth="1"/>
    <col min="10" max="10" width="6.140625" style="17" customWidth="1"/>
    <col min="11" max="11" width="33.28515625" style="17" bestFit="1" customWidth="1"/>
    <col min="12" max="12" width="8" style="17" bestFit="1" customWidth="1"/>
    <col min="13" max="13" width="25.85546875" style="17" bestFit="1" customWidth="1"/>
    <col min="14" max="14" width="22.42578125" style="17" bestFit="1" customWidth="1"/>
    <col min="15" max="15" width="18.7109375" style="17" bestFit="1" customWidth="1"/>
    <col min="16" max="16" width="10" style="17" customWidth="1"/>
    <col min="17" max="17" width="33.7109375" style="17" bestFit="1" customWidth="1"/>
    <col min="18" max="18" width="25.85546875" style="17" bestFit="1" customWidth="1"/>
    <col min="19" max="19" width="11.42578125" style="17"/>
    <col min="20" max="20" width="15.7109375" style="17" bestFit="1" customWidth="1"/>
    <col min="21" max="21" width="7.85546875" style="17" bestFit="1" customWidth="1"/>
    <col min="22" max="22" width="25.85546875" style="17" bestFit="1" customWidth="1"/>
    <col min="23" max="23" width="22.42578125" style="17" bestFit="1" customWidth="1"/>
    <col min="24" max="24" width="18.7109375" style="17" customWidth="1"/>
    <col min="25" max="25" width="11.42578125" style="17"/>
    <col min="26" max="26" width="15.7109375" style="17" bestFit="1" customWidth="1"/>
    <col min="27" max="27" width="7.85546875" style="17" bestFit="1" customWidth="1"/>
    <col min="28" max="28" width="25.85546875" style="17" bestFit="1" customWidth="1"/>
    <col min="29" max="29" width="22.42578125" style="17" bestFit="1" customWidth="1"/>
    <col min="30" max="30" width="18.7109375" style="17" bestFit="1" customWidth="1"/>
    <col min="31" max="31" width="11.42578125" style="17"/>
    <col min="32" max="32" width="16.140625" style="17" bestFit="1" customWidth="1"/>
    <col min="33" max="33" width="7.85546875" style="17" bestFit="1" customWidth="1"/>
    <col min="34" max="34" width="25.85546875" style="17" bestFit="1" customWidth="1"/>
    <col min="35" max="35" width="22.42578125" style="17" bestFit="1" customWidth="1"/>
    <col min="36" max="36" width="18.7109375" style="17" bestFit="1" customWidth="1"/>
    <col min="37" max="16384" width="11.42578125" style="17"/>
  </cols>
  <sheetData>
    <row r="6" spans="2:36">
      <c r="B6" s="16" t="s">
        <v>64</v>
      </c>
      <c r="C6" s="16"/>
      <c r="D6" s="16"/>
      <c r="E6" s="16" t="s">
        <v>65</v>
      </c>
      <c r="H6" s="16" t="s">
        <v>66</v>
      </c>
      <c r="K6" s="16" t="s">
        <v>67</v>
      </c>
      <c r="Q6" s="16" t="s">
        <v>68</v>
      </c>
      <c r="T6" s="16" t="s">
        <v>441</v>
      </c>
      <c r="Z6" s="16" t="s">
        <v>440</v>
      </c>
      <c r="AF6" s="16" t="s">
        <v>439</v>
      </c>
    </row>
    <row r="8" spans="2:36">
      <c r="B8" s="18" t="s">
        <v>55</v>
      </c>
      <c r="C8" s="17" t="s">
        <v>217</v>
      </c>
      <c r="E8" s="18" t="s">
        <v>55</v>
      </c>
      <c r="F8" s="17" t="s">
        <v>58</v>
      </c>
      <c r="H8" s="18" t="s">
        <v>55</v>
      </c>
      <c r="I8" s="17" t="s">
        <v>58</v>
      </c>
      <c r="K8" s="18" t="s">
        <v>55</v>
      </c>
      <c r="L8" s="17" t="s">
        <v>222</v>
      </c>
      <c r="M8" s="17" t="s">
        <v>58</v>
      </c>
      <c r="N8" s="17" t="s">
        <v>218</v>
      </c>
      <c r="O8" s="17" t="s">
        <v>219</v>
      </c>
      <c r="Q8" s="18" t="s">
        <v>55</v>
      </c>
      <c r="R8" s="17" t="s">
        <v>58</v>
      </c>
      <c r="T8" s="18" t="s">
        <v>55</v>
      </c>
      <c r="U8" s="17" t="s">
        <v>222</v>
      </c>
      <c r="V8" s="17" t="s">
        <v>58</v>
      </c>
      <c r="W8" s="17" t="s">
        <v>218</v>
      </c>
      <c r="X8" s="17" t="s">
        <v>219</v>
      </c>
      <c r="Z8" s="18" t="s">
        <v>55</v>
      </c>
      <c r="AA8" s="17" t="s">
        <v>222</v>
      </c>
      <c r="AB8" s="17" t="s">
        <v>58</v>
      </c>
      <c r="AC8" s="17" t="s">
        <v>218</v>
      </c>
      <c r="AD8" s="17" t="s">
        <v>219</v>
      </c>
      <c r="AF8" s="18" t="s">
        <v>55</v>
      </c>
      <c r="AG8" s="17" t="s">
        <v>222</v>
      </c>
      <c r="AH8" s="17" t="s">
        <v>58</v>
      </c>
      <c r="AI8" s="17" t="s">
        <v>218</v>
      </c>
      <c r="AJ8" s="17" t="s">
        <v>219</v>
      </c>
    </row>
    <row r="9" spans="2:36">
      <c r="B9" s="19" t="s">
        <v>34</v>
      </c>
      <c r="C9" s="17">
        <v>83</v>
      </c>
      <c r="E9" s="19" t="s">
        <v>34</v>
      </c>
      <c r="F9" s="17">
        <v>24708.71</v>
      </c>
      <c r="H9" s="19" t="s">
        <v>57</v>
      </c>
      <c r="I9" s="17">
        <v>24708.71</v>
      </c>
      <c r="K9" s="19" t="s">
        <v>37</v>
      </c>
      <c r="L9" s="17">
        <v>6</v>
      </c>
      <c r="M9" s="17">
        <v>8310.17</v>
      </c>
      <c r="N9" s="17">
        <v>1495.83</v>
      </c>
      <c r="O9" s="17">
        <v>9806</v>
      </c>
      <c r="Q9" s="19" t="s">
        <v>57</v>
      </c>
      <c r="R9" s="17">
        <v>24708.71</v>
      </c>
      <c r="T9" s="20">
        <v>45695</v>
      </c>
      <c r="U9" s="17">
        <v>1</v>
      </c>
      <c r="V9" s="17">
        <v>107.37</v>
      </c>
      <c r="W9" s="17">
        <v>19.329999999999998</v>
      </c>
      <c r="X9" s="17">
        <v>126.7</v>
      </c>
      <c r="Z9" s="20">
        <v>45695</v>
      </c>
      <c r="AA9" s="17">
        <v>1</v>
      </c>
      <c r="AB9" s="17">
        <v>107.37</v>
      </c>
      <c r="AC9" s="17">
        <v>19.329999999999998</v>
      </c>
      <c r="AD9" s="17">
        <v>126.7</v>
      </c>
      <c r="AF9" s="19" t="s">
        <v>213</v>
      </c>
      <c r="AG9" s="17">
        <v>4</v>
      </c>
      <c r="AH9" s="17">
        <v>2058.54</v>
      </c>
      <c r="AI9" s="17">
        <v>370.53999999999996</v>
      </c>
      <c r="AJ9" s="17">
        <v>2429.08</v>
      </c>
    </row>
    <row r="10" spans="2:36">
      <c r="B10" s="19" t="s">
        <v>57</v>
      </c>
      <c r="E10" s="19" t="s">
        <v>57</v>
      </c>
      <c r="H10" s="19" t="s">
        <v>56</v>
      </c>
      <c r="I10" s="17">
        <v>24708.71</v>
      </c>
      <c r="K10" s="19" t="s">
        <v>27</v>
      </c>
      <c r="L10" s="17">
        <v>32</v>
      </c>
      <c r="M10" s="17">
        <v>6438.9</v>
      </c>
      <c r="N10" s="17">
        <v>1159.0299999999997</v>
      </c>
      <c r="O10" s="17">
        <v>7597.9299999999994</v>
      </c>
      <c r="Q10" s="19" t="s">
        <v>56</v>
      </c>
      <c r="R10" s="17">
        <v>24708.71</v>
      </c>
      <c r="T10" s="20">
        <v>45698</v>
      </c>
      <c r="U10" s="17">
        <v>2</v>
      </c>
      <c r="V10" s="17">
        <v>1641</v>
      </c>
      <c r="W10" s="17">
        <v>295.38</v>
      </c>
      <c r="X10" s="17">
        <v>1936.38</v>
      </c>
      <c r="Z10" s="20">
        <v>45698</v>
      </c>
      <c r="AA10" s="17">
        <v>2</v>
      </c>
      <c r="AB10" s="17">
        <v>1641</v>
      </c>
      <c r="AC10" s="17">
        <v>295.38</v>
      </c>
      <c r="AD10" s="17">
        <v>1936.38</v>
      </c>
      <c r="AF10" s="19" t="s">
        <v>211</v>
      </c>
      <c r="AG10" s="17">
        <v>1</v>
      </c>
    </row>
    <row r="11" spans="2:36">
      <c r="B11" s="19" t="s">
        <v>56</v>
      </c>
      <c r="C11" s="17">
        <v>83</v>
      </c>
      <c r="E11" s="19" t="s">
        <v>56</v>
      </c>
      <c r="F11" s="17">
        <v>24708.71</v>
      </c>
      <c r="K11" s="19" t="s">
        <v>38</v>
      </c>
      <c r="L11" s="17">
        <v>11</v>
      </c>
      <c r="M11" s="17">
        <v>2012.1999999999998</v>
      </c>
      <c r="N11" s="17">
        <v>362.18</v>
      </c>
      <c r="O11" s="17">
        <v>2374.38</v>
      </c>
      <c r="T11" s="20">
        <v>45739</v>
      </c>
      <c r="U11" s="17">
        <v>1</v>
      </c>
      <c r="V11" s="17">
        <v>310.17</v>
      </c>
      <c r="W11" s="17">
        <v>55.83</v>
      </c>
      <c r="X11" s="17">
        <v>366</v>
      </c>
      <c r="Z11" s="20">
        <v>45739</v>
      </c>
      <c r="AA11" s="17">
        <v>1</v>
      </c>
      <c r="AB11" s="17">
        <v>310.17</v>
      </c>
      <c r="AC11" s="17">
        <v>55.83</v>
      </c>
      <c r="AD11" s="17">
        <v>366</v>
      </c>
      <c r="AF11" s="19" t="s">
        <v>200</v>
      </c>
      <c r="AG11" s="17">
        <v>1</v>
      </c>
    </row>
    <row r="12" spans="2:36">
      <c r="K12" s="19" t="s">
        <v>35</v>
      </c>
      <c r="L12" s="17">
        <v>28</v>
      </c>
      <c r="M12" s="17">
        <v>6084.1399999999994</v>
      </c>
      <c r="N12" s="17">
        <v>1095.1400000000003</v>
      </c>
      <c r="O12" s="17">
        <v>7179.2800000000007</v>
      </c>
      <c r="T12" s="20">
        <v>45743</v>
      </c>
      <c r="U12" s="17">
        <v>9</v>
      </c>
      <c r="V12" s="17">
        <v>2254</v>
      </c>
      <c r="W12" s="17">
        <v>405.71999999999997</v>
      </c>
      <c r="X12" s="17">
        <v>2659.72</v>
      </c>
      <c r="Z12" s="20">
        <v>45743</v>
      </c>
      <c r="AA12" s="17">
        <v>9</v>
      </c>
      <c r="AB12" s="17">
        <v>2254</v>
      </c>
      <c r="AC12" s="17">
        <v>405.71999999999997</v>
      </c>
      <c r="AD12" s="17">
        <v>2659.72</v>
      </c>
      <c r="AF12" s="19" t="s">
        <v>198</v>
      </c>
      <c r="AG12" s="17">
        <v>1</v>
      </c>
    </row>
    <row r="13" spans="2:36">
      <c r="K13" s="19" t="s">
        <v>39</v>
      </c>
      <c r="L13" s="17">
        <v>1</v>
      </c>
      <c r="M13" s="17">
        <v>400</v>
      </c>
      <c r="N13" s="17">
        <v>72</v>
      </c>
      <c r="O13" s="17">
        <v>472</v>
      </c>
      <c r="T13" s="20">
        <v>45891</v>
      </c>
      <c r="U13" s="17">
        <v>10</v>
      </c>
      <c r="V13" s="17">
        <v>1288</v>
      </c>
      <c r="W13" s="17">
        <v>231.84</v>
      </c>
      <c r="X13" s="17">
        <v>1519.84</v>
      </c>
      <c r="Z13" s="20">
        <v>45891</v>
      </c>
      <c r="AA13" s="17">
        <v>10</v>
      </c>
      <c r="AB13" s="17">
        <v>1288</v>
      </c>
      <c r="AC13" s="17">
        <v>231.84</v>
      </c>
      <c r="AD13" s="17">
        <v>1519.84</v>
      </c>
      <c r="AF13" s="19" t="s">
        <v>196</v>
      </c>
      <c r="AG13" s="17">
        <v>1</v>
      </c>
    </row>
    <row r="14" spans="2:36">
      <c r="K14" s="19" t="s">
        <v>40</v>
      </c>
      <c r="L14" s="17">
        <v>1</v>
      </c>
      <c r="M14" s="17">
        <v>107.37</v>
      </c>
      <c r="N14" s="17">
        <v>19.329999999999998</v>
      </c>
      <c r="O14" s="17">
        <v>126.7</v>
      </c>
      <c r="T14" s="20">
        <v>45894</v>
      </c>
      <c r="U14" s="17">
        <v>3</v>
      </c>
      <c r="V14" s="17">
        <v>159.06</v>
      </c>
      <c r="W14" s="17">
        <v>28.619999999999997</v>
      </c>
      <c r="X14" s="17">
        <v>187.68</v>
      </c>
      <c r="Z14" s="20">
        <v>45894</v>
      </c>
      <c r="AA14" s="17">
        <v>3</v>
      </c>
      <c r="AB14" s="17">
        <v>159.06</v>
      </c>
      <c r="AC14" s="17">
        <v>28.619999999999997</v>
      </c>
      <c r="AD14" s="17">
        <v>187.68</v>
      </c>
      <c r="AF14" s="19" t="s">
        <v>209</v>
      </c>
      <c r="AG14" s="17">
        <v>1</v>
      </c>
    </row>
    <row r="15" spans="2:36">
      <c r="K15" s="19" t="s">
        <v>36</v>
      </c>
      <c r="L15" s="17">
        <v>3</v>
      </c>
      <c r="T15" s="20">
        <v>45896</v>
      </c>
      <c r="U15" s="17">
        <v>8</v>
      </c>
      <c r="V15" s="17">
        <v>4576.6499999999996</v>
      </c>
      <c r="W15" s="17">
        <v>823.79</v>
      </c>
      <c r="X15" s="17">
        <v>5400.4400000000005</v>
      </c>
      <c r="Z15" s="20">
        <v>45896</v>
      </c>
      <c r="AA15" s="17">
        <v>8</v>
      </c>
      <c r="AB15" s="17">
        <v>4576.6499999999996</v>
      </c>
      <c r="AC15" s="17">
        <v>823.79</v>
      </c>
      <c r="AD15" s="17">
        <v>5400.4400000000005</v>
      </c>
      <c r="AF15" s="19" t="s">
        <v>194</v>
      </c>
      <c r="AG15" s="17">
        <v>1</v>
      </c>
    </row>
    <row r="16" spans="2:36">
      <c r="E16" s="16" t="s">
        <v>220</v>
      </c>
      <c r="K16" s="19" t="s">
        <v>112</v>
      </c>
      <c r="L16" s="17">
        <v>1</v>
      </c>
      <c r="M16" s="17">
        <v>1355.93</v>
      </c>
      <c r="N16" s="17">
        <v>244.07</v>
      </c>
      <c r="O16" s="17">
        <v>1600</v>
      </c>
      <c r="T16" s="20">
        <v>45898</v>
      </c>
      <c r="U16" s="17">
        <v>1</v>
      </c>
      <c r="V16" s="17">
        <v>54.15</v>
      </c>
      <c r="W16" s="17">
        <v>9.75</v>
      </c>
      <c r="X16" s="17">
        <v>63.9</v>
      </c>
      <c r="Z16" s="20">
        <v>45898</v>
      </c>
      <c r="AA16" s="17">
        <v>1</v>
      </c>
      <c r="AB16" s="17">
        <v>54.15</v>
      </c>
      <c r="AC16" s="17">
        <v>9.75</v>
      </c>
      <c r="AD16" s="17">
        <v>63.9</v>
      </c>
      <c r="AF16" s="19" t="s">
        <v>192</v>
      </c>
      <c r="AG16" s="17">
        <v>1</v>
      </c>
    </row>
    <row r="17" spans="5:36">
      <c r="K17" s="19" t="s">
        <v>57</v>
      </c>
      <c r="T17" s="20">
        <v>45902</v>
      </c>
      <c r="U17" s="17">
        <v>5</v>
      </c>
      <c r="V17" s="17">
        <v>1342.15</v>
      </c>
      <c r="W17" s="17">
        <v>241.59</v>
      </c>
      <c r="X17" s="17">
        <v>1583.74</v>
      </c>
      <c r="Z17" s="20">
        <v>45902</v>
      </c>
      <c r="AA17" s="17">
        <v>5</v>
      </c>
      <c r="AB17" s="17">
        <v>1342.15</v>
      </c>
      <c r="AC17" s="17">
        <v>241.59</v>
      </c>
      <c r="AD17" s="17">
        <v>1583.74</v>
      </c>
      <c r="AF17" s="19" t="s">
        <v>190</v>
      </c>
      <c r="AG17" s="17">
        <v>1</v>
      </c>
    </row>
    <row r="18" spans="5:36">
      <c r="E18" s="18" t="s">
        <v>55</v>
      </c>
      <c r="F18" s="17" t="s">
        <v>218</v>
      </c>
      <c r="K18" s="19" t="s">
        <v>56</v>
      </c>
      <c r="L18" s="17">
        <v>83</v>
      </c>
      <c r="M18" s="17">
        <v>24708.709999999995</v>
      </c>
      <c r="N18" s="17">
        <v>4447.5800000000008</v>
      </c>
      <c r="O18" s="17">
        <v>29156.289999999983</v>
      </c>
      <c r="T18" s="20">
        <v>45903</v>
      </c>
      <c r="U18" s="17">
        <v>1</v>
      </c>
      <c r="V18" s="17">
        <v>322</v>
      </c>
      <c r="W18" s="17">
        <v>57.96</v>
      </c>
      <c r="X18" s="17">
        <v>379.96</v>
      </c>
      <c r="Z18" s="20">
        <v>45903</v>
      </c>
      <c r="AA18" s="17">
        <v>1</v>
      </c>
      <c r="AB18" s="17">
        <v>322</v>
      </c>
      <c r="AC18" s="17">
        <v>57.96</v>
      </c>
      <c r="AD18" s="17">
        <v>379.96</v>
      </c>
      <c r="AF18" s="19" t="s">
        <v>188</v>
      </c>
      <c r="AG18" s="17">
        <v>1</v>
      </c>
      <c r="AH18" s="17">
        <v>322</v>
      </c>
      <c r="AI18" s="17">
        <v>57.96</v>
      </c>
      <c r="AJ18" s="17">
        <v>379.96</v>
      </c>
    </row>
    <row r="19" spans="5:36">
      <c r="E19" s="19" t="s">
        <v>34</v>
      </c>
      <c r="F19" s="17">
        <v>4447.5800000000017</v>
      </c>
      <c r="T19" s="20">
        <v>45908</v>
      </c>
      <c r="U19" s="17">
        <v>18</v>
      </c>
      <c r="V19" s="17">
        <v>2074.48</v>
      </c>
      <c r="W19" s="17">
        <v>373.44999999999993</v>
      </c>
      <c r="X19" s="17">
        <v>2447.9299999999998</v>
      </c>
      <c r="Z19" s="20">
        <v>45908</v>
      </c>
      <c r="AA19" s="17">
        <v>18</v>
      </c>
      <c r="AB19" s="17">
        <v>2074.48</v>
      </c>
      <c r="AC19" s="17">
        <v>373.44999999999993</v>
      </c>
      <c r="AD19" s="17">
        <v>2447.9299999999998</v>
      </c>
      <c r="AF19" s="19" t="s">
        <v>186</v>
      </c>
      <c r="AG19" s="17">
        <v>1</v>
      </c>
      <c r="AH19" s="17">
        <v>322</v>
      </c>
      <c r="AI19" s="17">
        <v>57.96</v>
      </c>
      <c r="AJ19" s="17">
        <v>379.96</v>
      </c>
    </row>
    <row r="20" spans="5:36">
      <c r="E20" s="19" t="s">
        <v>57</v>
      </c>
      <c r="T20" s="20">
        <v>45912</v>
      </c>
      <c r="U20" s="17">
        <v>1</v>
      </c>
      <c r="V20" s="17">
        <v>33.9</v>
      </c>
      <c r="W20" s="17">
        <v>6.1</v>
      </c>
      <c r="X20" s="17">
        <v>40</v>
      </c>
      <c r="Z20" s="20">
        <v>45912</v>
      </c>
      <c r="AA20" s="17">
        <v>1</v>
      </c>
      <c r="AB20" s="17">
        <v>33.9</v>
      </c>
      <c r="AC20" s="17">
        <v>6.1</v>
      </c>
      <c r="AD20" s="17">
        <v>40</v>
      </c>
      <c r="AF20" s="19" t="s">
        <v>180</v>
      </c>
      <c r="AG20" s="17">
        <v>1</v>
      </c>
      <c r="AH20" s="17">
        <v>51.86</v>
      </c>
      <c r="AI20" s="17">
        <v>9.33</v>
      </c>
      <c r="AJ20" s="17">
        <v>61.19</v>
      </c>
    </row>
    <row r="21" spans="5:36">
      <c r="E21" s="19" t="s">
        <v>56</v>
      </c>
      <c r="F21" s="17">
        <v>4447.5800000000017</v>
      </c>
      <c r="T21" s="20">
        <v>45916</v>
      </c>
      <c r="U21" s="17">
        <v>1</v>
      </c>
      <c r="Z21" s="20">
        <v>45916</v>
      </c>
      <c r="AA21" s="17">
        <v>1</v>
      </c>
      <c r="AF21" s="19" t="s">
        <v>184</v>
      </c>
      <c r="AG21" s="17">
        <v>1</v>
      </c>
      <c r="AH21" s="17">
        <v>322</v>
      </c>
      <c r="AI21" s="17">
        <v>57.96</v>
      </c>
      <c r="AJ21" s="17">
        <v>379.96</v>
      </c>
    </row>
    <row r="22" spans="5:36">
      <c r="T22" s="20">
        <v>45917</v>
      </c>
      <c r="U22" s="17">
        <v>16</v>
      </c>
      <c r="V22" s="17">
        <v>1138.9999999999998</v>
      </c>
      <c r="W22" s="17">
        <v>205</v>
      </c>
      <c r="X22" s="17">
        <v>1344</v>
      </c>
      <c r="Z22" s="20">
        <v>45917</v>
      </c>
      <c r="AA22" s="17">
        <v>16</v>
      </c>
      <c r="AB22" s="17">
        <v>1138.9999999999998</v>
      </c>
      <c r="AC22" s="17">
        <v>205</v>
      </c>
      <c r="AD22" s="17">
        <v>1344</v>
      </c>
      <c r="AF22" s="19" t="s">
        <v>177</v>
      </c>
      <c r="AG22" s="17">
        <v>1</v>
      </c>
      <c r="AH22" s="17">
        <v>51.86</v>
      </c>
      <c r="AI22" s="17">
        <v>9.33</v>
      </c>
      <c r="AJ22" s="17">
        <v>61.19</v>
      </c>
    </row>
    <row r="23" spans="5:36">
      <c r="T23" s="20">
        <v>45919</v>
      </c>
      <c r="U23" s="17">
        <v>6</v>
      </c>
      <c r="V23" s="17">
        <v>9406.7799999999988</v>
      </c>
      <c r="W23" s="17">
        <v>1693.22</v>
      </c>
      <c r="X23" s="17">
        <v>11100</v>
      </c>
      <c r="Z23" s="20">
        <v>45919</v>
      </c>
      <c r="AA23" s="17">
        <v>6</v>
      </c>
      <c r="AB23" s="17">
        <v>9406.7799999999988</v>
      </c>
      <c r="AC23" s="17">
        <v>1693.22</v>
      </c>
      <c r="AD23" s="17">
        <v>11100</v>
      </c>
      <c r="AF23" s="19" t="s">
        <v>176</v>
      </c>
      <c r="AG23" s="17">
        <v>1</v>
      </c>
      <c r="AH23" s="17">
        <v>55.34</v>
      </c>
      <c r="AI23" s="17">
        <v>9.9600000000000009</v>
      </c>
      <c r="AJ23" s="17">
        <v>65.3</v>
      </c>
    </row>
    <row r="24" spans="5:36">
      <c r="T24" s="19" t="s">
        <v>57</v>
      </c>
      <c r="Z24" s="20" t="s">
        <v>57</v>
      </c>
      <c r="AF24" s="19" t="s">
        <v>182</v>
      </c>
      <c r="AG24" s="17">
        <v>1</v>
      </c>
      <c r="AH24" s="17">
        <v>322</v>
      </c>
      <c r="AI24" s="17">
        <v>57.96</v>
      </c>
      <c r="AJ24" s="17">
        <v>379.96</v>
      </c>
    </row>
    <row r="25" spans="5:36">
      <c r="T25" s="19" t="s">
        <v>56</v>
      </c>
      <c r="U25" s="17">
        <v>83</v>
      </c>
      <c r="V25" s="17">
        <v>24708.709999999995</v>
      </c>
      <c r="W25" s="17">
        <v>4447.5800000000017</v>
      </c>
      <c r="X25" s="17">
        <v>29156.289999999994</v>
      </c>
      <c r="Z25" s="20" t="s">
        <v>56</v>
      </c>
      <c r="AA25" s="17">
        <v>83</v>
      </c>
      <c r="AB25" s="17">
        <v>24708.709999999995</v>
      </c>
      <c r="AC25" s="17">
        <v>4447.5800000000017</v>
      </c>
      <c r="AD25" s="17">
        <v>29156.289999999994</v>
      </c>
      <c r="AF25" s="19" t="s">
        <v>140</v>
      </c>
      <c r="AG25" s="17">
        <v>1</v>
      </c>
    </row>
    <row r="26" spans="5:36" ht="15">
      <c r="T26"/>
      <c r="U26"/>
      <c r="AF26" s="19" t="s">
        <v>121</v>
      </c>
      <c r="AG26" s="17">
        <v>1</v>
      </c>
    </row>
    <row r="27" spans="5:36">
      <c r="E27" s="16" t="s">
        <v>221</v>
      </c>
      <c r="AF27" s="19" t="s">
        <v>119</v>
      </c>
      <c r="AG27" s="17">
        <v>1</v>
      </c>
      <c r="AH27" s="17">
        <v>2000</v>
      </c>
      <c r="AI27" s="17">
        <v>360</v>
      </c>
      <c r="AJ27" s="17">
        <v>2360</v>
      </c>
    </row>
    <row r="28" spans="5:36">
      <c r="AF28" s="19" t="s">
        <v>117</v>
      </c>
      <c r="AG28" s="17">
        <v>1</v>
      </c>
      <c r="AH28" s="17">
        <v>2000</v>
      </c>
      <c r="AI28" s="17">
        <v>360</v>
      </c>
      <c r="AJ28" s="17">
        <v>2360</v>
      </c>
    </row>
    <row r="29" spans="5:36">
      <c r="E29" s="18" t="s">
        <v>55</v>
      </c>
      <c r="F29" s="17" t="s">
        <v>219</v>
      </c>
      <c r="AF29" s="19" t="s">
        <v>114</v>
      </c>
      <c r="AG29" s="17">
        <v>1</v>
      </c>
      <c r="AH29" s="17">
        <v>4000</v>
      </c>
      <c r="AI29" s="17">
        <v>720</v>
      </c>
      <c r="AJ29" s="17">
        <v>4720</v>
      </c>
    </row>
    <row r="30" spans="5:36">
      <c r="E30" s="19" t="s">
        <v>34</v>
      </c>
      <c r="F30" s="17">
        <v>29156.289999999986</v>
      </c>
      <c r="AF30" s="19" t="s">
        <v>208</v>
      </c>
      <c r="AG30" s="17">
        <v>1</v>
      </c>
      <c r="AH30" s="17">
        <v>322</v>
      </c>
      <c r="AI30" s="17">
        <v>57.96</v>
      </c>
      <c r="AJ30" s="17">
        <v>379.96</v>
      </c>
    </row>
    <row r="31" spans="5:36">
      <c r="E31" s="19" t="s">
        <v>57</v>
      </c>
      <c r="AF31" s="19" t="s">
        <v>207</v>
      </c>
      <c r="AG31" s="17">
        <v>1</v>
      </c>
      <c r="AH31" s="17">
        <v>322</v>
      </c>
      <c r="AI31" s="17">
        <v>57.96</v>
      </c>
      <c r="AJ31" s="17">
        <v>379.96</v>
      </c>
    </row>
    <row r="32" spans="5:36">
      <c r="E32" s="19" t="s">
        <v>56</v>
      </c>
      <c r="F32" s="17">
        <v>29156.289999999986</v>
      </c>
      <c r="AF32" s="19" t="s">
        <v>206</v>
      </c>
      <c r="AG32" s="17">
        <v>1</v>
      </c>
      <c r="AH32" s="17">
        <v>322</v>
      </c>
      <c r="AI32" s="17">
        <v>57.96</v>
      </c>
      <c r="AJ32" s="17">
        <v>379.96</v>
      </c>
    </row>
    <row r="33" spans="32:36">
      <c r="AF33" s="19" t="s">
        <v>205</v>
      </c>
      <c r="AG33" s="17">
        <v>1</v>
      </c>
      <c r="AH33" s="17">
        <v>322</v>
      </c>
      <c r="AI33" s="17">
        <v>57.96</v>
      </c>
      <c r="AJ33" s="17">
        <v>379.96</v>
      </c>
    </row>
    <row r="34" spans="32:36">
      <c r="AF34" s="19" t="s">
        <v>204</v>
      </c>
      <c r="AG34" s="17">
        <v>1</v>
      </c>
      <c r="AH34" s="17">
        <v>322</v>
      </c>
      <c r="AI34" s="17">
        <v>57.96</v>
      </c>
      <c r="AJ34" s="17">
        <v>379.96</v>
      </c>
    </row>
    <row r="35" spans="32:36">
      <c r="AF35" s="19" t="s">
        <v>175</v>
      </c>
      <c r="AG35" s="17">
        <v>1</v>
      </c>
      <c r="AH35" s="17">
        <v>51.99</v>
      </c>
      <c r="AI35" s="17">
        <v>9.36</v>
      </c>
      <c r="AJ35" s="17">
        <v>61.35</v>
      </c>
    </row>
    <row r="36" spans="32:36">
      <c r="AF36" s="19" t="s">
        <v>174</v>
      </c>
      <c r="AG36" s="17">
        <v>1</v>
      </c>
      <c r="AH36" s="17">
        <v>677.97</v>
      </c>
      <c r="AI36" s="17">
        <v>122.03</v>
      </c>
      <c r="AJ36" s="17">
        <v>800</v>
      </c>
    </row>
    <row r="37" spans="32:36">
      <c r="AF37" s="19" t="s">
        <v>173</v>
      </c>
      <c r="AG37" s="17">
        <v>1</v>
      </c>
      <c r="AH37" s="17">
        <v>805.08</v>
      </c>
      <c r="AI37" s="17">
        <v>144.91</v>
      </c>
      <c r="AJ37" s="17">
        <v>949.99</v>
      </c>
    </row>
    <row r="38" spans="32:36">
      <c r="AF38" s="19" t="s">
        <v>172</v>
      </c>
      <c r="AG38" s="17">
        <v>1</v>
      </c>
      <c r="AH38" s="17">
        <v>1016.95</v>
      </c>
      <c r="AI38" s="17">
        <v>183.05</v>
      </c>
      <c r="AJ38" s="17">
        <v>1200</v>
      </c>
    </row>
    <row r="39" spans="32:36">
      <c r="AF39" s="19" t="s">
        <v>171</v>
      </c>
      <c r="AG39" s="17">
        <v>1</v>
      </c>
      <c r="AH39" s="17">
        <v>1016.95</v>
      </c>
      <c r="AI39" s="17">
        <v>183.05</v>
      </c>
      <c r="AJ39" s="17">
        <v>1200</v>
      </c>
    </row>
    <row r="40" spans="32:36">
      <c r="AF40" s="19" t="s">
        <v>170</v>
      </c>
      <c r="AG40" s="17">
        <v>1</v>
      </c>
      <c r="AH40" s="17">
        <v>53.81</v>
      </c>
      <c r="AI40" s="17">
        <v>9.69</v>
      </c>
      <c r="AJ40" s="17">
        <v>63.5</v>
      </c>
    </row>
    <row r="41" spans="32:36">
      <c r="AF41" s="19" t="s">
        <v>169</v>
      </c>
      <c r="AG41" s="17">
        <v>1</v>
      </c>
      <c r="AH41" s="17">
        <v>53.9</v>
      </c>
      <c r="AI41" s="17">
        <v>9.6999999999999993</v>
      </c>
      <c r="AJ41" s="17">
        <v>63.6</v>
      </c>
    </row>
    <row r="42" spans="32:36">
      <c r="AF42" s="19" t="s">
        <v>168</v>
      </c>
      <c r="AG42" s="17">
        <v>1</v>
      </c>
      <c r="AH42" s="17">
        <v>900</v>
      </c>
      <c r="AI42" s="17">
        <v>162</v>
      </c>
      <c r="AJ42" s="17">
        <v>1062</v>
      </c>
    </row>
    <row r="43" spans="32:36">
      <c r="AF43" s="19" t="s">
        <v>167</v>
      </c>
      <c r="AG43" s="17">
        <v>1</v>
      </c>
      <c r="AH43" s="17">
        <v>54.15</v>
      </c>
      <c r="AI43" s="17">
        <v>9.75</v>
      </c>
      <c r="AJ43" s="17">
        <v>63.9</v>
      </c>
    </row>
    <row r="44" spans="32:36">
      <c r="AF44" s="19" t="s">
        <v>166</v>
      </c>
      <c r="AG44" s="17">
        <v>1</v>
      </c>
      <c r="AH44" s="17">
        <v>54.15</v>
      </c>
      <c r="AI44" s="17">
        <v>9.75</v>
      </c>
      <c r="AJ44" s="17">
        <v>63.9</v>
      </c>
    </row>
    <row r="45" spans="32:36">
      <c r="AF45" s="19" t="s">
        <v>203</v>
      </c>
      <c r="AG45" s="17">
        <v>1</v>
      </c>
      <c r="AH45" s="17">
        <v>322</v>
      </c>
      <c r="AI45" s="17">
        <v>57.96</v>
      </c>
      <c r="AJ45" s="17">
        <v>379.96</v>
      </c>
    </row>
    <row r="46" spans="32:36">
      <c r="AF46" s="19" t="s">
        <v>165</v>
      </c>
      <c r="AG46" s="17">
        <v>1</v>
      </c>
      <c r="AH46" s="17">
        <v>322</v>
      </c>
      <c r="AI46" s="17">
        <v>57.96</v>
      </c>
      <c r="AJ46" s="17">
        <v>379.96</v>
      </c>
    </row>
    <row r="47" spans="32:36">
      <c r="AF47" s="19" t="s">
        <v>164</v>
      </c>
      <c r="AG47" s="17">
        <v>1</v>
      </c>
      <c r="AH47" s="17">
        <v>322</v>
      </c>
      <c r="AI47" s="17">
        <v>57.96</v>
      </c>
      <c r="AJ47" s="17">
        <v>379.96</v>
      </c>
    </row>
    <row r="48" spans="32:36">
      <c r="AF48" s="19" t="s">
        <v>202</v>
      </c>
      <c r="AG48" s="17">
        <v>1</v>
      </c>
      <c r="AH48" s="17">
        <v>322</v>
      </c>
      <c r="AI48" s="17">
        <v>57.96</v>
      </c>
      <c r="AJ48" s="17">
        <v>379.96</v>
      </c>
    </row>
    <row r="49" spans="32:36">
      <c r="AF49" s="19" t="s">
        <v>163</v>
      </c>
      <c r="AG49" s="17">
        <v>1</v>
      </c>
      <c r="AH49" s="17">
        <v>322</v>
      </c>
      <c r="AI49" s="17">
        <v>57.96</v>
      </c>
      <c r="AJ49" s="17">
        <v>379.96</v>
      </c>
    </row>
    <row r="50" spans="32:36">
      <c r="AF50" s="19" t="s">
        <v>162</v>
      </c>
      <c r="AG50" s="17">
        <v>1</v>
      </c>
      <c r="AH50" s="17">
        <v>322</v>
      </c>
      <c r="AI50" s="17">
        <v>57.96</v>
      </c>
      <c r="AJ50" s="17">
        <v>379.96</v>
      </c>
    </row>
    <row r="51" spans="32:36">
      <c r="AF51" s="19" t="s">
        <v>161</v>
      </c>
      <c r="AG51" s="17">
        <v>1</v>
      </c>
      <c r="AH51" s="17">
        <v>322</v>
      </c>
      <c r="AI51" s="17">
        <v>57.96</v>
      </c>
      <c r="AJ51" s="17">
        <v>379.96</v>
      </c>
    </row>
    <row r="52" spans="32:36">
      <c r="AF52" s="19" t="s">
        <v>160</v>
      </c>
      <c r="AG52" s="17">
        <v>1</v>
      </c>
      <c r="AH52" s="17">
        <v>78.81</v>
      </c>
      <c r="AI52" s="17">
        <v>14.19</v>
      </c>
      <c r="AJ52" s="17">
        <v>93</v>
      </c>
    </row>
    <row r="53" spans="32:36">
      <c r="AF53" s="19" t="s">
        <v>159</v>
      </c>
      <c r="AG53" s="17">
        <v>1</v>
      </c>
      <c r="AH53" s="17">
        <v>76.27</v>
      </c>
      <c r="AI53" s="17">
        <v>13.73</v>
      </c>
      <c r="AJ53" s="17">
        <v>90</v>
      </c>
    </row>
    <row r="54" spans="32:36">
      <c r="AF54" s="19" t="s">
        <v>158</v>
      </c>
      <c r="AG54" s="17">
        <v>1</v>
      </c>
      <c r="AH54" s="17">
        <v>322</v>
      </c>
      <c r="AI54" s="17">
        <v>57.96</v>
      </c>
      <c r="AJ54" s="17">
        <v>379.96</v>
      </c>
    </row>
    <row r="55" spans="32:36">
      <c r="AF55" s="19" t="s">
        <v>157</v>
      </c>
      <c r="AG55" s="17">
        <v>1</v>
      </c>
      <c r="AH55" s="17">
        <v>322</v>
      </c>
      <c r="AI55" s="17">
        <v>57.96</v>
      </c>
      <c r="AJ55" s="17">
        <v>379.96</v>
      </c>
    </row>
    <row r="56" spans="32:36">
      <c r="AF56" s="19" t="s">
        <v>156</v>
      </c>
      <c r="AG56" s="17">
        <v>1</v>
      </c>
      <c r="AH56" s="17">
        <v>65.25</v>
      </c>
      <c r="AI56" s="17">
        <v>11.75</v>
      </c>
      <c r="AJ56" s="17">
        <v>77</v>
      </c>
    </row>
    <row r="57" spans="32:36">
      <c r="AF57" s="19" t="s">
        <v>155</v>
      </c>
      <c r="AG57" s="17">
        <v>1</v>
      </c>
      <c r="AH57" s="17">
        <v>65.25</v>
      </c>
      <c r="AI57" s="17">
        <v>11.75</v>
      </c>
      <c r="AJ57" s="17">
        <v>77</v>
      </c>
    </row>
    <row r="58" spans="32:36">
      <c r="AF58" s="19" t="s">
        <v>154</v>
      </c>
      <c r="AG58" s="17">
        <v>1</v>
      </c>
      <c r="AH58" s="17">
        <v>65.25</v>
      </c>
      <c r="AI58" s="17">
        <v>11.75</v>
      </c>
      <c r="AJ58" s="17">
        <v>77</v>
      </c>
    </row>
    <row r="59" spans="32:36">
      <c r="AF59" s="19" t="s">
        <v>153</v>
      </c>
      <c r="AG59" s="17">
        <v>1</v>
      </c>
      <c r="AH59" s="17">
        <v>65.25</v>
      </c>
      <c r="AI59" s="17">
        <v>11.75</v>
      </c>
      <c r="AJ59" s="17">
        <v>77</v>
      </c>
    </row>
    <row r="60" spans="32:36">
      <c r="AF60" s="19" t="s">
        <v>152</v>
      </c>
      <c r="AG60" s="17">
        <v>1</v>
      </c>
      <c r="AH60" s="17">
        <v>65.25</v>
      </c>
      <c r="AI60" s="17">
        <v>11.75</v>
      </c>
      <c r="AJ60" s="17">
        <v>77</v>
      </c>
    </row>
    <row r="61" spans="32:36">
      <c r="AF61" s="19" t="s">
        <v>150</v>
      </c>
      <c r="AG61" s="17">
        <v>1</v>
      </c>
      <c r="AH61" s="17">
        <v>104.24</v>
      </c>
      <c r="AI61" s="17">
        <v>18.760000000000002</v>
      </c>
      <c r="AJ61" s="17">
        <v>123</v>
      </c>
    </row>
    <row r="62" spans="32:36">
      <c r="AF62" s="19" t="s">
        <v>149</v>
      </c>
      <c r="AG62" s="17">
        <v>1</v>
      </c>
      <c r="AH62" s="17">
        <v>84.75</v>
      </c>
      <c r="AI62" s="17">
        <v>15.26</v>
      </c>
      <c r="AJ62" s="17">
        <v>100.01</v>
      </c>
    </row>
    <row r="63" spans="32:36">
      <c r="AF63" s="19" t="s">
        <v>148</v>
      </c>
      <c r="AG63" s="17">
        <v>1</v>
      </c>
      <c r="AH63" s="17">
        <v>110.17</v>
      </c>
      <c r="AI63" s="17">
        <v>19.829999999999998</v>
      </c>
      <c r="AJ63" s="17">
        <v>130</v>
      </c>
    </row>
    <row r="64" spans="32:36">
      <c r="AF64" s="19" t="s">
        <v>25</v>
      </c>
      <c r="AG64" s="17">
        <v>1</v>
      </c>
      <c r="AH64" s="17">
        <v>127.12</v>
      </c>
      <c r="AI64" s="17">
        <v>22.88</v>
      </c>
      <c r="AJ64" s="17">
        <v>150</v>
      </c>
    </row>
    <row r="65" spans="32:36">
      <c r="AF65" s="19" t="s">
        <v>147</v>
      </c>
      <c r="AG65" s="17">
        <v>1</v>
      </c>
      <c r="AH65" s="17">
        <v>93.22</v>
      </c>
      <c r="AI65" s="17">
        <v>16.78</v>
      </c>
      <c r="AJ65" s="17">
        <v>110</v>
      </c>
    </row>
    <row r="66" spans="32:36">
      <c r="AF66" s="19" t="s">
        <v>146</v>
      </c>
      <c r="AG66" s="17">
        <v>1</v>
      </c>
      <c r="AH66" s="17">
        <v>135.59</v>
      </c>
      <c r="AI66" s="17">
        <v>24.41</v>
      </c>
      <c r="AJ66" s="17">
        <v>160</v>
      </c>
    </row>
    <row r="67" spans="32:36">
      <c r="AF67" s="19" t="s">
        <v>145</v>
      </c>
      <c r="AG67" s="17">
        <v>1</v>
      </c>
      <c r="AH67" s="17">
        <v>110.17</v>
      </c>
      <c r="AI67" s="17">
        <v>19.829999999999998</v>
      </c>
      <c r="AJ67" s="17">
        <v>130</v>
      </c>
    </row>
    <row r="68" spans="32:36">
      <c r="AF68" s="19" t="s">
        <v>144</v>
      </c>
      <c r="AG68" s="17">
        <v>1</v>
      </c>
      <c r="AH68" s="17">
        <v>118.64</v>
      </c>
      <c r="AI68" s="17">
        <v>21.36</v>
      </c>
      <c r="AJ68" s="17">
        <v>140</v>
      </c>
    </row>
    <row r="69" spans="32:36">
      <c r="AF69" s="19" t="s">
        <v>143</v>
      </c>
      <c r="AG69" s="17">
        <v>1</v>
      </c>
      <c r="AH69" s="17">
        <v>65.25</v>
      </c>
      <c r="AI69" s="17">
        <v>11.75</v>
      </c>
      <c r="AJ69" s="17">
        <v>77</v>
      </c>
    </row>
    <row r="70" spans="32:36">
      <c r="AF70" s="19" t="s">
        <v>142</v>
      </c>
      <c r="AG70" s="17">
        <v>1</v>
      </c>
      <c r="AH70" s="17">
        <v>33.9</v>
      </c>
      <c r="AI70" s="17">
        <v>6.1</v>
      </c>
      <c r="AJ70" s="17">
        <v>40</v>
      </c>
    </row>
    <row r="71" spans="32:36">
      <c r="AF71" s="19" t="s">
        <v>139</v>
      </c>
      <c r="AG71" s="17">
        <v>1</v>
      </c>
      <c r="AH71" s="17">
        <v>74.58</v>
      </c>
      <c r="AI71" s="17">
        <v>13.42</v>
      </c>
      <c r="AJ71" s="17">
        <v>88</v>
      </c>
    </row>
    <row r="72" spans="32:36">
      <c r="AF72" s="19" t="s">
        <v>138</v>
      </c>
      <c r="AG72" s="17">
        <v>1</v>
      </c>
      <c r="AH72" s="17">
        <v>55.93</v>
      </c>
      <c r="AI72" s="17">
        <v>10.07</v>
      </c>
      <c r="AJ72" s="17">
        <v>66</v>
      </c>
    </row>
    <row r="73" spans="32:36">
      <c r="AF73" s="19" t="s">
        <v>137</v>
      </c>
      <c r="AG73" s="17">
        <v>1</v>
      </c>
      <c r="AH73" s="17">
        <v>84.75</v>
      </c>
      <c r="AI73" s="17">
        <v>15.26</v>
      </c>
      <c r="AJ73" s="17">
        <v>100.01</v>
      </c>
    </row>
    <row r="74" spans="32:36">
      <c r="AF74" s="19" t="s">
        <v>136</v>
      </c>
      <c r="AG74" s="17">
        <v>1</v>
      </c>
      <c r="AH74" s="17">
        <v>16.95</v>
      </c>
      <c r="AI74" s="17">
        <v>3.05</v>
      </c>
      <c r="AJ74" s="17">
        <v>20</v>
      </c>
    </row>
    <row r="75" spans="32:36">
      <c r="AF75" s="19" t="s">
        <v>135</v>
      </c>
      <c r="AG75" s="17">
        <v>1</v>
      </c>
      <c r="AH75" s="17">
        <v>33.9</v>
      </c>
      <c r="AI75" s="17">
        <v>6.1</v>
      </c>
      <c r="AJ75" s="17">
        <v>40</v>
      </c>
    </row>
    <row r="76" spans="32:36">
      <c r="AF76" s="19" t="s">
        <v>134</v>
      </c>
      <c r="AG76" s="17">
        <v>1</v>
      </c>
      <c r="AH76" s="17">
        <v>101.69</v>
      </c>
      <c r="AI76" s="17">
        <v>18.3</v>
      </c>
      <c r="AJ76" s="17">
        <v>119.99</v>
      </c>
    </row>
    <row r="77" spans="32:36">
      <c r="AF77" s="19" t="s">
        <v>133</v>
      </c>
      <c r="AG77" s="17">
        <v>1</v>
      </c>
      <c r="AH77" s="17">
        <v>127.12</v>
      </c>
      <c r="AI77" s="17">
        <v>22.88</v>
      </c>
      <c r="AJ77" s="17">
        <v>150</v>
      </c>
    </row>
    <row r="78" spans="32:36">
      <c r="AF78" s="19" t="s">
        <v>132</v>
      </c>
      <c r="AG78" s="17">
        <v>1</v>
      </c>
      <c r="AH78" s="17">
        <v>169.49</v>
      </c>
      <c r="AI78" s="17">
        <v>30.51</v>
      </c>
      <c r="AJ78" s="17">
        <v>200</v>
      </c>
    </row>
    <row r="79" spans="32:36">
      <c r="AF79" s="19" t="s">
        <v>131</v>
      </c>
      <c r="AG79" s="17">
        <v>1</v>
      </c>
      <c r="AH79" s="17">
        <v>74.58</v>
      </c>
      <c r="AI79" s="17">
        <v>13.42</v>
      </c>
      <c r="AJ79" s="17">
        <v>88</v>
      </c>
    </row>
    <row r="80" spans="32:36">
      <c r="AF80" s="19" t="s">
        <v>130</v>
      </c>
      <c r="AG80" s="17">
        <v>1</v>
      </c>
      <c r="AH80" s="17">
        <v>33.9</v>
      </c>
      <c r="AI80" s="17">
        <v>6.1</v>
      </c>
      <c r="AJ80" s="17">
        <v>40</v>
      </c>
    </row>
    <row r="81" spans="32:36">
      <c r="AF81" s="19" t="s">
        <v>129</v>
      </c>
      <c r="AG81" s="17">
        <v>1</v>
      </c>
      <c r="AH81" s="17">
        <v>50.85</v>
      </c>
      <c r="AI81" s="17">
        <v>9.15</v>
      </c>
      <c r="AJ81" s="17">
        <v>60</v>
      </c>
    </row>
    <row r="82" spans="32:36">
      <c r="AF82" s="19" t="s">
        <v>128</v>
      </c>
      <c r="AG82" s="17">
        <v>1</v>
      </c>
      <c r="AH82" s="17">
        <v>67.8</v>
      </c>
      <c r="AI82" s="17">
        <v>12.2</v>
      </c>
      <c r="AJ82" s="17">
        <v>80</v>
      </c>
    </row>
    <row r="83" spans="32:36">
      <c r="AF83" s="19" t="s">
        <v>127</v>
      </c>
      <c r="AG83" s="17">
        <v>1</v>
      </c>
      <c r="AH83" s="17">
        <v>76.27</v>
      </c>
      <c r="AI83" s="17">
        <v>13.73</v>
      </c>
      <c r="AJ83" s="17">
        <v>90</v>
      </c>
    </row>
    <row r="84" spans="32:36">
      <c r="AF84" s="19" t="s">
        <v>126</v>
      </c>
      <c r="AG84" s="17">
        <v>1</v>
      </c>
      <c r="AH84" s="17">
        <v>55.93</v>
      </c>
      <c r="AI84" s="17">
        <v>10.07</v>
      </c>
      <c r="AJ84" s="17">
        <v>66</v>
      </c>
    </row>
    <row r="85" spans="32:36">
      <c r="AF85" s="19" t="s">
        <v>125</v>
      </c>
      <c r="AG85" s="17">
        <v>1</v>
      </c>
      <c r="AH85" s="17">
        <v>67.8</v>
      </c>
      <c r="AI85" s="17">
        <v>12.2</v>
      </c>
      <c r="AJ85" s="17">
        <v>80</v>
      </c>
    </row>
    <row r="86" spans="32:36">
      <c r="AF86" s="19" t="s">
        <v>124</v>
      </c>
      <c r="AG86" s="17">
        <v>1</v>
      </c>
      <c r="AH86" s="17">
        <v>47.46</v>
      </c>
      <c r="AI86" s="17">
        <v>8.5399999999999991</v>
      </c>
      <c r="AJ86" s="17">
        <v>56</v>
      </c>
    </row>
    <row r="87" spans="32:36">
      <c r="AF87" s="19" t="s">
        <v>113</v>
      </c>
      <c r="AG87" s="17">
        <v>1</v>
      </c>
      <c r="AH87" s="17">
        <v>50.85</v>
      </c>
      <c r="AI87" s="17">
        <v>9.15</v>
      </c>
      <c r="AJ87" s="17">
        <v>60</v>
      </c>
    </row>
    <row r="88" spans="32:36">
      <c r="AF88" s="19" t="s">
        <v>111</v>
      </c>
      <c r="AG88" s="17">
        <v>1</v>
      </c>
      <c r="AH88" s="17">
        <v>1355.93</v>
      </c>
      <c r="AI88" s="17">
        <v>244.07</v>
      </c>
      <c r="AJ88" s="17">
        <v>1600</v>
      </c>
    </row>
    <row r="89" spans="32:36">
      <c r="AF89" s="19" t="s">
        <v>57</v>
      </c>
    </row>
    <row r="90" spans="32:36">
      <c r="AF90" s="19" t="s">
        <v>56</v>
      </c>
      <c r="AG90" s="17">
        <v>83</v>
      </c>
      <c r="AH90" s="17">
        <v>24708.71000000001</v>
      </c>
      <c r="AI90" s="17">
        <v>4447.5800000000008</v>
      </c>
      <c r="AJ90" s="17">
        <v>29156.28999999999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ED7-F682-482C-AE2A-2E41F05DEE05}">
  <dimension ref="A1:AR85"/>
  <sheetViews>
    <sheetView workbookViewId="0">
      <selection activeCell="I10" sqref="I10"/>
    </sheetView>
  </sheetViews>
  <sheetFormatPr baseColWidth="10" defaultRowHeight="15"/>
  <cols>
    <col min="1" max="1" width="18.42578125" bestFit="1" customWidth="1"/>
    <col min="4" max="4" width="16.28515625" bestFit="1" customWidth="1"/>
    <col min="8" max="8" width="16.7109375" bestFit="1" customWidth="1"/>
  </cols>
  <sheetData>
    <row r="1" spans="1:44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243</v>
      </c>
      <c r="V1" t="s">
        <v>244</v>
      </c>
      <c r="W1" t="s">
        <v>245</v>
      </c>
      <c r="X1" t="s">
        <v>246</v>
      </c>
      <c r="Y1" t="s">
        <v>247</v>
      </c>
      <c r="Z1" t="s">
        <v>248</v>
      </c>
      <c r="AA1" t="s">
        <v>249</v>
      </c>
      <c r="AB1" t="s">
        <v>250</v>
      </c>
      <c r="AC1" t="s">
        <v>251</v>
      </c>
      <c r="AD1" t="s">
        <v>252</v>
      </c>
      <c r="AE1" t="s">
        <v>253</v>
      </c>
      <c r="AF1" t="s">
        <v>254</v>
      </c>
      <c r="AG1" t="s">
        <v>255</v>
      </c>
      <c r="AH1" t="s">
        <v>256</v>
      </c>
      <c r="AI1" t="s">
        <v>257</v>
      </c>
      <c r="AJ1" t="s">
        <v>258</v>
      </c>
      <c r="AK1" t="s">
        <v>259</v>
      </c>
      <c r="AL1" t="s">
        <v>260</v>
      </c>
      <c r="AM1" t="s">
        <v>261</v>
      </c>
      <c r="AN1" t="s">
        <v>262</v>
      </c>
      <c r="AO1" t="s">
        <v>263</v>
      </c>
      <c r="AP1" t="s">
        <v>264</v>
      </c>
      <c r="AQ1" t="s">
        <v>265</v>
      </c>
      <c r="AR1" t="s">
        <v>444</v>
      </c>
    </row>
    <row r="2" spans="1:44">
      <c r="A2" t="s">
        <v>266</v>
      </c>
      <c r="B2" s="21" t="s">
        <v>267</v>
      </c>
      <c r="C2" s="8">
        <v>45919</v>
      </c>
      <c r="D2" s="22">
        <v>45932.47252314815</v>
      </c>
      <c r="E2" t="s">
        <v>112</v>
      </c>
      <c r="G2">
        <v>6</v>
      </c>
      <c r="H2">
        <v>20553193169</v>
      </c>
      <c r="I2" t="s">
        <v>268</v>
      </c>
      <c r="J2" s="8">
        <v>45919</v>
      </c>
      <c r="P2">
        <v>1</v>
      </c>
      <c r="R2" t="s">
        <v>269</v>
      </c>
      <c r="T2">
        <v>1</v>
      </c>
      <c r="U2">
        <v>1355.93</v>
      </c>
      <c r="V2">
        <v>1600</v>
      </c>
      <c r="X2">
        <v>1355.93</v>
      </c>
      <c r="Y2">
        <v>18</v>
      </c>
      <c r="Z2">
        <v>244.07</v>
      </c>
      <c r="AA2">
        <v>1600</v>
      </c>
      <c r="AB2">
        <v>1</v>
      </c>
      <c r="AD2" t="s">
        <v>270</v>
      </c>
      <c r="AE2" t="s">
        <v>271</v>
      </c>
      <c r="AF2">
        <v>2</v>
      </c>
      <c r="AG2" t="s">
        <v>28</v>
      </c>
      <c r="AH2">
        <v>137</v>
      </c>
      <c r="AI2" t="s">
        <v>272</v>
      </c>
      <c r="AJ2" t="s">
        <v>273</v>
      </c>
      <c r="AP2" t="s">
        <v>112</v>
      </c>
      <c r="AR2" t="str">
        <f>+CONCATENATE(A2,B2)</f>
        <v>(01) Factura FB0100000075</v>
      </c>
    </row>
    <row r="3" spans="1:44">
      <c r="A3" t="s">
        <v>266</v>
      </c>
      <c r="B3" s="21" t="s">
        <v>274</v>
      </c>
      <c r="C3" s="8">
        <v>45919</v>
      </c>
      <c r="D3" s="22">
        <v>45932.459861111114</v>
      </c>
      <c r="E3" t="s">
        <v>35</v>
      </c>
      <c r="F3" t="s">
        <v>275</v>
      </c>
      <c r="G3">
        <v>6</v>
      </c>
      <c r="H3">
        <v>20608361074</v>
      </c>
      <c r="I3" t="s">
        <v>276</v>
      </c>
      <c r="J3" s="8">
        <v>45919</v>
      </c>
      <c r="P3">
        <v>1</v>
      </c>
      <c r="R3" t="s">
        <v>269</v>
      </c>
      <c r="T3">
        <v>1</v>
      </c>
      <c r="U3">
        <v>50.85</v>
      </c>
      <c r="V3">
        <v>60</v>
      </c>
      <c r="X3">
        <v>50.85</v>
      </c>
      <c r="Y3">
        <v>17.989999999999998</v>
      </c>
      <c r="Z3">
        <v>9.15</v>
      </c>
      <c r="AA3">
        <v>60</v>
      </c>
      <c r="AB3">
        <v>1</v>
      </c>
      <c r="AD3" t="s">
        <v>270</v>
      </c>
      <c r="AE3" t="s">
        <v>271</v>
      </c>
      <c r="AF3">
        <v>2</v>
      </c>
      <c r="AG3" t="s">
        <v>28</v>
      </c>
      <c r="AH3">
        <v>137</v>
      </c>
      <c r="AI3" t="s">
        <v>272</v>
      </c>
      <c r="AJ3" t="s">
        <v>273</v>
      </c>
      <c r="AP3" t="s">
        <v>35</v>
      </c>
      <c r="AR3" t="str">
        <f t="shared" ref="AR3:AR66" si="0">+CONCATENATE(A3,B3)</f>
        <v>(01) Factura FB0100000074</v>
      </c>
    </row>
    <row r="4" spans="1:44">
      <c r="A4" t="s">
        <v>277</v>
      </c>
      <c r="B4" s="21" t="s">
        <v>278</v>
      </c>
      <c r="C4" s="8">
        <v>45919</v>
      </c>
      <c r="D4" s="22">
        <v>45932.448761574073</v>
      </c>
      <c r="E4" t="s">
        <v>37</v>
      </c>
      <c r="G4">
        <v>6</v>
      </c>
      <c r="H4">
        <v>20609168961</v>
      </c>
      <c r="I4" t="s">
        <v>279</v>
      </c>
      <c r="J4" s="8">
        <v>45919</v>
      </c>
      <c r="P4">
        <v>1</v>
      </c>
      <c r="Q4">
        <v>232</v>
      </c>
      <c r="R4" t="s">
        <v>280</v>
      </c>
      <c r="S4" t="s">
        <v>281</v>
      </c>
      <c r="T4">
        <v>2</v>
      </c>
      <c r="U4">
        <v>1000</v>
      </c>
      <c r="V4">
        <v>1180</v>
      </c>
      <c r="X4">
        <v>2000</v>
      </c>
      <c r="Y4">
        <v>18</v>
      </c>
      <c r="Z4">
        <v>360</v>
      </c>
      <c r="AA4">
        <v>2360</v>
      </c>
      <c r="AB4">
        <v>1</v>
      </c>
      <c r="AD4" t="s">
        <v>270</v>
      </c>
      <c r="AE4" t="s">
        <v>271</v>
      </c>
      <c r="AF4">
        <v>2</v>
      </c>
      <c r="AG4" t="s">
        <v>28</v>
      </c>
      <c r="AH4">
        <v>101</v>
      </c>
      <c r="AI4" t="s">
        <v>282</v>
      </c>
      <c r="AJ4" t="s">
        <v>283</v>
      </c>
      <c r="AK4">
        <v>2</v>
      </c>
      <c r="AL4" t="s">
        <v>284</v>
      </c>
      <c r="AM4" s="8">
        <v>44204</v>
      </c>
      <c r="AN4" s="8">
        <v>44204</v>
      </c>
      <c r="AP4" t="s">
        <v>37</v>
      </c>
      <c r="AR4" t="str">
        <f t="shared" si="0"/>
        <v>(01) Factura F00100000104</v>
      </c>
    </row>
    <row r="5" spans="1:44">
      <c r="A5" t="s">
        <v>277</v>
      </c>
      <c r="B5" s="21" t="s">
        <v>278</v>
      </c>
      <c r="C5" s="8">
        <v>45919</v>
      </c>
      <c r="D5" s="22">
        <v>45932.448761574073</v>
      </c>
      <c r="E5" t="s">
        <v>37</v>
      </c>
      <c r="G5">
        <v>6</v>
      </c>
      <c r="H5">
        <v>20609168961</v>
      </c>
      <c r="I5" t="s">
        <v>279</v>
      </c>
      <c r="J5" s="8">
        <v>45919</v>
      </c>
      <c r="P5">
        <v>2</v>
      </c>
      <c r="Q5">
        <v>228</v>
      </c>
      <c r="R5" t="s">
        <v>285</v>
      </c>
      <c r="S5" t="s">
        <v>281</v>
      </c>
      <c r="T5">
        <v>2</v>
      </c>
      <c r="U5">
        <v>1000</v>
      </c>
      <c r="V5">
        <v>1180</v>
      </c>
      <c r="X5">
        <v>2000</v>
      </c>
      <c r="Y5">
        <v>18</v>
      </c>
      <c r="Z5">
        <v>360</v>
      </c>
      <c r="AA5">
        <v>2360</v>
      </c>
      <c r="AB5">
        <v>1</v>
      </c>
      <c r="AD5" t="s">
        <v>270</v>
      </c>
      <c r="AE5" t="s">
        <v>271</v>
      </c>
      <c r="AF5">
        <v>2</v>
      </c>
      <c r="AG5" t="s">
        <v>28</v>
      </c>
      <c r="AH5">
        <v>101</v>
      </c>
      <c r="AI5" t="s">
        <v>282</v>
      </c>
      <c r="AJ5" t="s">
        <v>283</v>
      </c>
      <c r="AK5">
        <v>2</v>
      </c>
      <c r="AL5" t="s">
        <v>284</v>
      </c>
      <c r="AM5" s="8">
        <v>44204</v>
      </c>
      <c r="AN5" s="8">
        <v>44204</v>
      </c>
      <c r="AP5" t="s">
        <v>37</v>
      </c>
      <c r="AR5" t="str">
        <f t="shared" si="0"/>
        <v>(01) Factura F00100000104</v>
      </c>
    </row>
    <row r="6" spans="1:44">
      <c r="A6" t="s">
        <v>277</v>
      </c>
      <c r="B6" s="21" t="s">
        <v>286</v>
      </c>
      <c r="C6" s="8">
        <v>45919</v>
      </c>
      <c r="D6" s="22">
        <v>45932.445416666669</v>
      </c>
      <c r="E6" t="s">
        <v>37</v>
      </c>
      <c r="G6">
        <v>6</v>
      </c>
      <c r="H6">
        <v>20609168961</v>
      </c>
      <c r="I6" t="s">
        <v>287</v>
      </c>
      <c r="J6" s="8">
        <v>45919</v>
      </c>
      <c r="P6">
        <v>1</v>
      </c>
      <c r="Q6">
        <v>232</v>
      </c>
      <c r="R6" t="s">
        <v>280</v>
      </c>
      <c r="S6" t="s">
        <v>281</v>
      </c>
      <c r="T6">
        <v>2</v>
      </c>
      <c r="U6">
        <v>1000</v>
      </c>
      <c r="V6">
        <v>1180</v>
      </c>
      <c r="X6">
        <v>2000</v>
      </c>
      <c r="Y6">
        <v>18</v>
      </c>
      <c r="Z6">
        <v>360</v>
      </c>
      <c r="AA6">
        <v>2360</v>
      </c>
      <c r="AB6">
        <v>1</v>
      </c>
      <c r="AD6" t="s">
        <v>270</v>
      </c>
      <c r="AE6" t="s">
        <v>271</v>
      </c>
      <c r="AF6">
        <v>2</v>
      </c>
      <c r="AG6" t="s">
        <v>28</v>
      </c>
      <c r="AH6">
        <v>101</v>
      </c>
      <c r="AI6" t="s">
        <v>282</v>
      </c>
      <c r="AJ6" t="s">
        <v>283</v>
      </c>
      <c r="AK6">
        <v>2</v>
      </c>
      <c r="AL6" t="s">
        <v>284</v>
      </c>
      <c r="AM6" s="8">
        <v>44204</v>
      </c>
      <c r="AN6" s="8">
        <v>44204</v>
      </c>
      <c r="AP6" t="s">
        <v>37</v>
      </c>
      <c r="AR6" t="str">
        <f t="shared" si="0"/>
        <v>(01) Factura F00100000103</v>
      </c>
    </row>
    <row r="7" spans="1:44">
      <c r="A7" t="s">
        <v>277</v>
      </c>
      <c r="B7" s="21" t="s">
        <v>288</v>
      </c>
      <c r="C7" s="8">
        <v>45919</v>
      </c>
      <c r="D7" s="22">
        <v>45932.441631944443</v>
      </c>
      <c r="E7" t="s">
        <v>37</v>
      </c>
      <c r="G7">
        <v>6</v>
      </c>
      <c r="H7">
        <v>20609168961</v>
      </c>
      <c r="I7" t="s">
        <v>287</v>
      </c>
      <c r="J7" s="8">
        <v>45919</v>
      </c>
      <c r="P7">
        <v>1</v>
      </c>
      <c r="Q7">
        <v>232</v>
      </c>
      <c r="R7" t="s">
        <v>280</v>
      </c>
      <c r="S7" t="s">
        <v>281</v>
      </c>
      <c r="T7">
        <v>2</v>
      </c>
      <c r="U7">
        <v>1000</v>
      </c>
      <c r="V7">
        <v>1180</v>
      </c>
      <c r="X7">
        <v>2000</v>
      </c>
      <c r="Y7">
        <v>18</v>
      </c>
      <c r="Z7">
        <v>360</v>
      </c>
      <c r="AA7">
        <v>2360</v>
      </c>
      <c r="AB7">
        <v>1</v>
      </c>
      <c r="AD7" t="s">
        <v>270</v>
      </c>
      <c r="AE7" t="s">
        <v>271</v>
      </c>
      <c r="AF7">
        <v>2</v>
      </c>
      <c r="AG7" t="s">
        <v>28</v>
      </c>
      <c r="AH7">
        <v>101</v>
      </c>
      <c r="AI7" t="s">
        <v>282</v>
      </c>
      <c r="AJ7" t="s">
        <v>283</v>
      </c>
      <c r="AK7">
        <v>2</v>
      </c>
      <c r="AL7" t="s">
        <v>284</v>
      </c>
      <c r="AM7" s="8">
        <v>44204</v>
      </c>
      <c r="AN7" s="8">
        <v>44204</v>
      </c>
      <c r="AP7" t="s">
        <v>37</v>
      </c>
      <c r="AR7" t="str">
        <f t="shared" si="0"/>
        <v>(01) Factura F00100000102</v>
      </c>
    </row>
    <row r="8" spans="1:44">
      <c r="A8" t="s">
        <v>277</v>
      </c>
      <c r="B8" s="21" t="s">
        <v>289</v>
      </c>
      <c r="C8" s="8">
        <v>45919</v>
      </c>
      <c r="D8" s="22">
        <v>45932.42046296296</v>
      </c>
      <c r="E8" t="s">
        <v>37</v>
      </c>
      <c r="G8">
        <v>6</v>
      </c>
      <c r="H8">
        <v>20609168961</v>
      </c>
      <c r="I8" t="s">
        <v>290</v>
      </c>
      <c r="J8" s="8">
        <v>45919</v>
      </c>
      <c r="P8">
        <v>1</v>
      </c>
      <c r="Q8">
        <v>232</v>
      </c>
      <c r="R8" t="s">
        <v>280</v>
      </c>
      <c r="S8" t="s">
        <v>281</v>
      </c>
      <c r="T8">
        <v>2</v>
      </c>
      <c r="U8">
        <v>0</v>
      </c>
      <c r="V8">
        <v>0</v>
      </c>
      <c r="X8">
        <v>0</v>
      </c>
      <c r="Y8">
        <v>0</v>
      </c>
      <c r="Z8">
        <v>0</v>
      </c>
      <c r="AA8">
        <v>0</v>
      </c>
      <c r="AB8">
        <v>1</v>
      </c>
      <c r="AD8" t="s">
        <v>270</v>
      </c>
      <c r="AE8" t="s">
        <v>271</v>
      </c>
      <c r="AF8">
        <v>2</v>
      </c>
      <c r="AG8" t="s">
        <v>28</v>
      </c>
      <c r="AH8">
        <v>101</v>
      </c>
      <c r="AI8" t="s">
        <v>282</v>
      </c>
      <c r="AJ8" t="s">
        <v>283</v>
      </c>
      <c r="AK8">
        <v>2</v>
      </c>
      <c r="AL8" t="s">
        <v>284</v>
      </c>
      <c r="AM8" s="8">
        <v>44204</v>
      </c>
      <c r="AN8" s="8">
        <v>44204</v>
      </c>
      <c r="AP8" t="s">
        <v>37</v>
      </c>
      <c r="AR8" t="str">
        <f t="shared" si="0"/>
        <v>(01) Factura F00100000101</v>
      </c>
    </row>
    <row r="9" spans="1:44">
      <c r="A9" t="s">
        <v>266</v>
      </c>
      <c r="B9" s="21" t="s">
        <v>291</v>
      </c>
      <c r="C9" s="8">
        <v>45917</v>
      </c>
      <c r="D9" s="22">
        <v>45932.655659722222</v>
      </c>
      <c r="E9" t="s">
        <v>38</v>
      </c>
      <c r="G9">
        <v>6</v>
      </c>
      <c r="H9">
        <v>20611018925</v>
      </c>
      <c r="I9" t="s">
        <v>292</v>
      </c>
      <c r="J9" s="8">
        <v>45917</v>
      </c>
      <c r="P9">
        <v>1</v>
      </c>
      <c r="R9" t="s">
        <v>269</v>
      </c>
      <c r="T9">
        <v>1</v>
      </c>
      <c r="U9">
        <v>47.46</v>
      </c>
      <c r="V9">
        <v>56</v>
      </c>
      <c r="X9">
        <v>47.46</v>
      </c>
      <c r="Y9">
        <v>17.989999999999998</v>
      </c>
      <c r="Z9">
        <v>8.5399999999999991</v>
      </c>
      <c r="AA9">
        <v>56</v>
      </c>
      <c r="AB9">
        <v>1</v>
      </c>
      <c r="AD9" t="s">
        <v>270</v>
      </c>
      <c r="AE9" t="s">
        <v>271</v>
      </c>
      <c r="AF9">
        <v>2</v>
      </c>
      <c r="AG9" t="s">
        <v>28</v>
      </c>
      <c r="AH9">
        <v>137</v>
      </c>
      <c r="AI9" t="s">
        <v>272</v>
      </c>
      <c r="AJ9" t="s">
        <v>273</v>
      </c>
      <c r="AP9" t="s">
        <v>38</v>
      </c>
      <c r="AR9" t="str">
        <f t="shared" si="0"/>
        <v>(01) Factura FB0100000073</v>
      </c>
    </row>
    <row r="10" spans="1:44">
      <c r="A10" t="s">
        <v>266</v>
      </c>
      <c r="B10" s="21" t="s">
        <v>293</v>
      </c>
      <c r="C10" s="8">
        <v>45917</v>
      </c>
      <c r="D10" s="22">
        <v>45932.647650462961</v>
      </c>
      <c r="E10" t="s">
        <v>38</v>
      </c>
      <c r="G10">
        <v>6</v>
      </c>
      <c r="H10">
        <v>20611018925</v>
      </c>
      <c r="I10" t="s">
        <v>294</v>
      </c>
      <c r="J10" s="8">
        <v>45917</v>
      </c>
      <c r="P10">
        <v>1</v>
      </c>
      <c r="R10" t="s">
        <v>269</v>
      </c>
      <c r="T10">
        <v>1</v>
      </c>
      <c r="U10">
        <v>67.8</v>
      </c>
      <c r="V10">
        <v>80</v>
      </c>
      <c r="X10">
        <v>67.8</v>
      </c>
      <c r="Y10">
        <v>17.989999999999998</v>
      </c>
      <c r="Z10">
        <v>12.2</v>
      </c>
      <c r="AA10">
        <v>80</v>
      </c>
      <c r="AB10">
        <v>1</v>
      </c>
      <c r="AD10" t="s">
        <v>270</v>
      </c>
      <c r="AE10" t="s">
        <v>271</v>
      </c>
      <c r="AF10">
        <v>2</v>
      </c>
      <c r="AG10" t="s">
        <v>28</v>
      </c>
      <c r="AH10">
        <v>137</v>
      </c>
      <c r="AI10" t="s">
        <v>272</v>
      </c>
      <c r="AJ10" t="s">
        <v>273</v>
      </c>
      <c r="AP10" t="s">
        <v>38</v>
      </c>
      <c r="AR10" t="str">
        <f t="shared" si="0"/>
        <v>(01) Factura FB0100000072</v>
      </c>
    </row>
    <row r="11" spans="1:44">
      <c r="A11" t="s">
        <v>266</v>
      </c>
      <c r="B11" s="21" t="s">
        <v>295</v>
      </c>
      <c r="C11" s="8">
        <v>45917</v>
      </c>
      <c r="D11" s="22">
        <v>45932.639791666668</v>
      </c>
      <c r="E11" t="s">
        <v>38</v>
      </c>
      <c r="G11">
        <v>6</v>
      </c>
      <c r="H11">
        <v>20611018925</v>
      </c>
      <c r="I11" t="s">
        <v>296</v>
      </c>
      <c r="J11" s="8">
        <v>45917</v>
      </c>
      <c r="P11">
        <v>1</v>
      </c>
      <c r="R11" t="s">
        <v>269</v>
      </c>
      <c r="T11">
        <v>1</v>
      </c>
      <c r="U11">
        <v>55.93</v>
      </c>
      <c r="V11">
        <v>66</v>
      </c>
      <c r="X11">
        <v>55.93</v>
      </c>
      <c r="Y11">
        <v>18</v>
      </c>
      <c r="Z11">
        <v>10.07</v>
      </c>
      <c r="AA11">
        <v>66</v>
      </c>
      <c r="AB11">
        <v>1</v>
      </c>
      <c r="AD11" t="s">
        <v>270</v>
      </c>
      <c r="AE11" t="s">
        <v>271</v>
      </c>
      <c r="AF11">
        <v>2</v>
      </c>
      <c r="AG11" t="s">
        <v>28</v>
      </c>
      <c r="AH11">
        <v>137</v>
      </c>
      <c r="AI11" t="s">
        <v>272</v>
      </c>
      <c r="AJ11" t="s">
        <v>273</v>
      </c>
      <c r="AP11" t="s">
        <v>38</v>
      </c>
      <c r="AR11" t="str">
        <f t="shared" si="0"/>
        <v>(01) Factura FB0100000071</v>
      </c>
    </row>
    <row r="12" spans="1:44">
      <c r="A12" t="s">
        <v>266</v>
      </c>
      <c r="B12" s="21" t="s">
        <v>297</v>
      </c>
      <c r="C12" s="8">
        <v>45917</v>
      </c>
      <c r="D12" s="22">
        <v>45932.635567129626</v>
      </c>
      <c r="E12" t="s">
        <v>38</v>
      </c>
      <c r="G12">
        <v>6</v>
      </c>
      <c r="H12">
        <v>20611018925</v>
      </c>
      <c r="I12" t="s">
        <v>298</v>
      </c>
      <c r="J12" s="8">
        <v>45917</v>
      </c>
      <c r="P12">
        <v>1</v>
      </c>
      <c r="R12" t="s">
        <v>269</v>
      </c>
      <c r="T12">
        <v>1</v>
      </c>
      <c r="U12">
        <v>76.27</v>
      </c>
      <c r="V12">
        <v>90</v>
      </c>
      <c r="X12">
        <v>76.27</v>
      </c>
      <c r="Y12">
        <v>18</v>
      </c>
      <c r="Z12">
        <v>13.73</v>
      </c>
      <c r="AA12">
        <v>90</v>
      </c>
      <c r="AB12">
        <v>1</v>
      </c>
      <c r="AD12" t="s">
        <v>270</v>
      </c>
      <c r="AE12" t="s">
        <v>271</v>
      </c>
      <c r="AF12">
        <v>2</v>
      </c>
      <c r="AG12" t="s">
        <v>28</v>
      </c>
      <c r="AH12">
        <v>137</v>
      </c>
      <c r="AI12" t="s">
        <v>272</v>
      </c>
      <c r="AJ12" t="s">
        <v>273</v>
      </c>
      <c r="AP12" t="s">
        <v>38</v>
      </c>
      <c r="AR12" t="str">
        <f t="shared" si="0"/>
        <v>(01) Factura FB0100000070</v>
      </c>
    </row>
    <row r="13" spans="1:44">
      <c r="A13" t="s">
        <v>266</v>
      </c>
      <c r="B13" s="21" t="s">
        <v>299</v>
      </c>
      <c r="C13" s="8">
        <v>45917</v>
      </c>
      <c r="D13" s="22">
        <v>45932.620300925926</v>
      </c>
      <c r="E13" t="s">
        <v>38</v>
      </c>
      <c r="G13">
        <v>6</v>
      </c>
      <c r="H13">
        <v>20611018925</v>
      </c>
      <c r="I13" t="s">
        <v>294</v>
      </c>
      <c r="J13" s="8">
        <v>45917</v>
      </c>
      <c r="P13">
        <v>1</v>
      </c>
      <c r="R13" t="s">
        <v>269</v>
      </c>
      <c r="T13">
        <v>1</v>
      </c>
      <c r="U13">
        <v>67.8</v>
      </c>
      <c r="V13">
        <v>80</v>
      </c>
      <c r="X13">
        <v>67.8</v>
      </c>
      <c r="Y13">
        <v>17.989999999999998</v>
      </c>
      <c r="Z13">
        <v>12.2</v>
      </c>
      <c r="AA13">
        <v>80</v>
      </c>
      <c r="AB13">
        <v>1</v>
      </c>
      <c r="AD13" t="s">
        <v>270</v>
      </c>
      <c r="AE13" t="s">
        <v>271</v>
      </c>
      <c r="AF13">
        <v>2</v>
      </c>
      <c r="AG13" t="s">
        <v>28</v>
      </c>
      <c r="AH13">
        <v>137</v>
      </c>
      <c r="AI13" t="s">
        <v>272</v>
      </c>
      <c r="AJ13" t="s">
        <v>273</v>
      </c>
      <c r="AP13" t="s">
        <v>38</v>
      </c>
      <c r="AR13" t="str">
        <f t="shared" si="0"/>
        <v>(01) Factura FB0100000069</v>
      </c>
    </row>
    <row r="14" spans="1:44">
      <c r="A14" t="s">
        <v>266</v>
      </c>
      <c r="B14" s="21" t="s">
        <v>300</v>
      </c>
      <c r="C14" s="8">
        <v>45917</v>
      </c>
      <c r="D14" s="22">
        <v>45932.605902777781</v>
      </c>
      <c r="E14" t="s">
        <v>38</v>
      </c>
      <c r="G14">
        <v>6</v>
      </c>
      <c r="H14">
        <v>20611018925</v>
      </c>
      <c r="I14" t="s">
        <v>301</v>
      </c>
      <c r="J14" s="8">
        <v>45917</v>
      </c>
      <c r="P14">
        <v>1</v>
      </c>
      <c r="R14" t="s">
        <v>269</v>
      </c>
      <c r="T14">
        <v>1</v>
      </c>
      <c r="U14">
        <v>50.85</v>
      </c>
      <c r="V14">
        <v>60</v>
      </c>
      <c r="X14">
        <v>50.85</v>
      </c>
      <c r="Y14">
        <v>17.989999999999998</v>
      </c>
      <c r="Z14">
        <v>9.15</v>
      </c>
      <c r="AA14">
        <v>60</v>
      </c>
      <c r="AB14">
        <v>1</v>
      </c>
      <c r="AD14" t="s">
        <v>270</v>
      </c>
      <c r="AE14" t="s">
        <v>271</v>
      </c>
      <c r="AF14">
        <v>2</v>
      </c>
      <c r="AG14" t="s">
        <v>28</v>
      </c>
      <c r="AH14">
        <v>137</v>
      </c>
      <c r="AI14" t="s">
        <v>272</v>
      </c>
      <c r="AJ14" t="s">
        <v>273</v>
      </c>
      <c r="AP14" t="s">
        <v>38</v>
      </c>
      <c r="AR14" t="str">
        <f t="shared" si="0"/>
        <v>(01) Factura FB0100000068</v>
      </c>
    </row>
    <row r="15" spans="1:44">
      <c r="A15" t="s">
        <v>266</v>
      </c>
      <c r="B15" s="21" t="s">
        <v>302</v>
      </c>
      <c r="C15" s="8">
        <v>45917</v>
      </c>
      <c r="D15" s="22">
        <v>45932.535555555558</v>
      </c>
      <c r="E15" t="s">
        <v>38</v>
      </c>
      <c r="G15">
        <v>6</v>
      </c>
      <c r="H15">
        <v>20611018925</v>
      </c>
      <c r="I15" t="s">
        <v>303</v>
      </c>
      <c r="J15" s="8">
        <v>45917</v>
      </c>
      <c r="P15">
        <v>1</v>
      </c>
      <c r="R15" t="s">
        <v>304</v>
      </c>
      <c r="T15">
        <v>1</v>
      </c>
      <c r="U15">
        <v>33.9</v>
      </c>
      <c r="V15">
        <v>40</v>
      </c>
      <c r="X15">
        <v>33.9</v>
      </c>
      <c r="Y15">
        <v>17.989999999999998</v>
      </c>
      <c r="Z15">
        <v>6.1</v>
      </c>
      <c r="AA15">
        <v>40</v>
      </c>
      <c r="AB15">
        <v>1</v>
      </c>
      <c r="AD15" t="s">
        <v>270</v>
      </c>
      <c r="AE15" t="s">
        <v>271</v>
      </c>
      <c r="AF15">
        <v>2</v>
      </c>
      <c r="AG15" t="s">
        <v>28</v>
      </c>
      <c r="AH15">
        <v>137</v>
      </c>
      <c r="AI15" t="s">
        <v>272</v>
      </c>
      <c r="AJ15" t="s">
        <v>273</v>
      </c>
      <c r="AP15" t="s">
        <v>38</v>
      </c>
      <c r="AR15" t="str">
        <f t="shared" si="0"/>
        <v>(01) Factura FB0100000067</v>
      </c>
    </row>
    <row r="16" spans="1:44">
      <c r="A16" t="s">
        <v>266</v>
      </c>
      <c r="B16" s="21" t="s">
        <v>305</v>
      </c>
      <c r="C16" s="8">
        <v>45917</v>
      </c>
      <c r="D16" s="22">
        <v>45932.520011574074</v>
      </c>
      <c r="E16" t="s">
        <v>38</v>
      </c>
      <c r="G16">
        <v>6</v>
      </c>
      <c r="H16">
        <v>20611018925</v>
      </c>
      <c r="I16" t="s">
        <v>306</v>
      </c>
      <c r="J16" s="8">
        <v>45917</v>
      </c>
      <c r="P16">
        <v>1</v>
      </c>
      <c r="R16" t="s">
        <v>269</v>
      </c>
      <c r="T16">
        <v>1</v>
      </c>
      <c r="U16">
        <v>74.58</v>
      </c>
      <c r="V16">
        <v>88</v>
      </c>
      <c r="X16">
        <v>74.58</v>
      </c>
      <c r="Y16">
        <v>17.989999999999998</v>
      </c>
      <c r="Z16">
        <v>13.42</v>
      </c>
      <c r="AA16">
        <v>88</v>
      </c>
      <c r="AB16">
        <v>1</v>
      </c>
      <c r="AD16" t="s">
        <v>270</v>
      </c>
      <c r="AE16" t="s">
        <v>271</v>
      </c>
      <c r="AF16">
        <v>2</v>
      </c>
      <c r="AG16" t="s">
        <v>28</v>
      </c>
      <c r="AH16">
        <v>137</v>
      </c>
      <c r="AI16" t="s">
        <v>272</v>
      </c>
      <c r="AJ16" t="s">
        <v>273</v>
      </c>
      <c r="AP16" t="s">
        <v>38</v>
      </c>
      <c r="AR16" t="str">
        <f t="shared" si="0"/>
        <v>(01) Factura FB0100000066</v>
      </c>
    </row>
    <row r="17" spans="1:44">
      <c r="A17" t="s">
        <v>266</v>
      </c>
      <c r="B17" s="21" t="s">
        <v>307</v>
      </c>
      <c r="C17" s="8">
        <v>45917</v>
      </c>
      <c r="D17" s="22">
        <v>45932.506631944445</v>
      </c>
      <c r="E17" t="s">
        <v>38</v>
      </c>
      <c r="G17">
        <v>6</v>
      </c>
      <c r="H17">
        <v>20611018925</v>
      </c>
      <c r="I17" t="s">
        <v>308</v>
      </c>
      <c r="J17" s="8">
        <v>45917</v>
      </c>
      <c r="P17">
        <v>1</v>
      </c>
      <c r="R17" t="s">
        <v>269</v>
      </c>
      <c r="T17">
        <v>1</v>
      </c>
      <c r="U17">
        <v>169.49</v>
      </c>
      <c r="V17">
        <v>200</v>
      </c>
      <c r="X17">
        <v>169.49</v>
      </c>
      <c r="Y17">
        <v>18</v>
      </c>
      <c r="Z17">
        <v>30.51</v>
      </c>
      <c r="AA17">
        <v>200</v>
      </c>
      <c r="AB17">
        <v>1</v>
      </c>
      <c r="AD17" t="s">
        <v>270</v>
      </c>
      <c r="AE17" t="s">
        <v>271</v>
      </c>
      <c r="AF17">
        <v>2</v>
      </c>
      <c r="AG17" t="s">
        <v>28</v>
      </c>
      <c r="AH17">
        <v>137</v>
      </c>
      <c r="AI17" t="s">
        <v>272</v>
      </c>
      <c r="AJ17" t="s">
        <v>273</v>
      </c>
      <c r="AP17" t="s">
        <v>38</v>
      </c>
      <c r="AR17" t="str">
        <f t="shared" si="0"/>
        <v>(01) Factura FB0100000065</v>
      </c>
    </row>
    <row r="18" spans="1:44">
      <c r="A18" t="s">
        <v>266</v>
      </c>
      <c r="B18" s="21" t="s">
        <v>309</v>
      </c>
      <c r="C18" s="8">
        <v>45917</v>
      </c>
      <c r="D18" s="22">
        <v>45932.505902777775</v>
      </c>
      <c r="E18" t="s">
        <v>38</v>
      </c>
      <c r="G18">
        <v>6</v>
      </c>
      <c r="H18">
        <v>20611018925</v>
      </c>
      <c r="I18" t="s">
        <v>310</v>
      </c>
      <c r="J18" s="8">
        <v>45917</v>
      </c>
      <c r="P18">
        <v>1</v>
      </c>
      <c r="R18" t="s">
        <v>269</v>
      </c>
      <c r="T18">
        <v>1</v>
      </c>
      <c r="U18">
        <v>127.12</v>
      </c>
      <c r="V18">
        <v>150</v>
      </c>
      <c r="X18">
        <v>127.12</v>
      </c>
      <c r="Y18">
        <v>18</v>
      </c>
      <c r="Z18">
        <v>22.88</v>
      </c>
      <c r="AA18">
        <v>150</v>
      </c>
      <c r="AB18">
        <v>1</v>
      </c>
      <c r="AD18" t="s">
        <v>270</v>
      </c>
      <c r="AE18" t="s">
        <v>271</v>
      </c>
      <c r="AF18">
        <v>2</v>
      </c>
      <c r="AG18" t="s">
        <v>28</v>
      </c>
      <c r="AH18">
        <v>137</v>
      </c>
      <c r="AI18" t="s">
        <v>272</v>
      </c>
      <c r="AJ18" t="s">
        <v>273</v>
      </c>
      <c r="AP18" t="s">
        <v>38</v>
      </c>
      <c r="AR18" t="str">
        <f t="shared" si="0"/>
        <v>(01) Factura FB0100000064</v>
      </c>
    </row>
    <row r="19" spans="1:44">
      <c r="A19" t="s">
        <v>266</v>
      </c>
      <c r="B19" s="21" t="s">
        <v>311</v>
      </c>
      <c r="C19" s="8">
        <v>45917</v>
      </c>
      <c r="D19" s="22">
        <v>45932.449212962965</v>
      </c>
      <c r="E19" t="s">
        <v>35</v>
      </c>
      <c r="F19" t="s">
        <v>275</v>
      </c>
      <c r="G19">
        <v>6</v>
      </c>
      <c r="H19">
        <v>20608361074</v>
      </c>
      <c r="I19" t="s">
        <v>312</v>
      </c>
      <c r="J19" s="8">
        <v>45917</v>
      </c>
      <c r="P19">
        <v>1</v>
      </c>
      <c r="R19" t="s">
        <v>313</v>
      </c>
      <c r="T19">
        <v>1</v>
      </c>
      <c r="U19">
        <v>101.69</v>
      </c>
      <c r="V19">
        <v>119.99</v>
      </c>
      <c r="X19">
        <v>101.69</v>
      </c>
      <c r="Y19">
        <v>18</v>
      </c>
      <c r="Z19">
        <v>18.3</v>
      </c>
      <c r="AA19">
        <v>119.99</v>
      </c>
      <c r="AB19">
        <v>1</v>
      </c>
      <c r="AD19" t="s">
        <v>270</v>
      </c>
      <c r="AE19" t="s">
        <v>271</v>
      </c>
      <c r="AF19">
        <v>2</v>
      </c>
      <c r="AG19" t="s">
        <v>28</v>
      </c>
      <c r="AH19">
        <v>137</v>
      </c>
      <c r="AI19" t="s">
        <v>272</v>
      </c>
      <c r="AJ19" t="s">
        <v>273</v>
      </c>
      <c r="AP19" t="s">
        <v>35</v>
      </c>
      <c r="AR19" t="str">
        <f t="shared" si="0"/>
        <v>(01) Factura FB0100000063</v>
      </c>
    </row>
    <row r="20" spans="1:44">
      <c r="A20" t="s">
        <v>266</v>
      </c>
      <c r="B20" s="21" t="s">
        <v>314</v>
      </c>
      <c r="C20" s="8">
        <v>45917</v>
      </c>
      <c r="D20" s="22">
        <v>45932.431145833332</v>
      </c>
      <c r="E20" t="s">
        <v>35</v>
      </c>
      <c r="F20" t="s">
        <v>275</v>
      </c>
      <c r="G20">
        <v>6</v>
      </c>
      <c r="H20">
        <v>20608361074</v>
      </c>
      <c r="I20" t="s">
        <v>315</v>
      </c>
      <c r="J20" s="8">
        <v>45917</v>
      </c>
      <c r="P20">
        <v>1</v>
      </c>
      <c r="R20" t="s">
        <v>269</v>
      </c>
      <c r="T20">
        <v>1</v>
      </c>
      <c r="U20">
        <v>33.9</v>
      </c>
      <c r="V20">
        <v>40</v>
      </c>
      <c r="X20">
        <v>33.9</v>
      </c>
      <c r="Y20">
        <v>17.989999999999998</v>
      </c>
      <c r="Z20">
        <v>6.1</v>
      </c>
      <c r="AA20">
        <v>40</v>
      </c>
      <c r="AB20">
        <v>1</v>
      </c>
      <c r="AD20" t="s">
        <v>270</v>
      </c>
      <c r="AE20" t="s">
        <v>271</v>
      </c>
      <c r="AF20">
        <v>2</v>
      </c>
      <c r="AG20" t="s">
        <v>28</v>
      </c>
      <c r="AH20">
        <v>137</v>
      </c>
      <c r="AI20" t="s">
        <v>272</v>
      </c>
      <c r="AJ20" t="s">
        <v>273</v>
      </c>
      <c r="AP20" t="s">
        <v>35</v>
      </c>
      <c r="AR20" t="str">
        <f t="shared" si="0"/>
        <v>(01) Factura FB0100000062</v>
      </c>
    </row>
    <row r="21" spans="1:44">
      <c r="A21" t="s">
        <v>266</v>
      </c>
      <c r="B21" s="21" t="s">
        <v>316</v>
      </c>
      <c r="C21" s="8">
        <v>45917</v>
      </c>
      <c r="D21" s="22">
        <v>45932.428738425922</v>
      </c>
      <c r="E21" t="s">
        <v>35</v>
      </c>
      <c r="F21" t="s">
        <v>275</v>
      </c>
      <c r="G21">
        <v>6</v>
      </c>
      <c r="H21">
        <v>20608361074</v>
      </c>
      <c r="I21" t="s">
        <v>317</v>
      </c>
      <c r="J21" s="8">
        <v>45917</v>
      </c>
      <c r="P21">
        <v>1</v>
      </c>
      <c r="R21" t="s">
        <v>269</v>
      </c>
      <c r="T21">
        <v>1</v>
      </c>
      <c r="U21">
        <v>16.95</v>
      </c>
      <c r="V21">
        <v>20</v>
      </c>
      <c r="X21">
        <v>16.95</v>
      </c>
      <c r="Y21">
        <v>17.989999999999998</v>
      </c>
      <c r="Z21">
        <v>3.05</v>
      </c>
      <c r="AA21">
        <v>20</v>
      </c>
      <c r="AB21">
        <v>1</v>
      </c>
      <c r="AD21" t="s">
        <v>270</v>
      </c>
      <c r="AE21" t="s">
        <v>271</v>
      </c>
      <c r="AF21">
        <v>2</v>
      </c>
      <c r="AG21" t="s">
        <v>28</v>
      </c>
      <c r="AH21">
        <v>137</v>
      </c>
      <c r="AI21" t="s">
        <v>272</v>
      </c>
      <c r="AJ21" t="s">
        <v>273</v>
      </c>
      <c r="AP21" t="s">
        <v>35</v>
      </c>
      <c r="AR21" t="str">
        <f t="shared" si="0"/>
        <v>(01) Factura FB0100000061</v>
      </c>
    </row>
    <row r="22" spans="1:44">
      <c r="A22" t="s">
        <v>266</v>
      </c>
      <c r="B22" s="21" t="s">
        <v>318</v>
      </c>
      <c r="C22" s="8">
        <v>45917</v>
      </c>
      <c r="D22" s="22">
        <v>45932.419398148151</v>
      </c>
      <c r="E22" t="s">
        <v>35</v>
      </c>
      <c r="F22" t="s">
        <v>275</v>
      </c>
      <c r="G22">
        <v>6</v>
      </c>
      <c r="H22">
        <v>20608361074</v>
      </c>
      <c r="I22" t="s">
        <v>319</v>
      </c>
      <c r="J22" s="8">
        <v>45917</v>
      </c>
      <c r="P22">
        <v>1</v>
      </c>
      <c r="R22" t="s">
        <v>269</v>
      </c>
      <c r="T22">
        <v>1</v>
      </c>
      <c r="U22">
        <v>84.75</v>
      </c>
      <c r="V22">
        <v>100.01</v>
      </c>
      <c r="X22">
        <v>84.75</v>
      </c>
      <c r="Y22">
        <v>18.010000000000002</v>
      </c>
      <c r="Z22">
        <v>15.26</v>
      </c>
      <c r="AA22">
        <v>100.01</v>
      </c>
      <c r="AB22">
        <v>1</v>
      </c>
      <c r="AD22" t="s">
        <v>270</v>
      </c>
      <c r="AE22" t="s">
        <v>271</v>
      </c>
      <c r="AF22">
        <v>2</v>
      </c>
      <c r="AG22" t="s">
        <v>28</v>
      </c>
      <c r="AH22">
        <v>137</v>
      </c>
      <c r="AI22" t="s">
        <v>272</v>
      </c>
      <c r="AJ22" t="s">
        <v>273</v>
      </c>
      <c r="AP22" t="s">
        <v>35</v>
      </c>
      <c r="AR22" t="str">
        <f t="shared" si="0"/>
        <v>(01) Factura FB0100000060</v>
      </c>
    </row>
    <row r="23" spans="1:44">
      <c r="A23" t="s">
        <v>266</v>
      </c>
      <c r="B23" s="21" t="s">
        <v>320</v>
      </c>
      <c r="C23" s="8">
        <v>45917</v>
      </c>
      <c r="D23" s="22">
        <v>45932.414837962962</v>
      </c>
      <c r="E23" t="s">
        <v>27</v>
      </c>
      <c r="G23">
        <v>6</v>
      </c>
      <c r="H23">
        <v>20609593076</v>
      </c>
      <c r="I23" t="s">
        <v>321</v>
      </c>
      <c r="J23" s="8">
        <v>45917</v>
      </c>
      <c r="P23">
        <v>1</v>
      </c>
      <c r="R23" t="s">
        <v>269</v>
      </c>
      <c r="T23">
        <v>1</v>
      </c>
      <c r="U23">
        <v>55.93</v>
      </c>
      <c r="V23">
        <v>66</v>
      </c>
      <c r="X23">
        <v>55.93</v>
      </c>
      <c r="Y23">
        <v>18</v>
      </c>
      <c r="Z23">
        <v>10.07</v>
      </c>
      <c r="AA23">
        <v>66</v>
      </c>
      <c r="AB23">
        <v>1</v>
      </c>
      <c r="AD23" t="s">
        <v>270</v>
      </c>
      <c r="AE23" t="s">
        <v>271</v>
      </c>
      <c r="AF23">
        <v>2</v>
      </c>
      <c r="AG23" t="s">
        <v>28</v>
      </c>
      <c r="AH23">
        <v>137</v>
      </c>
      <c r="AI23" t="s">
        <v>272</v>
      </c>
      <c r="AJ23" t="s">
        <v>273</v>
      </c>
      <c r="AP23" t="s">
        <v>27</v>
      </c>
      <c r="AR23" t="str">
        <f t="shared" si="0"/>
        <v>(01) Factura FB0100000059</v>
      </c>
    </row>
    <row r="24" spans="1:44">
      <c r="A24" t="s">
        <v>266</v>
      </c>
      <c r="B24" s="21" t="s">
        <v>322</v>
      </c>
      <c r="C24" s="8">
        <v>45917</v>
      </c>
      <c r="D24" s="22">
        <v>45932.411226851851</v>
      </c>
      <c r="E24" t="s">
        <v>27</v>
      </c>
      <c r="G24">
        <v>6</v>
      </c>
      <c r="H24">
        <v>20609593076</v>
      </c>
      <c r="I24" t="s">
        <v>323</v>
      </c>
      <c r="J24" s="8">
        <v>45917</v>
      </c>
      <c r="P24">
        <v>1</v>
      </c>
      <c r="R24" t="s">
        <v>269</v>
      </c>
      <c r="T24">
        <v>1</v>
      </c>
      <c r="U24">
        <v>74.58</v>
      </c>
      <c r="V24">
        <v>88</v>
      </c>
      <c r="X24">
        <v>74.58</v>
      </c>
      <c r="Y24">
        <v>17.989999999999998</v>
      </c>
      <c r="Z24">
        <v>13.42</v>
      </c>
      <c r="AA24">
        <v>88</v>
      </c>
      <c r="AB24">
        <v>1</v>
      </c>
      <c r="AD24" t="s">
        <v>270</v>
      </c>
      <c r="AE24" t="s">
        <v>271</v>
      </c>
      <c r="AF24">
        <v>2</v>
      </c>
      <c r="AG24" t="s">
        <v>28</v>
      </c>
      <c r="AH24">
        <v>137</v>
      </c>
      <c r="AI24" t="s">
        <v>272</v>
      </c>
      <c r="AJ24" t="s">
        <v>273</v>
      </c>
      <c r="AP24" t="s">
        <v>27</v>
      </c>
      <c r="AR24" t="str">
        <f t="shared" si="0"/>
        <v>(01) Factura FB0100000058</v>
      </c>
    </row>
    <row r="25" spans="1:44">
      <c r="A25" t="s">
        <v>277</v>
      </c>
      <c r="B25" s="21" t="s">
        <v>324</v>
      </c>
      <c r="C25" s="8">
        <v>45916</v>
      </c>
      <c r="D25" s="22">
        <v>45932.462141203701</v>
      </c>
      <c r="E25" t="s">
        <v>37</v>
      </c>
      <c r="G25">
        <v>6</v>
      </c>
      <c r="H25">
        <v>20609168961</v>
      </c>
      <c r="I25" t="s">
        <v>325</v>
      </c>
      <c r="J25" s="8">
        <v>45916</v>
      </c>
      <c r="P25">
        <v>1</v>
      </c>
      <c r="Q25">
        <v>232</v>
      </c>
      <c r="R25" t="s">
        <v>280</v>
      </c>
      <c r="S25" t="s">
        <v>281</v>
      </c>
      <c r="T25">
        <v>1</v>
      </c>
      <c r="U25">
        <v>0</v>
      </c>
      <c r="V25">
        <v>0</v>
      </c>
      <c r="X25">
        <v>0</v>
      </c>
      <c r="Y25">
        <v>0</v>
      </c>
      <c r="Z25">
        <v>0</v>
      </c>
      <c r="AA25">
        <v>0</v>
      </c>
      <c r="AB25">
        <v>1</v>
      </c>
      <c r="AD25" t="s">
        <v>270</v>
      </c>
      <c r="AE25" t="s">
        <v>271</v>
      </c>
      <c r="AF25">
        <v>2</v>
      </c>
      <c r="AG25" t="s">
        <v>28</v>
      </c>
      <c r="AH25">
        <v>101</v>
      </c>
      <c r="AI25" t="s">
        <v>282</v>
      </c>
      <c r="AJ25" t="s">
        <v>283</v>
      </c>
      <c r="AK25">
        <v>2</v>
      </c>
      <c r="AL25" t="s">
        <v>284</v>
      </c>
      <c r="AM25" s="8">
        <v>44204</v>
      </c>
      <c r="AN25" s="8">
        <v>44204</v>
      </c>
      <c r="AP25" t="s">
        <v>37</v>
      </c>
      <c r="AR25" t="str">
        <f t="shared" si="0"/>
        <v>(01) Factura F00100000100</v>
      </c>
    </row>
    <row r="26" spans="1:44">
      <c r="A26" t="s">
        <v>266</v>
      </c>
      <c r="B26" s="21" t="s">
        <v>326</v>
      </c>
      <c r="C26" s="8">
        <v>45912</v>
      </c>
      <c r="D26" s="22">
        <v>45932.550104166665</v>
      </c>
      <c r="E26" t="s">
        <v>27</v>
      </c>
      <c r="G26">
        <v>6</v>
      </c>
      <c r="H26">
        <v>20609593076</v>
      </c>
      <c r="I26" t="s">
        <v>327</v>
      </c>
      <c r="J26" s="8">
        <v>45912</v>
      </c>
      <c r="P26">
        <v>1</v>
      </c>
      <c r="R26" t="s">
        <v>269</v>
      </c>
      <c r="T26">
        <v>1</v>
      </c>
      <c r="U26">
        <v>33.9</v>
      </c>
      <c r="V26">
        <v>40</v>
      </c>
      <c r="X26">
        <v>33.9</v>
      </c>
      <c r="Y26">
        <v>17.989999999999998</v>
      </c>
      <c r="Z26">
        <v>6.1</v>
      </c>
      <c r="AA26">
        <v>40</v>
      </c>
      <c r="AB26">
        <v>1</v>
      </c>
      <c r="AD26" t="s">
        <v>270</v>
      </c>
      <c r="AE26" t="s">
        <v>271</v>
      </c>
      <c r="AF26">
        <v>2</v>
      </c>
      <c r="AG26" t="s">
        <v>28</v>
      </c>
      <c r="AH26">
        <v>137</v>
      </c>
      <c r="AI26" t="s">
        <v>272</v>
      </c>
      <c r="AJ26" t="s">
        <v>273</v>
      </c>
      <c r="AP26" t="s">
        <v>27</v>
      </c>
      <c r="AR26" t="str">
        <f t="shared" si="0"/>
        <v>(01) Factura FB0100000057</v>
      </c>
    </row>
    <row r="27" spans="1:44">
      <c r="A27" t="s">
        <v>266</v>
      </c>
      <c r="B27" s="21" t="s">
        <v>328</v>
      </c>
      <c r="C27" s="8">
        <v>45912</v>
      </c>
      <c r="D27" s="22">
        <v>45932.547708333332</v>
      </c>
      <c r="E27" t="s">
        <v>27</v>
      </c>
      <c r="G27">
        <v>6</v>
      </c>
      <c r="H27">
        <v>20609593076</v>
      </c>
      <c r="I27" t="s">
        <v>329</v>
      </c>
      <c r="J27" s="8">
        <v>45912</v>
      </c>
      <c r="P27">
        <v>1</v>
      </c>
      <c r="R27" t="s">
        <v>269</v>
      </c>
      <c r="T27">
        <v>1</v>
      </c>
      <c r="U27">
        <v>65.25</v>
      </c>
      <c r="V27">
        <v>77</v>
      </c>
      <c r="X27">
        <v>65.25</v>
      </c>
      <c r="Y27">
        <v>18.010000000000002</v>
      </c>
      <c r="Z27">
        <v>11.75</v>
      </c>
      <c r="AA27">
        <v>77</v>
      </c>
      <c r="AB27">
        <v>1</v>
      </c>
      <c r="AD27" t="s">
        <v>270</v>
      </c>
      <c r="AE27" t="s">
        <v>271</v>
      </c>
      <c r="AF27">
        <v>2</v>
      </c>
      <c r="AG27" t="s">
        <v>28</v>
      </c>
      <c r="AH27">
        <v>137</v>
      </c>
      <c r="AI27" t="s">
        <v>272</v>
      </c>
      <c r="AJ27" t="s">
        <v>273</v>
      </c>
      <c r="AP27" t="s">
        <v>27</v>
      </c>
      <c r="AR27" t="str">
        <f t="shared" si="0"/>
        <v>(01) Factura FB0100000056</v>
      </c>
    </row>
    <row r="28" spans="1:44">
      <c r="A28" t="s">
        <v>266</v>
      </c>
      <c r="B28" s="21" t="s">
        <v>330</v>
      </c>
      <c r="C28" s="8">
        <v>45908</v>
      </c>
      <c r="D28" s="22">
        <v>45932.755208333336</v>
      </c>
      <c r="E28" t="s">
        <v>27</v>
      </c>
      <c r="G28">
        <v>6</v>
      </c>
      <c r="H28">
        <v>20609593076</v>
      </c>
      <c r="I28" t="s">
        <v>331</v>
      </c>
      <c r="J28" s="8">
        <v>45908</v>
      </c>
      <c r="P28">
        <v>1</v>
      </c>
      <c r="R28" t="s">
        <v>269</v>
      </c>
      <c r="T28">
        <v>1</v>
      </c>
      <c r="U28">
        <v>118.64</v>
      </c>
      <c r="V28">
        <v>140</v>
      </c>
      <c r="X28">
        <v>118.64</v>
      </c>
      <c r="Y28">
        <v>18</v>
      </c>
      <c r="Z28">
        <v>21.36</v>
      </c>
      <c r="AA28">
        <v>140</v>
      </c>
      <c r="AB28">
        <v>1</v>
      </c>
      <c r="AD28" t="s">
        <v>270</v>
      </c>
      <c r="AE28" t="s">
        <v>271</v>
      </c>
      <c r="AF28">
        <v>2</v>
      </c>
      <c r="AG28" t="s">
        <v>28</v>
      </c>
      <c r="AH28">
        <v>137</v>
      </c>
      <c r="AI28" t="s">
        <v>272</v>
      </c>
      <c r="AJ28" t="s">
        <v>273</v>
      </c>
      <c r="AP28" t="s">
        <v>27</v>
      </c>
      <c r="AR28" t="str">
        <f t="shared" si="0"/>
        <v>(01) Factura FB0100000055</v>
      </c>
    </row>
    <row r="29" spans="1:44">
      <c r="A29" t="s">
        <v>266</v>
      </c>
      <c r="B29" s="21" t="s">
        <v>332</v>
      </c>
      <c r="C29" s="8">
        <v>45908</v>
      </c>
      <c r="D29" s="22">
        <v>45932.751608796294</v>
      </c>
      <c r="E29" t="s">
        <v>27</v>
      </c>
      <c r="G29">
        <v>6</v>
      </c>
      <c r="H29">
        <v>20609593076</v>
      </c>
      <c r="I29" t="s">
        <v>333</v>
      </c>
      <c r="J29" s="8">
        <v>45908</v>
      </c>
      <c r="P29">
        <v>1</v>
      </c>
      <c r="R29" t="s">
        <v>269</v>
      </c>
      <c r="T29">
        <v>1</v>
      </c>
      <c r="U29">
        <v>110.17</v>
      </c>
      <c r="V29">
        <v>130</v>
      </c>
      <c r="X29">
        <v>110.17</v>
      </c>
      <c r="Y29">
        <v>18</v>
      </c>
      <c r="Z29">
        <v>19.829999999999998</v>
      </c>
      <c r="AA29">
        <v>130</v>
      </c>
      <c r="AB29">
        <v>1</v>
      </c>
      <c r="AD29" t="s">
        <v>270</v>
      </c>
      <c r="AE29" t="s">
        <v>271</v>
      </c>
      <c r="AF29">
        <v>2</v>
      </c>
      <c r="AG29" t="s">
        <v>28</v>
      </c>
      <c r="AH29">
        <v>137</v>
      </c>
      <c r="AI29" t="s">
        <v>272</v>
      </c>
      <c r="AJ29" t="s">
        <v>273</v>
      </c>
      <c r="AP29" t="s">
        <v>27</v>
      </c>
      <c r="AR29" t="str">
        <f t="shared" si="0"/>
        <v>(01) Factura FB0100000054</v>
      </c>
    </row>
    <row r="30" spans="1:44">
      <c r="A30" t="s">
        <v>266</v>
      </c>
      <c r="B30" s="21" t="s">
        <v>334</v>
      </c>
      <c r="C30" s="8">
        <v>45908</v>
      </c>
      <c r="D30" s="22">
        <v>45932.740428240744</v>
      </c>
      <c r="E30" t="s">
        <v>27</v>
      </c>
      <c r="G30">
        <v>6</v>
      </c>
      <c r="H30">
        <v>20609593076</v>
      </c>
      <c r="I30" t="s">
        <v>335</v>
      </c>
      <c r="J30" s="8">
        <v>45908</v>
      </c>
      <c r="P30">
        <v>1</v>
      </c>
      <c r="R30" t="s">
        <v>269</v>
      </c>
      <c r="T30">
        <v>1</v>
      </c>
      <c r="U30">
        <v>135.59</v>
      </c>
      <c r="V30">
        <v>160</v>
      </c>
      <c r="X30">
        <v>135.59</v>
      </c>
      <c r="Y30">
        <v>18</v>
      </c>
      <c r="Z30">
        <v>24.41</v>
      </c>
      <c r="AA30">
        <v>160</v>
      </c>
      <c r="AB30">
        <v>1</v>
      </c>
      <c r="AD30" t="s">
        <v>270</v>
      </c>
      <c r="AE30" t="s">
        <v>271</v>
      </c>
      <c r="AF30">
        <v>2</v>
      </c>
      <c r="AG30" t="s">
        <v>28</v>
      </c>
      <c r="AH30">
        <v>137</v>
      </c>
      <c r="AI30" t="s">
        <v>272</v>
      </c>
      <c r="AJ30" t="s">
        <v>273</v>
      </c>
      <c r="AP30" t="s">
        <v>27</v>
      </c>
      <c r="AR30" t="str">
        <f t="shared" si="0"/>
        <v>(01) Factura FB0100000053</v>
      </c>
    </row>
    <row r="31" spans="1:44">
      <c r="A31" t="s">
        <v>266</v>
      </c>
      <c r="B31" s="21" t="s">
        <v>336</v>
      </c>
      <c r="C31" s="8">
        <v>45908</v>
      </c>
      <c r="D31" s="22">
        <v>45932.677731481483</v>
      </c>
      <c r="E31" t="s">
        <v>27</v>
      </c>
      <c r="G31">
        <v>6</v>
      </c>
      <c r="H31">
        <v>20609593076</v>
      </c>
      <c r="I31" t="s">
        <v>337</v>
      </c>
      <c r="J31" s="8">
        <v>45908</v>
      </c>
      <c r="P31">
        <v>1</v>
      </c>
      <c r="R31" t="s">
        <v>269</v>
      </c>
      <c r="T31">
        <v>1</v>
      </c>
      <c r="U31">
        <v>93.22</v>
      </c>
      <c r="V31">
        <v>110</v>
      </c>
      <c r="X31">
        <v>93.22</v>
      </c>
      <c r="Y31">
        <v>18</v>
      </c>
      <c r="Z31">
        <v>16.78</v>
      </c>
      <c r="AA31">
        <v>110</v>
      </c>
      <c r="AB31">
        <v>1</v>
      </c>
      <c r="AD31" t="s">
        <v>270</v>
      </c>
      <c r="AE31" t="s">
        <v>271</v>
      </c>
      <c r="AF31">
        <v>2</v>
      </c>
      <c r="AG31" t="s">
        <v>28</v>
      </c>
      <c r="AH31">
        <v>137</v>
      </c>
      <c r="AI31" t="s">
        <v>272</v>
      </c>
      <c r="AJ31" t="s">
        <v>273</v>
      </c>
      <c r="AP31" t="s">
        <v>27</v>
      </c>
      <c r="AR31" t="str">
        <f t="shared" si="0"/>
        <v>(01) Factura FB0100000052</v>
      </c>
    </row>
    <row r="32" spans="1:44">
      <c r="A32" t="s">
        <v>266</v>
      </c>
      <c r="B32" s="21" t="s">
        <v>338</v>
      </c>
      <c r="C32" s="8">
        <v>45908</v>
      </c>
      <c r="D32" s="22">
        <v>45932.609050925923</v>
      </c>
      <c r="E32" t="s">
        <v>27</v>
      </c>
      <c r="G32">
        <v>6</v>
      </c>
      <c r="H32">
        <v>20609593076</v>
      </c>
      <c r="I32" t="s">
        <v>339</v>
      </c>
      <c r="J32" s="8">
        <v>45908</v>
      </c>
      <c r="P32">
        <v>1</v>
      </c>
      <c r="R32" t="s">
        <v>269</v>
      </c>
      <c r="T32">
        <v>1</v>
      </c>
      <c r="U32">
        <v>127.12</v>
      </c>
      <c r="V32">
        <v>150</v>
      </c>
      <c r="X32">
        <v>127.12</v>
      </c>
      <c r="Y32">
        <v>18</v>
      </c>
      <c r="Z32">
        <v>22.88</v>
      </c>
      <c r="AA32">
        <v>150</v>
      </c>
      <c r="AB32">
        <v>1</v>
      </c>
      <c r="AD32" t="s">
        <v>270</v>
      </c>
      <c r="AE32" t="s">
        <v>271</v>
      </c>
      <c r="AF32">
        <v>2</v>
      </c>
      <c r="AG32" t="s">
        <v>28</v>
      </c>
      <c r="AH32">
        <v>137</v>
      </c>
      <c r="AI32" t="s">
        <v>272</v>
      </c>
      <c r="AJ32" t="s">
        <v>273</v>
      </c>
      <c r="AP32" t="s">
        <v>27</v>
      </c>
      <c r="AR32" t="str">
        <f t="shared" si="0"/>
        <v>(01) Factura FB0100000051</v>
      </c>
    </row>
    <row r="33" spans="1:44">
      <c r="A33" t="s">
        <v>266</v>
      </c>
      <c r="B33" s="21" t="s">
        <v>340</v>
      </c>
      <c r="C33" s="8">
        <v>45908</v>
      </c>
      <c r="D33" s="22">
        <v>45932.605393518519</v>
      </c>
      <c r="E33" t="s">
        <v>27</v>
      </c>
      <c r="G33">
        <v>6</v>
      </c>
      <c r="H33">
        <v>20609593076</v>
      </c>
      <c r="I33" t="s">
        <v>333</v>
      </c>
      <c r="J33" s="8">
        <v>45908</v>
      </c>
      <c r="P33">
        <v>1</v>
      </c>
      <c r="R33" t="s">
        <v>269</v>
      </c>
      <c r="T33">
        <v>1</v>
      </c>
      <c r="U33">
        <v>110.17</v>
      </c>
      <c r="V33">
        <v>130</v>
      </c>
      <c r="X33">
        <v>110.17</v>
      </c>
      <c r="Y33">
        <v>18</v>
      </c>
      <c r="Z33">
        <v>19.829999999999998</v>
      </c>
      <c r="AA33">
        <v>130</v>
      </c>
      <c r="AB33">
        <v>1</v>
      </c>
      <c r="AD33" t="s">
        <v>270</v>
      </c>
      <c r="AE33" t="s">
        <v>271</v>
      </c>
      <c r="AF33">
        <v>2</v>
      </c>
      <c r="AG33" t="s">
        <v>28</v>
      </c>
      <c r="AH33">
        <v>137</v>
      </c>
      <c r="AI33" t="s">
        <v>272</v>
      </c>
      <c r="AJ33" t="s">
        <v>273</v>
      </c>
      <c r="AP33" t="s">
        <v>27</v>
      </c>
      <c r="AR33" t="str">
        <f t="shared" si="0"/>
        <v>(01) Factura FB0100000050</v>
      </c>
    </row>
    <row r="34" spans="1:44">
      <c r="A34" t="s">
        <v>266</v>
      </c>
      <c r="B34" s="21" t="s">
        <v>341</v>
      </c>
      <c r="C34" s="8">
        <v>45908</v>
      </c>
      <c r="D34" s="22">
        <v>45932.563564814816</v>
      </c>
      <c r="E34" t="s">
        <v>27</v>
      </c>
      <c r="G34">
        <v>6</v>
      </c>
      <c r="H34">
        <v>20609593076</v>
      </c>
      <c r="I34" t="s">
        <v>342</v>
      </c>
      <c r="J34" s="8">
        <v>45908</v>
      </c>
      <c r="P34">
        <v>1</v>
      </c>
      <c r="R34" t="s">
        <v>269</v>
      </c>
      <c r="T34">
        <v>1</v>
      </c>
      <c r="U34">
        <v>84.75</v>
      </c>
      <c r="V34">
        <v>100.01</v>
      </c>
      <c r="X34">
        <v>84.75</v>
      </c>
      <c r="Y34">
        <v>18.010000000000002</v>
      </c>
      <c r="Z34">
        <v>15.26</v>
      </c>
      <c r="AA34">
        <v>100.01</v>
      </c>
      <c r="AB34">
        <v>1</v>
      </c>
      <c r="AD34" t="s">
        <v>270</v>
      </c>
      <c r="AE34" t="s">
        <v>271</v>
      </c>
      <c r="AF34">
        <v>2</v>
      </c>
      <c r="AG34" t="s">
        <v>28</v>
      </c>
      <c r="AH34">
        <v>137</v>
      </c>
      <c r="AI34" t="s">
        <v>272</v>
      </c>
      <c r="AJ34" t="s">
        <v>273</v>
      </c>
      <c r="AP34" t="s">
        <v>27</v>
      </c>
      <c r="AR34" t="str">
        <f t="shared" si="0"/>
        <v>(01) Factura FB0100000049</v>
      </c>
    </row>
    <row r="35" spans="1:44">
      <c r="A35" t="s">
        <v>266</v>
      </c>
      <c r="B35" s="21" t="s">
        <v>343</v>
      </c>
      <c r="C35" s="8">
        <v>45908</v>
      </c>
      <c r="D35" s="22">
        <v>45932.547858796293</v>
      </c>
      <c r="E35" t="s">
        <v>27</v>
      </c>
      <c r="G35">
        <v>6</v>
      </c>
      <c r="H35">
        <v>20609593076</v>
      </c>
      <c r="I35" t="s">
        <v>344</v>
      </c>
      <c r="J35" s="8">
        <v>45908</v>
      </c>
      <c r="P35">
        <v>1</v>
      </c>
      <c r="R35" t="s">
        <v>269</v>
      </c>
      <c r="T35">
        <v>1</v>
      </c>
      <c r="U35">
        <v>104.24</v>
      </c>
      <c r="V35">
        <v>123</v>
      </c>
      <c r="X35">
        <v>104.24</v>
      </c>
      <c r="Y35">
        <v>18</v>
      </c>
      <c r="Z35">
        <v>18.760000000000002</v>
      </c>
      <c r="AA35">
        <v>123</v>
      </c>
      <c r="AB35">
        <v>1</v>
      </c>
      <c r="AD35" t="s">
        <v>270</v>
      </c>
      <c r="AE35" t="s">
        <v>271</v>
      </c>
      <c r="AF35">
        <v>2</v>
      </c>
      <c r="AG35" t="s">
        <v>28</v>
      </c>
      <c r="AH35">
        <v>137</v>
      </c>
      <c r="AI35" t="s">
        <v>272</v>
      </c>
      <c r="AJ35" t="s">
        <v>273</v>
      </c>
      <c r="AP35" t="s">
        <v>27</v>
      </c>
      <c r="AR35" t="str">
        <f t="shared" si="0"/>
        <v>(01) Factura FB0100000048</v>
      </c>
    </row>
    <row r="36" spans="1:44">
      <c r="A36" t="s">
        <v>266</v>
      </c>
      <c r="B36" s="21" t="s">
        <v>345</v>
      </c>
      <c r="C36" s="8">
        <v>45908</v>
      </c>
      <c r="D36" s="22">
        <v>45932.538159722222</v>
      </c>
      <c r="E36" t="s">
        <v>27</v>
      </c>
      <c r="G36">
        <v>6</v>
      </c>
      <c r="H36">
        <v>20609593076</v>
      </c>
      <c r="I36" t="s">
        <v>329</v>
      </c>
      <c r="J36" s="8">
        <v>45908</v>
      </c>
      <c r="P36">
        <v>1</v>
      </c>
      <c r="R36" t="s">
        <v>269</v>
      </c>
      <c r="T36">
        <v>1</v>
      </c>
      <c r="U36">
        <v>65.25</v>
      </c>
      <c r="V36">
        <v>77</v>
      </c>
      <c r="X36">
        <v>65.25</v>
      </c>
      <c r="Y36">
        <v>18.010000000000002</v>
      </c>
      <c r="Z36">
        <v>11.75</v>
      </c>
      <c r="AA36">
        <v>77</v>
      </c>
      <c r="AB36">
        <v>1</v>
      </c>
      <c r="AD36" t="s">
        <v>270</v>
      </c>
      <c r="AE36" t="s">
        <v>271</v>
      </c>
      <c r="AF36">
        <v>2</v>
      </c>
      <c r="AG36" t="s">
        <v>28</v>
      </c>
      <c r="AH36">
        <v>137</v>
      </c>
      <c r="AI36" t="s">
        <v>272</v>
      </c>
      <c r="AJ36" t="s">
        <v>273</v>
      </c>
      <c r="AP36" t="s">
        <v>27</v>
      </c>
      <c r="AR36" t="str">
        <f t="shared" si="0"/>
        <v>(01) Factura FB0100000047</v>
      </c>
    </row>
    <row r="37" spans="1:44">
      <c r="A37" t="s">
        <v>266</v>
      </c>
      <c r="B37" s="21" t="s">
        <v>346</v>
      </c>
      <c r="C37" s="8">
        <v>45908</v>
      </c>
      <c r="D37" s="22">
        <v>45932.537372685183</v>
      </c>
      <c r="E37" t="s">
        <v>27</v>
      </c>
      <c r="G37">
        <v>6</v>
      </c>
      <c r="H37">
        <v>20609593076</v>
      </c>
      <c r="I37" t="s">
        <v>347</v>
      </c>
      <c r="J37" s="8">
        <v>45908</v>
      </c>
      <c r="P37">
        <v>1</v>
      </c>
      <c r="R37" t="s">
        <v>348</v>
      </c>
      <c r="T37">
        <v>1</v>
      </c>
      <c r="U37">
        <v>65.25</v>
      </c>
      <c r="V37">
        <v>77</v>
      </c>
      <c r="X37">
        <v>65.25</v>
      </c>
      <c r="Y37">
        <v>18.010000000000002</v>
      </c>
      <c r="Z37">
        <v>11.75</v>
      </c>
      <c r="AA37">
        <v>77</v>
      </c>
      <c r="AB37">
        <v>1</v>
      </c>
      <c r="AD37" t="s">
        <v>270</v>
      </c>
      <c r="AE37" t="s">
        <v>271</v>
      </c>
      <c r="AF37">
        <v>2</v>
      </c>
      <c r="AG37" t="s">
        <v>28</v>
      </c>
      <c r="AJ37" t="s">
        <v>349</v>
      </c>
      <c r="AP37" t="s">
        <v>27</v>
      </c>
      <c r="AR37" t="str">
        <f t="shared" si="0"/>
        <v>(01) Factura FB0100000046</v>
      </c>
    </row>
    <row r="38" spans="1:44">
      <c r="A38" t="s">
        <v>266</v>
      </c>
      <c r="B38" s="21" t="s">
        <v>350</v>
      </c>
      <c r="C38" s="8">
        <v>45908</v>
      </c>
      <c r="D38" s="22">
        <v>45932.530231481483</v>
      </c>
      <c r="E38" t="s">
        <v>27</v>
      </c>
      <c r="G38">
        <v>6</v>
      </c>
      <c r="H38">
        <v>20609593076</v>
      </c>
      <c r="I38" t="s">
        <v>351</v>
      </c>
      <c r="J38" s="8">
        <v>45908</v>
      </c>
      <c r="P38">
        <v>1</v>
      </c>
      <c r="R38" t="s">
        <v>269</v>
      </c>
      <c r="T38">
        <v>1</v>
      </c>
      <c r="U38">
        <v>65.25</v>
      </c>
      <c r="V38">
        <v>77</v>
      </c>
      <c r="X38">
        <v>65.25</v>
      </c>
      <c r="Y38">
        <v>18.010000000000002</v>
      </c>
      <c r="Z38">
        <v>11.75</v>
      </c>
      <c r="AA38">
        <v>77</v>
      </c>
      <c r="AB38">
        <v>1</v>
      </c>
      <c r="AD38" t="s">
        <v>270</v>
      </c>
      <c r="AE38" t="s">
        <v>271</v>
      </c>
      <c r="AF38">
        <v>2</v>
      </c>
      <c r="AG38" t="s">
        <v>28</v>
      </c>
      <c r="AJ38" t="s">
        <v>349</v>
      </c>
      <c r="AP38" t="s">
        <v>27</v>
      </c>
      <c r="AR38" t="str">
        <f t="shared" si="0"/>
        <v>(01) Factura FB0100000045</v>
      </c>
    </row>
    <row r="39" spans="1:44">
      <c r="A39" t="s">
        <v>266</v>
      </c>
      <c r="B39" s="21" t="s">
        <v>352</v>
      </c>
      <c r="C39" s="8">
        <v>45908</v>
      </c>
      <c r="D39" s="22">
        <v>45932.526331018518</v>
      </c>
      <c r="E39" t="s">
        <v>27</v>
      </c>
      <c r="G39">
        <v>6</v>
      </c>
      <c r="H39">
        <v>20609593076</v>
      </c>
      <c r="I39" t="s">
        <v>351</v>
      </c>
      <c r="J39" s="8">
        <v>45908</v>
      </c>
      <c r="P39">
        <v>1</v>
      </c>
      <c r="R39" t="s">
        <v>269</v>
      </c>
      <c r="T39">
        <v>1</v>
      </c>
      <c r="U39">
        <v>65.25</v>
      </c>
      <c r="V39">
        <v>77</v>
      </c>
      <c r="X39">
        <v>65.25</v>
      </c>
      <c r="Y39">
        <v>18.010000000000002</v>
      </c>
      <c r="Z39">
        <v>11.75</v>
      </c>
      <c r="AA39">
        <v>77</v>
      </c>
      <c r="AB39">
        <v>1</v>
      </c>
      <c r="AD39" t="s">
        <v>270</v>
      </c>
      <c r="AE39" t="s">
        <v>271</v>
      </c>
      <c r="AF39">
        <v>2</v>
      </c>
      <c r="AG39" t="s">
        <v>28</v>
      </c>
      <c r="AJ39" t="s">
        <v>349</v>
      </c>
      <c r="AP39" t="s">
        <v>27</v>
      </c>
      <c r="AR39" t="str">
        <f t="shared" si="0"/>
        <v>(01) Factura FB0100000044</v>
      </c>
    </row>
    <row r="40" spans="1:44">
      <c r="A40" t="s">
        <v>266</v>
      </c>
      <c r="B40" s="21" t="s">
        <v>353</v>
      </c>
      <c r="C40" s="8">
        <v>45908</v>
      </c>
      <c r="D40" s="22">
        <v>45932.450300925928</v>
      </c>
      <c r="E40" t="s">
        <v>27</v>
      </c>
      <c r="G40">
        <v>6</v>
      </c>
      <c r="H40">
        <v>20609593076</v>
      </c>
      <c r="I40" t="s">
        <v>351</v>
      </c>
      <c r="J40" s="8">
        <v>45908</v>
      </c>
      <c r="P40">
        <v>1</v>
      </c>
      <c r="R40" t="s">
        <v>269</v>
      </c>
      <c r="T40">
        <v>1</v>
      </c>
      <c r="U40">
        <v>65.25</v>
      </c>
      <c r="V40">
        <v>77</v>
      </c>
      <c r="X40">
        <v>65.25</v>
      </c>
      <c r="Y40">
        <v>18.010000000000002</v>
      </c>
      <c r="Z40">
        <v>11.75</v>
      </c>
      <c r="AA40">
        <v>77</v>
      </c>
      <c r="AB40">
        <v>1</v>
      </c>
      <c r="AD40" t="s">
        <v>270</v>
      </c>
      <c r="AE40" t="s">
        <v>271</v>
      </c>
      <c r="AF40">
        <v>2</v>
      </c>
      <c r="AG40" t="s">
        <v>28</v>
      </c>
      <c r="AJ40" t="s">
        <v>349</v>
      </c>
      <c r="AP40" t="s">
        <v>27</v>
      </c>
      <c r="AR40" t="str">
        <f t="shared" si="0"/>
        <v>(01) Factura FB0100000043</v>
      </c>
    </row>
    <row r="41" spans="1:44">
      <c r="A41" t="s">
        <v>266</v>
      </c>
      <c r="B41" s="21" t="s">
        <v>354</v>
      </c>
      <c r="C41" s="8">
        <v>45908</v>
      </c>
      <c r="D41" s="22">
        <v>45932.379849537036</v>
      </c>
      <c r="E41" t="s">
        <v>35</v>
      </c>
      <c r="F41" t="s">
        <v>275</v>
      </c>
      <c r="G41">
        <v>6</v>
      </c>
      <c r="H41">
        <v>20608361074</v>
      </c>
      <c r="I41" t="s">
        <v>355</v>
      </c>
      <c r="J41" s="8">
        <v>45908</v>
      </c>
      <c r="P41">
        <v>1</v>
      </c>
      <c r="R41" t="s">
        <v>348</v>
      </c>
      <c r="T41">
        <v>1</v>
      </c>
      <c r="U41">
        <v>322</v>
      </c>
      <c r="V41">
        <v>379.96</v>
      </c>
      <c r="X41">
        <v>322</v>
      </c>
      <c r="Y41">
        <v>18</v>
      </c>
      <c r="Z41">
        <v>57.96</v>
      </c>
      <c r="AA41">
        <v>379.96</v>
      </c>
      <c r="AB41">
        <v>1</v>
      </c>
      <c r="AD41" t="s">
        <v>270</v>
      </c>
      <c r="AE41" t="s">
        <v>271</v>
      </c>
      <c r="AF41">
        <v>2</v>
      </c>
      <c r="AG41" t="s">
        <v>28</v>
      </c>
      <c r="AH41">
        <v>137</v>
      </c>
      <c r="AI41" t="s">
        <v>272</v>
      </c>
      <c r="AJ41" t="s">
        <v>273</v>
      </c>
      <c r="AP41" t="s">
        <v>35</v>
      </c>
      <c r="AR41" t="str">
        <f t="shared" si="0"/>
        <v>(01) Factura FB0100000042</v>
      </c>
    </row>
    <row r="42" spans="1:44" s="26" customFormat="1">
      <c r="A42" s="26" t="s">
        <v>266</v>
      </c>
      <c r="B42" s="27" t="s">
        <v>356</v>
      </c>
      <c r="C42" s="28">
        <v>45908</v>
      </c>
      <c r="D42" s="29">
        <v>45932.379490740743</v>
      </c>
      <c r="E42" s="26" t="s">
        <v>35</v>
      </c>
      <c r="F42" s="26" t="s">
        <v>275</v>
      </c>
      <c r="G42" s="26">
        <v>6</v>
      </c>
      <c r="H42" s="26">
        <v>20608361074</v>
      </c>
      <c r="I42" s="26" t="s">
        <v>357</v>
      </c>
      <c r="J42" s="28">
        <v>45908</v>
      </c>
      <c r="P42" s="26">
        <v>1</v>
      </c>
      <c r="R42" s="26" t="s">
        <v>348</v>
      </c>
      <c r="T42" s="26">
        <v>1</v>
      </c>
      <c r="U42" s="26">
        <v>322</v>
      </c>
      <c r="V42" s="26">
        <v>379.96</v>
      </c>
      <c r="X42" s="26">
        <v>322</v>
      </c>
      <c r="Y42" s="26">
        <v>18</v>
      </c>
      <c r="Z42" s="26">
        <v>57.96</v>
      </c>
      <c r="AA42" s="26">
        <v>379.96</v>
      </c>
      <c r="AB42" s="26">
        <v>1</v>
      </c>
      <c r="AD42" s="26" t="s">
        <v>270</v>
      </c>
      <c r="AE42" s="26" t="s">
        <v>271</v>
      </c>
      <c r="AF42" s="26">
        <v>2</v>
      </c>
      <c r="AG42" s="26" t="s">
        <v>28</v>
      </c>
      <c r="AH42" s="26">
        <v>104</v>
      </c>
      <c r="AI42" s="26" t="s">
        <v>358</v>
      </c>
      <c r="AJ42" s="26" t="s">
        <v>359</v>
      </c>
      <c r="AP42" s="26" t="s">
        <v>35</v>
      </c>
      <c r="AR42" s="26" t="str">
        <f t="shared" si="0"/>
        <v>(01) Factura FB0100000041</v>
      </c>
    </row>
    <row r="43" spans="1:44">
      <c r="A43" t="s">
        <v>266</v>
      </c>
      <c r="B43" s="21" t="s">
        <v>360</v>
      </c>
      <c r="C43" s="8">
        <v>45908</v>
      </c>
      <c r="D43" s="22">
        <v>45932.377500000002</v>
      </c>
      <c r="E43" t="s">
        <v>27</v>
      </c>
      <c r="G43">
        <v>6</v>
      </c>
      <c r="H43">
        <v>20609593076</v>
      </c>
      <c r="I43" t="s">
        <v>361</v>
      </c>
      <c r="J43" s="8">
        <v>45908</v>
      </c>
      <c r="P43">
        <v>1</v>
      </c>
      <c r="R43" t="s">
        <v>269</v>
      </c>
      <c r="T43">
        <v>1</v>
      </c>
      <c r="U43">
        <v>76.27</v>
      </c>
      <c r="V43">
        <v>90</v>
      </c>
      <c r="X43">
        <v>76.27</v>
      </c>
      <c r="Y43">
        <v>18</v>
      </c>
      <c r="Z43">
        <v>13.73</v>
      </c>
      <c r="AA43">
        <v>90</v>
      </c>
      <c r="AB43">
        <v>1</v>
      </c>
      <c r="AD43" t="s">
        <v>270</v>
      </c>
      <c r="AE43" t="s">
        <v>271</v>
      </c>
      <c r="AF43">
        <v>2</v>
      </c>
      <c r="AG43" t="s">
        <v>28</v>
      </c>
      <c r="AJ43" t="s">
        <v>349</v>
      </c>
      <c r="AP43" t="s">
        <v>27</v>
      </c>
      <c r="AR43" t="str">
        <f t="shared" si="0"/>
        <v>(01) Factura FB0100000040</v>
      </c>
    </row>
    <row r="44" spans="1:44">
      <c r="A44" t="s">
        <v>266</v>
      </c>
      <c r="B44" s="21" t="s">
        <v>362</v>
      </c>
      <c r="C44" s="8">
        <v>45908</v>
      </c>
      <c r="D44" s="22">
        <v>45932.375</v>
      </c>
      <c r="E44" t="s">
        <v>27</v>
      </c>
      <c r="G44">
        <v>6</v>
      </c>
      <c r="H44">
        <v>20609593076</v>
      </c>
      <c r="I44" t="s">
        <v>363</v>
      </c>
      <c r="J44" s="8">
        <v>45908</v>
      </c>
      <c r="P44">
        <v>1</v>
      </c>
      <c r="R44" t="s">
        <v>269</v>
      </c>
      <c r="T44">
        <v>1</v>
      </c>
      <c r="U44">
        <v>78.81</v>
      </c>
      <c r="V44">
        <v>93</v>
      </c>
      <c r="X44">
        <v>78.81</v>
      </c>
      <c r="Y44">
        <v>18.010000000000002</v>
      </c>
      <c r="Z44">
        <v>14.19</v>
      </c>
      <c r="AA44">
        <v>93</v>
      </c>
      <c r="AB44">
        <v>1</v>
      </c>
      <c r="AD44" t="s">
        <v>270</v>
      </c>
      <c r="AE44" t="s">
        <v>271</v>
      </c>
      <c r="AF44">
        <v>2</v>
      </c>
      <c r="AG44" t="s">
        <v>28</v>
      </c>
      <c r="AJ44" t="s">
        <v>349</v>
      </c>
      <c r="AP44" t="s">
        <v>27</v>
      </c>
      <c r="AR44" t="str">
        <f t="shared" si="0"/>
        <v>(01) Factura FB0100000039</v>
      </c>
    </row>
    <row r="45" spans="1:44" s="30" customFormat="1">
      <c r="A45" s="30" t="s">
        <v>266</v>
      </c>
      <c r="B45" s="31" t="s">
        <v>364</v>
      </c>
      <c r="C45" s="32">
        <v>45908</v>
      </c>
      <c r="D45" s="33">
        <v>45932.372569444444</v>
      </c>
      <c r="E45" s="30" t="s">
        <v>35</v>
      </c>
      <c r="F45" s="30" t="s">
        <v>275</v>
      </c>
      <c r="G45" s="30">
        <v>6</v>
      </c>
      <c r="H45" s="30">
        <v>20608361074</v>
      </c>
      <c r="I45" s="30" t="s">
        <v>357</v>
      </c>
      <c r="J45" s="32">
        <v>45908</v>
      </c>
      <c r="P45" s="30">
        <v>1</v>
      </c>
      <c r="R45" s="30" t="s">
        <v>348</v>
      </c>
      <c r="T45" s="30">
        <v>1</v>
      </c>
      <c r="U45" s="30">
        <v>322</v>
      </c>
      <c r="V45" s="30">
        <v>379.96</v>
      </c>
      <c r="X45" s="30">
        <v>322</v>
      </c>
      <c r="Y45" s="30">
        <v>18</v>
      </c>
      <c r="Z45" s="30">
        <v>57.96</v>
      </c>
      <c r="AA45" s="30">
        <v>379.96</v>
      </c>
      <c r="AB45" s="30">
        <v>1</v>
      </c>
      <c r="AD45" s="30" t="s">
        <v>270</v>
      </c>
      <c r="AE45" s="30" t="s">
        <v>271</v>
      </c>
      <c r="AF45" s="30">
        <v>2</v>
      </c>
      <c r="AG45" s="30" t="s">
        <v>28</v>
      </c>
      <c r="AH45" s="30">
        <v>104</v>
      </c>
      <c r="AI45" s="30" t="s">
        <v>358</v>
      </c>
      <c r="AJ45" s="30" t="s">
        <v>359</v>
      </c>
      <c r="AP45" s="30" t="s">
        <v>35</v>
      </c>
      <c r="AR45" s="30" t="str">
        <f t="shared" si="0"/>
        <v>(01) Factura FB0100000038</v>
      </c>
    </row>
    <row r="46" spans="1:44" s="30" customFormat="1">
      <c r="A46" s="30" t="s">
        <v>266</v>
      </c>
      <c r="B46" s="31" t="s">
        <v>365</v>
      </c>
      <c r="C46" s="32">
        <v>45902</v>
      </c>
      <c r="D46" s="33">
        <v>45932.64403935185</v>
      </c>
      <c r="E46" s="30" t="s">
        <v>35</v>
      </c>
      <c r="F46" s="30" t="s">
        <v>275</v>
      </c>
      <c r="G46" s="30">
        <v>6</v>
      </c>
      <c r="H46" s="30">
        <v>20608361074</v>
      </c>
      <c r="I46" s="30" t="s">
        <v>357</v>
      </c>
      <c r="J46" s="32">
        <v>45902</v>
      </c>
      <c r="P46" s="30">
        <v>1</v>
      </c>
      <c r="R46" s="30" t="s">
        <v>348</v>
      </c>
      <c r="T46" s="30">
        <v>1</v>
      </c>
      <c r="U46" s="30">
        <v>322</v>
      </c>
      <c r="V46" s="30">
        <v>379.96</v>
      </c>
      <c r="X46" s="30">
        <v>322</v>
      </c>
      <c r="Y46" s="30">
        <v>18</v>
      </c>
      <c r="Z46" s="30">
        <v>57.96</v>
      </c>
      <c r="AA46" s="30">
        <v>379.96</v>
      </c>
      <c r="AB46" s="30">
        <v>1</v>
      </c>
      <c r="AD46" s="30" t="s">
        <v>270</v>
      </c>
      <c r="AE46" s="30" t="s">
        <v>271</v>
      </c>
      <c r="AF46" s="30">
        <v>2</v>
      </c>
      <c r="AG46" s="30" t="s">
        <v>28</v>
      </c>
      <c r="AH46" s="30">
        <v>104</v>
      </c>
      <c r="AI46" s="30" t="s">
        <v>358</v>
      </c>
      <c r="AJ46" s="30" t="s">
        <v>359</v>
      </c>
      <c r="AP46" s="30" t="s">
        <v>35</v>
      </c>
      <c r="AR46" s="30" t="str">
        <f t="shared" si="0"/>
        <v>(01) Factura FB0100000036</v>
      </c>
    </row>
    <row r="47" spans="1:44">
      <c r="A47" t="s">
        <v>266</v>
      </c>
      <c r="B47" s="21" t="s">
        <v>366</v>
      </c>
      <c r="C47" s="8">
        <v>45902</v>
      </c>
      <c r="D47" s="22">
        <v>45932.639178240737</v>
      </c>
      <c r="E47" t="s">
        <v>35</v>
      </c>
      <c r="F47" t="s">
        <v>275</v>
      </c>
      <c r="G47">
        <v>6</v>
      </c>
      <c r="H47">
        <v>20608361074</v>
      </c>
      <c r="I47" t="s">
        <v>367</v>
      </c>
      <c r="J47" s="8">
        <v>45902</v>
      </c>
      <c r="P47">
        <v>1</v>
      </c>
      <c r="R47" t="s">
        <v>348</v>
      </c>
      <c r="T47">
        <v>1</v>
      </c>
      <c r="U47">
        <v>322</v>
      </c>
      <c r="V47">
        <v>379.96</v>
      </c>
      <c r="X47">
        <v>322</v>
      </c>
      <c r="Y47">
        <v>18</v>
      </c>
      <c r="Z47">
        <v>57.96</v>
      </c>
      <c r="AA47">
        <v>379.96</v>
      </c>
      <c r="AB47">
        <v>1</v>
      </c>
      <c r="AD47" t="s">
        <v>270</v>
      </c>
      <c r="AE47" t="s">
        <v>271</v>
      </c>
      <c r="AF47">
        <v>2</v>
      </c>
      <c r="AG47" t="s">
        <v>28</v>
      </c>
      <c r="AJ47" t="s">
        <v>349</v>
      </c>
      <c r="AP47" t="s">
        <v>35</v>
      </c>
      <c r="AR47" t="str">
        <f t="shared" si="0"/>
        <v>(01) Factura FB0100000035</v>
      </c>
    </row>
    <row r="48" spans="1:44">
      <c r="A48" t="s">
        <v>266</v>
      </c>
      <c r="B48" s="21" t="s">
        <v>368</v>
      </c>
      <c r="C48" s="8">
        <v>45902</v>
      </c>
      <c r="D48" s="22">
        <v>45932.540219907409</v>
      </c>
      <c r="E48" t="s">
        <v>35</v>
      </c>
      <c r="F48" t="s">
        <v>275</v>
      </c>
      <c r="G48">
        <v>6</v>
      </c>
      <c r="H48">
        <v>20608361074</v>
      </c>
      <c r="I48" t="s">
        <v>369</v>
      </c>
      <c r="J48" s="8">
        <v>45902</v>
      </c>
      <c r="P48">
        <v>1</v>
      </c>
      <c r="R48" t="s">
        <v>370</v>
      </c>
      <c r="T48">
        <v>1</v>
      </c>
      <c r="U48">
        <v>322</v>
      </c>
      <c r="V48">
        <v>379.96</v>
      </c>
      <c r="X48">
        <v>322</v>
      </c>
      <c r="Y48">
        <v>18</v>
      </c>
      <c r="Z48">
        <v>57.96</v>
      </c>
      <c r="AA48">
        <v>379.96</v>
      </c>
      <c r="AB48">
        <v>1</v>
      </c>
      <c r="AD48" t="s">
        <v>270</v>
      </c>
      <c r="AE48" t="s">
        <v>271</v>
      </c>
      <c r="AF48">
        <v>2</v>
      </c>
      <c r="AG48" t="s">
        <v>28</v>
      </c>
      <c r="AJ48" t="s">
        <v>349</v>
      </c>
      <c r="AP48" t="s">
        <v>35</v>
      </c>
      <c r="AR48" t="str">
        <f t="shared" si="0"/>
        <v>(01) Factura FB0100000033</v>
      </c>
    </row>
    <row r="49" spans="1:44">
      <c r="A49" t="s">
        <v>266</v>
      </c>
      <c r="B49" s="21" t="s">
        <v>371</v>
      </c>
      <c r="C49" s="8">
        <v>45902</v>
      </c>
      <c r="D49" s="22">
        <v>45932.534699074073</v>
      </c>
      <c r="E49" t="s">
        <v>35</v>
      </c>
      <c r="F49" t="s">
        <v>275</v>
      </c>
      <c r="G49">
        <v>6</v>
      </c>
      <c r="H49">
        <v>20608361074</v>
      </c>
      <c r="I49" t="s">
        <v>367</v>
      </c>
      <c r="J49" s="8">
        <v>45902</v>
      </c>
      <c r="P49">
        <v>1</v>
      </c>
      <c r="R49" t="s">
        <v>348</v>
      </c>
      <c r="T49">
        <v>1</v>
      </c>
      <c r="U49">
        <v>322</v>
      </c>
      <c r="V49">
        <v>379.96</v>
      </c>
      <c r="X49">
        <v>322</v>
      </c>
      <c r="Y49">
        <v>18</v>
      </c>
      <c r="Z49">
        <v>57.96</v>
      </c>
      <c r="AA49">
        <v>379.96</v>
      </c>
      <c r="AB49">
        <v>1</v>
      </c>
      <c r="AD49" t="s">
        <v>270</v>
      </c>
      <c r="AE49" t="s">
        <v>271</v>
      </c>
      <c r="AF49">
        <v>2</v>
      </c>
      <c r="AG49" t="s">
        <v>28</v>
      </c>
      <c r="AJ49" t="s">
        <v>349</v>
      </c>
      <c r="AP49" t="s">
        <v>35</v>
      </c>
      <c r="AR49" t="str">
        <f t="shared" si="0"/>
        <v>(01) Factura FB0100000032</v>
      </c>
    </row>
    <row r="50" spans="1:44">
      <c r="A50" t="s">
        <v>266</v>
      </c>
      <c r="B50" s="21" t="s">
        <v>372</v>
      </c>
      <c r="C50" s="8">
        <v>45902</v>
      </c>
      <c r="D50" s="22">
        <v>45932.50917824074</v>
      </c>
      <c r="E50" t="s">
        <v>27</v>
      </c>
      <c r="G50">
        <v>6</v>
      </c>
      <c r="H50">
        <v>20609593076</v>
      </c>
      <c r="I50" t="s">
        <v>373</v>
      </c>
      <c r="J50" s="8">
        <v>45902</v>
      </c>
      <c r="P50">
        <v>1</v>
      </c>
      <c r="R50" t="s">
        <v>269</v>
      </c>
      <c r="T50">
        <v>1</v>
      </c>
      <c r="U50">
        <v>54.15</v>
      </c>
      <c r="V50">
        <v>63.9</v>
      </c>
      <c r="X50">
        <v>54.15</v>
      </c>
      <c r="Y50">
        <v>18.010000000000002</v>
      </c>
      <c r="Z50">
        <v>9.75</v>
      </c>
      <c r="AA50">
        <v>63.9</v>
      </c>
      <c r="AB50">
        <v>1</v>
      </c>
      <c r="AD50" t="s">
        <v>270</v>
      </c>
      <c r="AE50" t="s">
        <v>271</v>
      </c>
      <c r="AF50">
        <v>2</v>
      </c>
      <c r="AG50" t="s">
        <v>28</v>
      </c>
      <c r="AJ50" t="s">
        <v>349</v>
      </c>
      <c r="AP50" t="s">
        <v>27</v>
      </c>
      <c r="AR50" t="str">
        <f t="shared" si="0"/>
        <v>(01) Factura FB0100000030</v>
      </c>
    </row>
    <row r="51" spans="1:44">
      <c r="A51" t="s">
        <v>266</v>
      </c>
      <c r="B51" s="21" t="s">
        <v>374</v>
      </c>
      <c r="C51" s="8">
        <v>45898</v>
      </c>
      <c r="D51" s="22">
        <v>45932.468587962961</v>
      </c>
      <c r="E51" t="s">
        <v>27</v>
      </c>
      <c r="G51">
        <v>6</v>
      </c>
      <c r="H51">
        <v>20609593076</v>
      </c>
      <c r="I51" t="s">
        <v>373</v>
      </c>
      <c r="J51" s="8">
        <v>45898</v>
      </c>
      <c r="P51">
        <v>1</v>
      </c>
      <c r="R51" t="s">
        <v>269</v>
      </c>
      <c r="T51">
        <v>1</v>
      </c>
      <c r="U51">
        <v>54.15</v>
      </c>
      <c r="V51">
        <v>63.9</v>
      </c>
      <c r="X51">
        <v>54.15</v>
      </c>
      <c r="Y51">
        <v>18.010000000000002</v>
      </c>
      <c r="Z51">
        <v>9.75</v>
      </c>
      <c r="AA51">
        <v>63.9</v>
      </c>
      <c r="AB51">
        <v>1</v>
      </c>
      <c r="AD51" t="s">
        <v>270</v>
      </c>
      <c r="AE51" t="s">
        <v>271</v>
      </c>
      <c r="AF51">
        <v>2</v>
      </c>
      <c r="AG51" t="s">
        <v>28</v>
      </c>
      <c r="AJ51" t="s">
        <v>349</v>
      </c>
      <c r="AP51" t="s">
        <v>27</v>
      </c>
      <c r="AR51" t="str">
        <f t="shared" si="0"/>
        <v>(01) Factura FB0100000029</v>
      </c>
    </row>
    <row r="52" spans="1:44">
      <c r="A52" t="s">
        <v>266</v>
      </c>
      <c r="B52" s="21" t="s">
        <v>375</v>
      </c>
      <c r="C52" s="8">
        <v>45896</v>
      </c>
      <c r="D52" s="22">
        <v>45932.642199074071</v>
      </c>
      <c r="E52" t="s">
        <v>27</v>
      </c>
      <c r="G52">
        <v>6</v>
      </c>
      <c r="H52">
        <v>20609593076</v>
      </c>
      <c r="I52" t="s">
        <v>376</v>
      </c>
      <c r="J52" s="8">
        <v>45896</v>
      </c>
      <c r="P52">
        <v>1</v>
      </c>
      <c r="Q52">
        <v>231</v>
      </c>
      <c r="R52" t="s">
        <v>377</v>
      </c>
      <c r="S52" t="s">
        <v>281</v>
      </c>
      <c r="T52">
        <v>1</v>
      </c>
      <c r="U52">
        <v>900</v>
      </c>
      <c r="V52">
        <v>1062</v>
      </c>
      <c r="X52">
        <v>900</v>
      </c>
      <c r="Y52">
        <v>18</v>
      </c>
      <c r="Z52">
        <v>162</v>
      </c>
      <c r="AA52">
        <v>1062</v>
      </c>
      <c r="AB52">
        <v>1</v>
      </c>
      <c r="AD52" t="s">
        <v>270</v>
      </c>
      <c r="AE52" t="s">
        <v>271</v>
      </c>
      <c r="AF52">
        <v>2</v>
      </c>
      <c r="AG52" t="s">
        <v>28</v>
      </c>
      <c r="AJ52" t="s">
        <v>349</v>
      </c>
      <c r="AP52" t="s">
        <v>27</v>
      </c>
      <c r="AR52" t="str">
        <f t="shared" si="0"/>
        <v>(01) Factura FB0100000028</v>
      </c>
    </row>
    <row r="53" spans="1:44">
      <c r="A53" t="s">
        <v>266</v>
      </c>
      <c r="B53" s="21" t="s">
        <v>378</v>
      </c>
      <c r="C53" s="8">
        <v>45896</v>
      </c>
      <c r="D53" s="22">
        <v>45932.633935185186</v>
      </c>
      <c r="E53" t="s">
        <v>27</v>
      </c>
      <c r="G53">
        <v>6</v>
      </c>
      <c r="H53">
        <v>20609593076</v>
      </c>
      <c r="I53" t="s">
        <v>379</v>
      </c>
      <c r="J53" s="8">
        <v>45896</v>
      </c>
      <c r="P53">
        <v>1</v>
      </c>
      <c r="R53" t="s">
        <v>269</v>
      </c>
      <c r="T53">
        <v>1</v>
      </c>
      <c r="U53">
        <v>53.9</v>
      </c>
      <c r="V53">
        <v>63.6</v>
      </c>
      <c r="X53">
        <v>53.9</v>
      </c>
      <c r="Y53">
        <v>18</v>
      </c>
      <c r="Z53">
        <v>9.6999999999999993</v>
      </c>
      <c r="AA53">
        <v>63.6</v>
      </c>
      <c r="AB53">
        <v>1</v>
      </c>
      <c r="AD53" t="s">
        <v>270</v>
      </c>
      <c r="AE53" t="s">
        <v>271</v>
      </c>
      <c r="AF53">
        <v>2</v>
      </c>
      <c r="AG53" t="s">
        <v>28</v>
      </c>
      <c r="AJ53" t="s">
        <v>349</v>
      </c>
      <c r="AP53" t="s">
        <v>27</v>
      </c>
      <c r="AR53" t="str">
        <f t="shared" si="0"/>
        <v>(01) Factura FB0100000027</v>
      </c>
    </row>
    <row r="54" spans="1:44">
      <c r="A54" t="s">
        <v>266</v>
      </c>
      <c r="B54" s="21" t="s">
        <v>380</v>
      </c>
      <c r="C54" s="8">
        <v>45896</v>
      </c>
      <c r="D54" s="22">
        <v>45932.631388888891</v>
      </c>
      <c r="E54" t="s">
        <v>27</v>
      </c>
      <c r="G54">
        <v>6</v>
      </c>
      <c r="H54">
        <v>20609593076</v>
      </c>
      <c r="I54" t="s">
        <v>381</v>
      </c>
      <c r="J54" s="8">
        <v>45896</v>
      </c>
      <c r="P54">
        <v>1</v>
      </c>
      <c r="R54" t="s">
        <v>269</v>
      </c>
      <c r="T54">
        <v>1</v>
      </c>
      <c r="U54">
        <v>53.81</v>
      </c>
      <c r="V54">
        <v>63.5</v>
      </c>
      <c r="X54">
        <v>53.81</v>
      </c>
      <c r="Y54">
        <v>18.010000000000002</v>
      </c>
      <c r="Z54">
        <v>9.69</v>
      </c>
      <c r="AA54">
        <v>63.5</v>
      </c>
      <c r="AB54">
        <v>1</v>
      </c>
      <c r="AD54" t="s">
        <v>270</v>
      </c>
      <c r="AE54" t="s">
        <v>271</v>
      </c>
      <c r="AF54">
        <v>2</v>
      </c>
      <c r="AG54" t="s">
        <v>28</v>
      </c>
      <c r="AJ54" t="s">
        <v>349</v>
      </c>
      <c r="AP54" t="s">
        <v>27</v>
      </c>
      <c r="AR54" t="str">
        <f t="shared" si="0"/>
        <v>(01) Factura FB0100000026</v>
      </c>
    </row>
    <row r="55" spans="1:44">
      <c r="A55" t="s">
        <v>266</v>
      </c>
      <c r="B55" s="21" t="s">
        <v>382</v>
      </c>
      <c r="C55" s="8">
        <v>45896</v>
      </c>
      <c r="D55" s="22">
        <v>45932.618043981478</v>
      </c>
      <c r="E55" t="s">
        <v>27</v>
      </c>
      <c r="G55">
        <v>6</v>
      </c>
      <c r="H55">
        <v>20609593076</v>
      </c>
      <c r="I55" t="s">
        <v>383</v>
      </c>
      <c r="J55" s="8">
        <v>45896</v>
      </c>
      <c r="P55">
        <v>1</v>
      </c>
      <c r="R55" t="s">
        <v>313</v>
      </c>
      <c r="T55">
        <v>1</v>
      </c>
      <c r="U55">
        <v>1016.95</v>
      </c>
      <c r="V55">
        <v>1200</v>
      </c>
      <c r="X55">
        <v>1016.95</v>
      </c>
      <c r="Y55">
        <v>18</v>
      </c>
      <c r="Z55">
        <v>183.05</v>
      </c>
      <c r="AA55">
        <v>1200</v>
      </c>
      <c r="AB55">
        <v>1</v>
      </c>
      <c r="AD55" t="s">
        <v>270</v>
      </c>
      <c r="AE55" t="s">
        <v>271</v>
      </c>
      <c r="AF55">
        <v>2</v>
      </c>
      <c r="AG55" t="s">
        <v>28</v>
      </c>
      <c r="AJ55" t="s">
        <v>349</v>
      </c>
      <c r="AP55" t="s">
        <v>27</v>
      </c>
      <c r="AR55" t="str">
        <f t="shared" si="0"/>
        <v>(01) Factura FB0100000025</v>
      </c>
    </row>
    <row r="56" spans="1:44">
      <c r="A56" t="s">
        <v>266</v>
      </c>
      <c r="B56" s="21" t="s">
        <v>384</v>
      </c>
      <c r="C56" s="8">
        <v>45896</v>
      </c>
      <c r="D56" s="22">
        <v>45932.609953703701</v>
      </c>
      <c r="E56" t="s">
        <v>27</v>
      </c>
      <c r="G56">
        <v>6</v>
      </c>
      <c r="H56">
        <v>20609593076</v>
      </c>
      <c r="I56" t="s">
        <v>383</v>
      </c>
      <c r="J56" s="8">
        <v>45896</v>
      </c>
      <c r="P56">
        <v>1</v>
      </c>
      <c r="R56" t="s">
        <v>313</v>
      </c>
      <c r="T56">
        <v>1</v>
      </c>
      <c r="U56">
        <v>1016.95</v>
      </c>
      <c r="V56">
        <v>1200</v>
      </c>
      <c r="X56">
        <v>1016.95</v>
      </c>
      <c r="Y56">
        <v>18</v>
      </c>
      <c r="Z56">
        <v>183.05</v>
      </c>
      <c r="AA56">
        <v>1200</v>
      </c>
      <c r="AB56">
        <v>1</v>
      </c>
      <c r="AD56" t="s">
        <v>270</v>
      </c>
      <c r="AE56" t="s">
        <v>271</v>
      </c>
      <c r="AF56">
        <v>2</v>
      </c>
      <c r="AG56" t="s">
        <v>28</v>
      </c>
      <c r="AJ56" t="s">
        <v>349</v>
      </c>
      <c r="AP56" t="s">
        <v>27</v>
      </c>
      <c r="AR56" t="str">
        <f t="shared" si="0"/>
        <v>(01) Factura FB0100000024</v>
      </c>
    </row>
    <row r="57" spans="1:44">
      <c r="A57" t="s">
        <v>266</v>
      </c>
      <c r="B57" s="21" t="s">
        <v>385</v>
      </c>
      <c r="C57" s="8">
        <v>45896</v>
      </c>
      <c r="D57" s="22">
        <v>45932.607268518521</v>
      </c>
      <c r="E57" t="s">
        <v>27</v>
      </c>
      <c r="G57">
        <v>6</v>
      </c>
      <c r="H57">
        <v>20609593076</v>
      </c>
      <c r="I57" t="s">
        <v>386</v>
      </c>
      <c r="J57" s="8">
        <v>45896</v>
      </c>
      <c r="P57">
        <v>1</v>
      </c>
      <c r="R57" t="s">
        <v>313</v>
      </c>
      <c r="T57">
        <v>1</v>
      </c>
      <c r="U57">
        <v>805.08</v>
      </c>
      <c r="V57">
        <v>949.99</v>
      </c>
      <c r="X57">
        <v>805.08</v>
      </c>
      <c r="Y57">
        <v>18</v>
      </c>
      <c r="Z57">
        <v>144.91</v>
      </c>
      <c r="AA57">
        <v>949.99</v>
      </c>
      <c r="AB57">
        <v>1</v>
      </c>
      <c r="AD57" t="s">
        <v>270</v>
      </c>
      <c r="AE57" t="s">
        <v>271</v>
      </c>
      <c r="AF57">
        <v>2</v>
      </c>
      <c r="AG57" t="s">
        <v>28</v>
      </c>
      <c r="AJ57" t="s">
        <v>349</v>
      </c>
      <c r="AP57" t="s">
        <v>27</v>
      </c>
      <c r="AR57" t="str">
        <f t="shared" si="0"/>
        <v>(01) Factura FB0100000023</v>
      </c>
    </row>
    <row r="58" spans="1:44">
      <c r="A58" t="s">
        <v>266</v>
      </c>
      <c r="B58" s="21" t="s">
        <v>387</v>
      </c>
      <c r="C58" s="8">
        <v>45896</v>
      </c>
      <c r="D58" s="22">
        <v>45932.517858796295</v>
      </c>
      <c r="E58" t="s">
        <v>27</v>
      </c>
      <c r="G58">
        <v>6</v>
      </c>
      <c r="H58">
        <v>20609593076</v>
      </c>
      <c r="I58" t="s">
        <v>388</v>
      </c>
      <c r="J58" s="8">
        <v>45896</v>
      </c>
      <c r="P58">
        <v>1</v>
      </c>
      <c r="R58" t="s">
        <v>313</v>
      </c>
      <c r="T58">
        <v>1</v>
      </c>
      <c r="U58">
        <v>677.97</v>
      </c>
      <c r="V58">
        <v>800</v>
      </c>
      <c r="X58">
        <v>677.97</v>
      </c>
      <c r="Y58">
        <v>18</v>
      </c>
      <c r="Z58">
        <v>122.03</v>
      </c>
      <c r="AA58">
        <v>800</v>
      </c>
      <c r="AB58">
        <v>1</v>
      </c>
      <c r="AD58" t="s">
        <v>270</v>
      </c>
      <c r="AE58" t="s">
        <v>271</v>
      </c>
      <c r="AF58">
        <v>2</v>
      </c>
      <c r="AG58" t="s">
        <v>28</v>
      </c>
      <c r="AJ58" t="s">
        <v>349</v>
      </c>
      <c r="AP58" t="s">
        <v>27</v>
      </c>
      <c r="AR58" t="str">
        <f t="shared" si="0"/>
        <v>(01) Factura FB0100000022</v>
      </c>
    </row>
    <row r="59" spans="1:44">
      <c r="A59" t="s">
        <v>266</v>
      </c>
      <c r="B59" s="21" t="s">
        <v>389</v>
      </c>
      <c r="C59" s="8">
        <v>45896</v>
      </c>
      <c r="D59" s="22">
        <v>45932.505069444444</v>
      </c>
      <c r="E59" t="s">
        <v>27</v>
      </c>
      <c r="G59">
        <v>6</v>
      </c>
      <c r="H59">
        <v>20609593076</v>
      </c>
      <c r="I59" t="s">
        <v>390</v>
      </c>
      <c r="J59" s="8">
        <v>45896</v>
      </c>
      <c r="P59">
        <v>1</v>
      </c>
      <c r="R59" t="s">
        <v>269</v>
      </c>
      <c r="T59">
        <v>1</v>
      </c>
      <c r="U59">
        <v>51.99</v>
      </c>
      <c r="V59">
        <v>61.35</v>
      </c>
      <c r="X59">
        <v>51.99</v>
      </c>
      <c r="Y59">
        <v>18</v>
      </c>
      <c r="Z59">
        <v>9.36</v>
      </c>
      <c r="AA59">
        <v>61.35</v>
      </c>
      <c r="AB59">
        <v>1</v>
      </c>
      <c r="AD59" t="s">
        <v>270</v>
      </c>
      <c r="AE59" t="s">
        <v>271</v>
      </c>
      <c r="AF59">
        <v>2</v>
      </c>
      <c r="AG59" t="s">
        <v>28</v>
      </c>
      <c r="AJ59" t="s">
        <v>349</v>
      </c>
      <c r="AP59" t="s">
        <v>27</v>
      </c>
      <c r="AR59" t="str">
        <f t="shared" si="0"/>
        <v>(01) Factura FB0100000021</v>
      </c>
    </row>
    <row r="60" spans="1:44">
      <c r="A60" t="s">
        <v>277</v>
      </c>
      <c r="B60" s="21" t="s">
        <v>391</v>
      </c>
      <c r="C60" s="8">
        <v>45894</v>
      </c>
      <c r="D60" s="22">
        <v>45932.443344907406</v>
      </c>
      <c r="E60" t="s">
        <v>27</v>
      </c>
      <c r="G60">
        <v>6</v>
      </c>
      <c r="H60">
        <v>20609593076</v>
      </c>
      <c r="I60" t="s">
        <v>392</v>
      </c>
      <c r="J60" s="8">
        <v>45894</v>
      </c>
      <c r="P60">
        <v>1</v>
      </c>
      <c r="R60" t="s">
        <v>269</v>
      </c>
      <c r="T60">
        <v>1</v>
      </c>
      <c r="U60">
        <v>55.34</v>
      </c>
      <c r="V60">
        <v>65.3</v>
      </c>
      <c r="X60">
        <v>55.34</v>
      </c>
      <c r="Y60">
        <v>18</v>
      </c>
      <c r="Z60">
        <v>9.9600000000000009</v>
      </c>
      <c r="AA60">
        <v>65.3</v>
      </c>
      <c r="AB60">
        <v>1</v>
      </c>
      <c r="AD60" t="s">
        <v>270</v>
      </c>
      <c r="AE60" t="s">
        <v>271</v>
      </c>
      <c r="AF60">
        <v>2</v>
      </c>
      <c r="AG60" t="s">
        <v>28</v>
      </c>
      <c r="AJ60" t="s">
        <v>349</v>
      </c>
      <c r="AP60" t="s">
        <v>27</v>
      </c>
      <c r="AR60" t="str">
        <f t="shared" si="0"/>
        <v>(01) Factura F00100000014</v>
      </c>
    </row>
    <row r="61" spans="1:44">
      <c r="A61" t="s">
        <v>277</v>
      </c>
      <c r="B61" s="21" t="s">
        <v>393</v>
      </c>
      <c r="C61" s="8">
        <v>45894</v>
      </c>
      <c r="D61" s="22">
        <v>45932.378101851849</v>
      </c>
      <c r="E61" t="s">
        <v>27</v>
      </c>
      <c r="G61">
        <v>6</v>
      </c>
      <c r="H61">
        <v>20609593076</v>
      </c>
      <c r="I61" t="s">
        <v>394</v>
      </c>
      <c r="J61" s="8">
        <v>45894</v>
      </c>
      <c r="P61">
        <v>1</v>
      </c>
      <c r="R61" t="s">
        <v>269</v>
      </c>
      <c r="T61">
        <v>1</v>
      </c>
      <c r="U61">
        <v>51.86</v>
      </c>
      <c r="V61">
        <v>61.19</v>
      </c>
      <c r="X61">
        <v>51.86</v>
      </c>
      <c r="Y61">
        <v>17.989999999999998</v>
      </c>
      <c r="Z61">
        <v>9.33</v>
      </c>
      <c r="AA61">
        <v>61.19</v>
      </c>
      <c r="AB61">
        <v>1</v>
      </c>
      <c r="AD61" t="s">
        <v>270</v>
      </c>
      <c r="AE61" t="s">
        <v>271</v>
      </c>
      <c r="AF61">
        <v>2</v>
      </c>
      <c r="AG61" t="s">
        <v>28</v>
      </c>
      <c r="AJ61" t="s">
        <v>349</v>
      </c>
      <c r="AP61" t="s">
        <v>27</v>
      </c>
      <c r="AR61" t="str">
        <f t="shared" si="0"/>
        <v>(01) Factura F00100000013</v>
      </c>
    </row>
    <row r="62" spans="1:44">
      <c r="A62" t="s">
        <v>277</v>
      </c>
      <c r="B62" s="21" t="s">
        <v>395</v>
      </c>
      <c r="C62" s="8">
        <v>45894</v>
      </c>
      <c r="D62" s="22">
        <v>45932.371053240742</v>
      </c>
      <c r="E62" t="s">
        <v>27</v>
      </c>
      <c r="G62">
        <v>6</v>
      </c>
      <c r="H62">
        <v>20609593076</v>
      </c>
      <c r="I62" t="s">
        <v>396</v>
      </c>
      <c r="J62" s="8">
        <v>45894</v>
      </c>
      <c r="P62">
        <v>1</v>
      </c>
      <c r="R62" t="s">
        <v>397</v>
      </c>
      <c r="T62">
        <v>1</v>
      </c>
      <c r="U62">
        <v>51.86</v>
      </c>
      <c r="V62">
        <v>61.19</v>
      </c>
      <c r="X62">
        <v>51.86</v>
      </c>
      <c r="Y62">
        <v>17.989999999999998</v>
      </c>
      <c r="Z62">
        <v>9.33</v>
      </c>
      <c r="AA62">
        <v>61.19</v>
      </c>
      <c r="AB62">
        <v>1</v>
      </c>
      <c r="AD62" t="s">
        <v>270</v>
      </c>
      <c r="AE62" t="s">
        <v>271</v>
      </c>
      <c r="AF62">
        <v>2</v>
      </c>
      <c r="AG62" t="s">
        <v>28</v>
      </c>
      <c r="AJ62" t="s">
        <v>349</v>
      </c>
      <c r="AP62" t="s">
        <v>27</v>
      </c>
      <c r="AR62" t="str">
        <f t="shared" si="0"/>
        <v>(01) Factura F00100000011</v>
      </c>
    </row>
    <row r="63" spans="1:44">
      <c r="A63" t="s">
        <v>277</v>
      </c>
      <c r="B63" s="21" t="s">
        <v>398</v>
      </c>
      <c r="C63" s="8">
        <v>45894</v>
      </c>
      <c r="D63" s="22">
        <v>45932.536145833335</v>
      </c>
      <c r="E63" t="s">
        <v>35</v>
      </c>
      <c r="F63" t="s">
        <v>275</v>
      </c>
      <c r="G63">
        <v>6</v>
      </c>
      <c r="H63">
        <v>20608361074</v>
      </c>
      <c r="I63" t="s">
        <v>367</v>
      </c>
      <c r="J63" s="8">
        <v>45894</v>
      </c>
      <c r="P63">
        <v>1</v>
      </c>
      <c r="R63" t="s">
        <v>348</v>
      </c>
      <c r="T63">
        <v>1</v>
      </c>
      <c r="U63">
        <v>322</v>
      </c>
      <c r="V63">
        <v>379.96</v>
      </c>
      <c r="X63">
        <v>322</v>
      </c>
      <c r="Y63">
        <v>18</v>
      </c>
      <c r="Z63">
        <v>57.96</v>
      </c>
      <c r="AA63">
        <v>379.96</v>
      </c>
      <c r="AB63">
        <v>1</v>
      </c>
      <c r="AD63" t="s">
        <v>270</v>
      </c>
      <c r="AE63" t="s">
        <v>271</v>
      </c>
      <c r="AF63">
        <v>2</v>
      </c>
      <c r="AG63" t="s">
        <v>28</v>
      </c>
      <c r="AJ63" t="s">
        <v>349</v>
      </c>
      <c r="AP63" t="s">
        <v>35</v>
      </c>
      <c r="AR63" t="str">
        <f t="shared" si="0"/>
        <v>(01) Factura F00100000015</v>
      </c>
    </row>
    <row r="64" spans="1:44">
      <c r="A64" t="s">
        <v>277</v>
      </c>
      <c r="B64" s="21" t="s">
        <v>399</v>
      </c>
      <c r="C64" s="8">
        <v>45894</v>
      </c>
      <c r="D64" s="22">
        <v>45932.376006944447</v>
      </c>
      <c r="E64" t="s">
        <v>35</v>
      </c>
      <c r="F64" t="s">
        <v>275</v>
      </c>
      <c r="G64">
        <v>6</v>
      </c>
      <c r="H64">
        <v>20608361074</v>
      </c>
      <c r="I64" t="s">
        <v>367</v>
      </c>
      <c r="J64" s="8">
        <v>45894</v>
      </c>
      <c r="P64">
        <v>1</v>
      </c>
      <c r="R64" t="s">
        <v>348</v>
      </c>
      <c r="T64">
        <v>1</v>
      </c>
      <c r="U64">
        <v>322</v>
      </c>
      <c r="V64">
        <v>379.96</v>
      </c>
      <c r="X64">
        <v>322</v>
      </c>
      <c r="Y64">
        <v>18</v>
      </c>
      <c r="Z64">
        <v>57.96</v>
      </c>
      <c r="AA64">
        <v>379.96</v>
      </c>
      <c r="AB64">
        <v>1</v>
      </c>
      <c r="AD64" t="s">
        <v>270</v>
      </c>
      <c r="AE64" t="s">
        <v>271</v>
      </c>
      <c r="AF64">
        <v>2</v>
      </c>
      <c r="AG64" t="s">
        <v>28</v>
      </c>
      <c r="AJ64" t="s">
        <v>349</v>
      </c>
      <c r="AP64" t="s">
        <v>35</v>
      </c>
      <c r="AR64" t="str">
        <f t="shared" si="0"/>
        <v>(01) Factura F00100000012</v>
      </c>
    </row>
    <row r="65" spans="1:44">
      <c r="A65" t="s">
        <v>277</v>
      </c>
      <c r="B65" s="21" t="s">
        <v>400</v>
      </c>
      <c r="C65" s="8">
        <v>45891</v>
      </c>
      <c r="D65" s="22">
        <v>45932.725358796299</v>
      </c>
      <c r="E65" t="s">
        <v>35</v>
      </c>
      <c r="F65" t="s">
        <v>275</v>
      </c>
      <c r="G65">
        <v>6</v>
      </c>
      <c r="H65">
        <v>20608361074</v>
      </c>
      <c r="I65" t="s">
        <v>367</v>
      </c>
      <c r="J65" s="8">
        <v>45891</v>
      </c>
      <c r="P65">
        <v>1</v>
      </c>
      <c r="R65" t="s">
        <v>348</v>
      </c>
      <c r="T65">
        <v>1</v>
      </c>
      <c r="U65">
        <v>322</v>
      </c>
      <c r="V65">
        <v>379.96</v>
      </c>
      <c r="X65">
        <v>322</v>
      </c>
      <c r="Y65">
        <v>18</v>
      </c>
      <c r="Z65">
        <v>57.96</v>
      </c>
      <c r="AA65">
        <v>379.96</v>
      </c>
      <c r="AB65">
        <v>1</v>
      </c>
      <c r="AD65" t="s">
        <v>270</v>
      </c>
      <c r="AE65" t="s">
        <v>271</v>
      </c>
      <c r="AF65">
        <v>2</v>
      </c>
      <c r="AG65" t="s">
        <v>28</v>
      </c>
      <c r="AJ65" t="s">
        <v>349</v>
      </c>
      <c r="AP65" t="s">
        <v>35</v>
      </c>
      <c r="AR65" t="str">
        <f t="shared" si="0"/>
        <v>(01) Factura F00100000010</v>
      </c>
    </row>
    <row r="66" spans="1:44">
      <c r="A66" t="s">
        <v>277</v>
      </c>
      <c r="B66" s="21" t="s">
        <v>401</v>
      </c>
      <c r="C66" s="8">
        <v>45891</v>
      </c>
      <c r="D66" s="22">
        <v>45932.717777777776</v>
      </c>
      <c r="E66" t="s">
        <v>35</v>
      </c>
      <c r="F66" t="s">
        <v>275</v>
      </c>
      <c r="G66">
        <v>6</v>
      </c>
      <c r="H66">
        <v>20608361074</v>
      </c>
      <c r="I66" t="s">
        <v>367</v>
      </c>
      <c r="J66" s="8">
        <v>45891</v>
      </c>
      <c r="P66">
        <v>1</v>
      </c>
      <c r="R66" t="s">
        <v>348</v>
      </c>
      <c r="T66">
        <v>1</v>
      </c>
      <c r="U66">
        <v>322</v>
      </c>
      <c r="V66">
        <v>379.96</v>
      </c>
      <c r="X66">
        <v>322</v>
      </c>
      <c r="Y66">
        <v>18</v>
      </c>
      <c r="Z66">
        <v>57.96</v>
      </c>
      <c r="AA66">
        <v>379.96</v>
      </c>
      <c r="AB66">
        <v>1</v>
      </c>
      <c r="AD66" t="s">
        <v>270</v>
      </c>
      <c r="AE66" t="s">
        <v>271</v>
      </c>
      <c r="AF66">
        <v>2</v>
      </c>
      <c r="AG66" t="s">
        <v>28</v>
      </c>
      <c r="AJ66" t="s">
        <v>349</v>
      </c>
      <c r="AP66" t="s">
        <v>35</v>
      </c>
      <c r="AR66" t="str">
        <f t="shared" si="0"/>
        <v>(01) Factura F00100000009</v>
      </c>
    </row>
    <row r="67" spans="1:44">
      <c r="A67" t="s">
        <v>277</v>
      </c>
      <c r="B67" s="21" t="s">
        <v>402</v>
      </c>
      <c r="C67" s="8">
        <v>45891</v>
      </c>
      <c r="D67" s="22">
        <v>45932.715486111112</v>
      </c>
      <c r="E67" t="s">
        <v>35</v>
      </c>
      <c r="F67" t="s">
        <v>275</v>
      </c>
      <c r="G67">
        <v>6</v>
      </c>
      <c r="H67">
        <v>20608361074</v>
      </c>
      <c r="I67" t="s">
        <v>403</v>
      </c>
      <c r="J67" s="8">
        <v>45891</v>
      </c>
      <c r="P67">
        <v>1</v>
      </c>
      <c r="R67" t="s">
        <v>348</v>
      </c>
      <c r="T67">
        <v>1</v>
      </c>
      <c r="U67">
        <v>0</v>
      </c>
      <c r="V67">
        <v>0</v>
      </c>
      <c r="X67">
        <v>0</v>
      </c>
      <c r="Y67">
        <v>0</v>
      </c>
      <c r="Z67">
        <v>0</v>
      </c>
      <c r="AA67">
        <v>0</v>
      </c>
      <c r="AB67">
        <v>1</v>
      </c>
      <c r="AD67" t="s">
        <v>270</v>
      </c>
      <c r="AE67" t="s">
        <v>271</v>
      </c>
      <c r="AF67">
        <v>2</v>
      </c>
      <c r="AG67" t="s">
        <v>28</v>
      </c>
      <c r="AJ67" t="s">
        <v>349</v>
      </c>
      <c r="AP67" t="s">
        <v>35</v>
      </c>
      <c r="AR67" t="str">
        <f t="shared" ref="AR67:AR85" si="1">+CONCATENATE(A67,B67)</f>
        <v>(01) Factura F00100000008</v>
      </c>
    </row>
    <row r="68" spans="1:44">
      <c r="A68" t="s">
        <v>277</v>
      </c>
      <c r="B68" s="21" t="s">
        <v>404</v>
      </c>
      <c r="C68" s="8">
        <v>45891</v>
      </c>
      <c r="D68" s="22">
        <v>45932.678124999999</v>
      </c>
      <c r="E68" t="s">
        <v>35</v>
      </c>
      <c r="F68" t="s">
        <v>275</v>
      </c>
      <c r="G68">
        <v>6</v>
      </c>
      <c r="H68">
        <v>20608361074</v>
      </c>
      <c r="I68" t="s">
        <v>403</v>
      </c>
      <c r="J68" s="8">
        <v>45891</v>
      </c>
      <c r="P68">
        <v>1</v>
      </c>
      <c r="R68" t="s">
        <v>348</v>
      </c>
      <c r="T68">
        <v>1</v>
      </c>
      <c r="U68">
        <v>0</v>
      </c>
      <c r="V68">
        <v>0</v>
      </c>
      <c r="X68">
        <v>0</v>
      </c>
      <c r="Y68">
        <v>0</v>
      </c>
      <c r="Z68">
        <v>0</v>
      </c>
      <c r="AA68">
        <v>0</v>
      </c>
      <c r="AB68">
        <v>1</v>
      </c>
      <c r="AD68" t="s">
        <v>270</v>
      </c>
      <c r="AE68" t="s">
        <v>271</v>
      </c>
      <c r="AF68">
        <v>2</v>
      </c>
      <c r="AG68" t="s">
        <v>28</v>
      </c>
      <c r="AJ68" t="s">
        <v>349</v>
      </c>
      <c r="AP68" t="s">
        <v>35</v>
      </c>
      <c r="AR68" t="str">
        <f t="shared" si="1"/>
        <v>(01) Factura F00100000007</v>
      </c>
    </row>
    <row r="69" spans="1:44">
      <c r="A69" t="s">
        <v>277</v>
      </c>
      <c r="B69" s="21" t="s">
        <v>405</v>
      </c>
      <c r="C69" s="8">
        <v>45891</v>
      </c>
      <c r="D69" s="22">
        <v>45932.677210648151</v>
      </c>
      <c r="E69" t="s">
        <v>35</v>
      </c>
      <c r="F69" t="s">
        <v>275</v>
      </c>
      <c r="G69">
        <v>6</v>
      </c>
      <c r="H69">
        <v>20608361074</v>
      </c>
      <c r="I69" t="s">
        <v>403</v>
      </c>
      <c r="J69" s="8">
        <v>45891</v>
      </c>
      <c r="P69">
        <v>1</v>
      </c>
      <c r="R69" t="s">
        <v>348</v>
      </c>
      <c r="T69">
        <v>1</v>
      </c>
      <c r="U69">
        <v>0</v>
      </c>
      <c r="V69">
        <v>0</v>
      </c>
      <c r="X69">
        <v>0</v>
      </c>
      <c r="Y69">
        <v>0</v>
      </c>
      <c r="Z69">
        <v>0</v>
      </c>
      <c r="AA69">
        <v>0</v>
      </c>
      <c r="AB69">
        <v>1</v>
      </c>
      <c r="AD69" t="s">
        <v>270</v>
      </c>
      <c r="AE69" t="s">
        <v>271</v>
      </c>
      <c r="AF69">
        <v>2</v>
      </c>
      <c r="AG69" t="s">
        <v>28</v>
      </c>
      <c r="AJ69" t="s">
        <v>349</v>
      </c>
      <c r="AP69" t="s">
        <v>35</v>
      </c>
      <c r="AR69" t="str">
        <f t="shared" si="1"/>
        <v>(01) Factura F00100000006</v>
      </c>
    </row>
    <row r="70" spans="1:44">
      <c r="A70" t="s">
        <v>277</v>
      </c>
      <c r="B70" s="21" t="s">
        <v>406</v>
      </c>
      <c r="C70" s="8">
        <v>45891</v>
      </c>
      <c r="D70" s="22">
        <v>45932.672731481478</v>
      </c>
      <c r="E70" t="s">
        <v>36</v>
      </c>
      <c r="G70">
        <v>6</v>
      </c>
      <c r="H70">
        <v>20612433489</v>
      </c>
      <c r="I70" t="s">
        <v>407</v>
      </c>
      <c r="J70" s="8">
        <v>45891</v>
      </c>
      <c r="P70">
        <v>1</v>
      </c>
      <c r="R70" t="s">
        <v>408</v>
      </c>
      <c r="T70">
        <v>1</v>
      </c>
      <c r="U70">
        <v>0</v>
      </c>
      <c r="V70">
        <v>0</v>
      </c>
      <c r="X70">
        <v>0</v>
      </c>
      <c r="Y70">
        <v>0</v>
      </c>
      <c r="Z70">
        <v>0</v>
      </c>
      <c r="AA70">
        <v>0</v>
      </c>
      <c r="AB70">
        <v>1</v>
      </c>
      <c r="AD70" t="s">
        <v>270</v>
      </c>
      <c r="AE70" t="s">
        <v>271</v>
      </c>
      <c r="AF70">
        <v>2</v>
      </c>
      <c r="AG70" t="s">
        <v>28</v>
      </c>
      <c r="AJ70" t="s">
        <v>349</v>
      </c>
      <c r="AP70" t="s">
        <v>36</v>
      </c>
      <c r="AR70" t="str">
        <f t="shared" si="1"/>
        <v>(01) Factura F00100000004</v>
      </c>
    </row>
    <row r="71" spans="1:44">
      <c r="A71" t="s">
        <v>277</v>
      </c>
      <c r="B71" s="21" t="s">
        <v>409</v>
      </c>
      <c r="C71" s="8">
        <v>45891</v>
      </c>
      <c r="D71" s="22">
        <v>45932.660057870373</v>
      </c>
      <c r="E71" t="s">
        <v>36</v>
      </c>
      <c r="G71">
        <v>6</v>
      </c>
      <c r="H71">
        <v>20612433489</v>
      </c>
      <c r="I71" t="s">
        <v>410</v>
      </c>
      <c r="J71" s="8">
        <v>45891</v>
      </c>
      <c r="P71">
        <v>1</v>
      </c>
      <c r="R71" t="s">
        <v>411</v>
      </c>
      <c r="T71">
        <v>1</v>
      </c>
      <c r="U71">
        <v>0</v>
      </c>
      <c r="V71">
        <v>0</v>
      </c>
      <c r="X71">
        <v>0</v>
      </c>
      <c r="Y71">
        <v>0</v>
      </c>
      <c r="Z71">
        <v>0</v>
      </c>
      <c r="AA71">
        <v>0</v>
      </c>
      <c r="AB71">
        <v>1</v>
      </c>
      <c r="AD71" t="s">
        <v>270</v>
      </c>
      <c r="AE71" t="s">
        <v>271</v>
      </c>
      <c r="AF71">
        <v>2</v>
      </c>
      <c r="AG71" t="s">
        <v>28</v>
      </c>
      <c r="AJ71" t="s">
        <v>349</v>
      </c>
      <c r="AP71" t="s">
        <v>36</v>
      </c>
      <c r="AR71" t="str">
        <f t="shared" si="1"/>
        <v>(01) Factura F00100000003</v>
      </c>
    </row>
    <row r="72" spans="1:44">
      <c r="A72" t="s">
        <v>277</v>
      </c>
      <c r="B72" s="21" t="s">
        <v>412</v>
      </c>
      <c r="C72" s="8">
        <v>45891</v>
      </c>
      <c r="D72" s="22">
        <v>45932.64135416667</v>
      </c>
      <c r="E72" t="s">
        <v>36</v>
      </c>
      <c r="G72">
        <v>6</v>
      </c>
      <c r="H72">
        <v>20612433489</v>
      </c>
      <c r="I72" t="s">
        <v>407</v>
      </c>
      <c r="J72" s="8">
        <v>45891</v>
      </c>
      <c r="P72">
        <v>1</v>
      </c>
      <c r="R72" t="s">
        <v>408</v>
      </c>
      <c r="T72">
        <v>1</v>
      </c>
      <c r="U72">
        <v>0</v>
      </c>
      <c r="V72">
        <v>0</v>
      </c>
      <c r="X72">
        <v>0</v>
      </c>
      <c r="Y72">
        <v>0</v>
      </c>
      <c r="Z72">
        <v>0</v>
      </c>
      <c r="AA72">
        <v>0</v>
      </c>
      <c r="AB72">
        <v>1</v>
      </c>
      <c r="AD72" t="s">
        <v>270</v>
      </c>
      <c r="AE72" t="s">
        <v>271</v>
      </c>
      <c r="AF72">
        <v>2</v>
      </c>
      <c r="AG72" t="s">
        <v>28</v>
      </c>
      <c r="AJ72" t="s">
        <v>349</v>
      </c>
      <c r="AP72" t="s">
        <v>36</v>
      </c>
      <c r="AR72" t="str">
        <f t="shared" si="1"/>
        <v>(01) Factura F00100000002</v>
      </c>
    </row>
    <row r="73" spans="1:44">
      <c r="A73" t="s">
        <v>266</v>
      </c>
      <c r="B73" s="21" t="s">
        <v>413</v>
      </c>
      <c r="C73" s="8">
        <v>45902</v>
      </c>
      <c r="D73" s="22">
        <v>45932.638043981482</v>
      </c>
      <c r="E73" t="s">
        <v>35</v>
      </c>
      <c r="F73" t="s">
        <v>275</v>
      </c>
      <c r="G73">
        <v>6</v>
      </c>
      <c r="H73">
        <v>20608361074</v>
      </c>
      <c r="I73" t="s">
        <v>367</v>
      </c>
      <c r="J73" s="8">
        <v>45902</v>
      </c>
      <c r="P73">
        <v>1</v>
      </c>
      <c r="R73" t="s">
        <v>348</v>
      </c>
      <c r="T73">
        <v>1</v>
      </c>
      <c r="U73">
        <v>322</v>
      </c>
      <c r="V73">
        <v>379.96</v>
      </c>
      <c r="X73">
        <v>322</v>
      </c>
      <c r="Y73">
        <v>18</v>
      </c>
      <c r="Z73">
        <v>57.96</v>
      </c>
      <c r="AA73">
        <v>379.96</v>
      </c>
      <c r="AB73">
        <v>1</v>
      </c>
      <c r="AD73" t="s">
        <v>270</v>
      </c>
      <c r="AE73" t="s">
        <v>271</v>
      </c>
      <c r="AF73">
        <v>2</v>
      </c>
      <c r="AG73" t="s">
        <v>28</v>
      </c>
      <c r="AJ73" t="s">
        <v>349</v>
      </c>
      <c r="AP73" t="s">
        <v>35</v>
      </c>
      <c r="AR73" t="str">
        <f t="shared" si="1"/>
        <v>(01) Factura FB0100000034</v>
      </c>
    </row>
    <row r="74" spans="1:44">
      <c r="A74" t="s">
        <v>266</v>
      </c>
      <c r="B74" s="21" t="s">
        <v>414</v>
      </c>
      <c r="C74" s="8">
        <v>45902</v>
      </c>
      <c r="D74" s="22">
        <v>45932.533796296295</v>
      </c>
      <c r="E74" t="s">
        <v>35</v>
      </c>
      <c r="F74" t="s">
        <v>275</v>
      </c>
      <c r="G74">
        <v>6</v>
      </c>
      <c r="H74">
        <v>20608361074</v>
      </c>
      <c r="I74" t="s">
        <v>367</v>
      </c>
      <c r="J74" s="8">
        <v>45902</v>
      </c>
      <c r="P74">
        <v>1</v>
      </c>
      <c r="R74" t="s">
        <v>348</v>
      </c>
      <c r="T74">
        <v>1</v>
      </c>
      <c r="U74">
        <v>322</v>
      </c>
      <c r="V74">
        <v>379.96</v>
      </c>
      <c r="X74">
        <v>322</v>
      </c>
      <c r="Y74">
        <v>18</v>
      </c>
      <c r="Z74">
        <v>57.96</v>
      </c>
      <c r="AA74">
        <v>379.96</v>
      </c>
      <c r="AB74">
        <v>1</v>
      </c>
      <c r="AD74" t="s">
        <v>270</v>
      </c>
      <c r="AE74" t="s">
        <v>271</v>
      </c>
      <c r="AF74">
        <v>2</v>
      </c>
      <c r="AG74" t="s">
        <v>28</v>
      </c>
      <c r="AJ74" t="s">
        <v>349</v>
      </c>
      <c r="AP74" t="s">
        <v>35</v>
      </c>
      <c r="AR74" t="str">
        <f t="shared" si="1"/>
        <v>(01) Factura FB0100000031</v>
      </c>
    </row>
    <row r="75" spans="1:44">
      <c r="A75" t="s">
        <v>266</v>
      </c>
      <c r="B75" s="21" t="s">
        <v>415</v>
      </c>
      <c r="C75" s="8">
        <v>45895</v>
      </c>
      <c r="D75" s="22">
        <v>45932.614444444444</v>
      </c>
      <c r="E75" t="s">
        <v>35</v>
      </c>
      <c r="F75" t="s">
        <v>275</v>
      </c>
      <c r="G75">
        <v>6</v>
      </c>
      <c r="H75">
        <v>20608361074</v>
      </c>
      <c r="I75" t="s">
        <v>367</v>
      </c>
      <c r="J75" s="8">
        <v>45895</v>
      </c>
      <c r="P75">
        <v>1</v>
      </c>
      <c r="R75" t="s">
        <v>348</v>
      </c>
      <c r="T75">
        <v>1</v>
      </c>
      <c r="U75">
        <v>322</v>
      </c>
      <c r="V75">
        <v>379.96</v>
      </c>
      <c r="X75">
        <v>322</v>
      </c>
      <c r="Y75">
        <v>18</v>
      </c>
      <c r="Z75">
        <v>57.96</v>
      </c>
      <c r="AA75">
        <v>379.96</v>
      </c>
      <c r="AB75">
        <v>1</v>
      </c>
      <c r="AD75" t="s">
        <v>270</v>
      </c>
      <c r="AE75" t="s">
        <v>271</v>
      </c>
      <c r="AF75">
        <v>2</v>
      </c>
      <c r="AG75" t="s">
        <v>28</v>
      </c>
      <c r="AJ75" t="s">
        <v>349</v>
      </c>
      <c r="AP75" t="s">
        <v>35</v>
      </c>
      <c r="AR75" t="str">
        <f t="shared" si="1"/>
        <v>(01) Factura FB0100000020</v>
      </c>
    </row>
    <row r="76" spans="1:44">
      <c r="A76" t="s">
        <v>266</v>
      </c>
      <c r="B76" s="21" t="s">
        <v>416</v>
      </c>
      <c r="C76" s="8">
        <v>45895</v>
      </c>
      <c r="D76" s="22">
        <v>45932.612071759257</v>
      </c>
      <c r="E76" t="s">
        <v>35</v>
      </c>
      <c r="F76" t="s">
        <v>275</v>
      </c>
      <c r="G76">
        <v>6</v>
      </c>
      <c r="H76">
        <v>20608361074</v>
      </c>
      <c r="I76" t="s">
        <v>367</v>
      </c>
      <c r="J76" s="8">
        <v>45895</v>
      </c>
      <c r="P76">
        <v>1</v>
      </c>
      <c r="R76" t="s">
        <v>348</v>
      </c>
      <c r="T76">
        <v>1</v>
      </c>
      <c r="U76">
        <v>322</v>
      </c>
      <c r="V76">
        <v>379.96</v>
      </c>
      <c r="X76">
        <v>322</v>
      </c>
      <c r="Y76">
        <v>18</v>
      </c>
      <c r="Z76">
        <v>57.96</v>
      </c>
      <c r="AA76">
        <v>379.96</v>
      </c>
      <c r="AB76">
        <v>1</v>
      </c>
      <c r="AD76" t="s">
        <v>270</v>
      </c>
      <c r="AE76" t="s">
        <v>271</v>
      </c>
      <c r="AF76">
        <v>2</v>
      </c>
      <c r="AG76" t="s">
        <v>28</v>
      </c>
      <c r="AJ76" t="s">
        <v>349</v>
      </c>
      <c r="AP76" t="s">
        <v>35</v>
      </c>
      <c r="AR76" t="str">
        <f t="shared" si="1"/>
        <v>(01) Factura FB0100000019</v>
      </c>
    </row>
    <row r="77" spans="1:44">
      <c r="A77" t="s">
        <v>266</v>
      </c>
      <c r="B77" s="21" t="s">
        <v>417</v>
      </c>
      <c r="C77" s="8">
        <v>45895</v>
      </c>
      <c r="D77" s="22">
        <v>45932.611180555556</v>
      </c>
      <c r="E77" t="s">
        <v>35</v>
      </c>
      <c r="F77" t="s">
        <v>275</v>
      </c>
      <c r="G77">
        <v>6</v>
      </c>
      <c r="H77">
        <v>20608361074</v>
      </c>
      <c r="I77" t="s">
        <v>367</v>
      </c>
      <c r="J77" s="8">
        <v>45895</v>
      </c>
      <c r="P77">
        <v>1</v>
      </c>
      <c r="R77" t="s">
        <v>348</v>
      </c>
      <c r="T77">
        <v>1</v>
      </c>
      <c r="U77">
        <v>322</v>
      </c>
      <c r="V77">
        <v>379.96</v>
      </c>
      <c r="X77">
        <v>322</v>
      </c>
      <c r="Y77">
        <v>18</v>
      </c>
      <c r="Z77">
        <v>57.96</v>
      </c>
      <c r="AA77">
        <v>379.96</v>
      </c>
      <c r="AB77">
        <v>1</v>
      </c>
      <c r="AD77" t="s">
        <v>270</v>
      </c>
      <c r="AE77" t="s">
        <v>271</v>
      </c>
      <c r="AF77">
        <v>2</v>
      </c>
      <c r="AG77" t="s">
        <v>28</v>
      </c>
      <c r="AJ77" t="s">
        <v>349</v>
      </c>
      <c r="AP77" t="s">
        <v>35</v>
      </c>
      <c r="AR77" t="str">
        <f t="shared" si="1"/>
        <v>(01) Factura FB0100000018</v>
      </c>
    </row>
    <row r="78" spans="1:44">
      <c r="A78" t="s">
        <v>266</v>
      </c>
      <c r="B78" s="21" t="s">
        <v>418</v>
      </c>
      <c r="C78" s="8">
        <v>45895</v>
      </c>
      <c r="D78" s="22">
        <v>45932.602037037039</v>
      </c>
      <c r="E78" t="s">
        <v>35</v>
      </c>
      <c r="F78" t="s">
        <v>275</v>
      </c>
      <c r="G78">
        <v>6</v>
      </c>
      <c r="H78">
        <v>20608361074</v>
      </c>
      <c r="I78" t="s">
        <v>367</v>
      </c>
      <c r="J78" s="8">
        <v>45895</v>
      </c>
      <c r="P78">
        <v>1</v>
      </c>
      <c r="R78" t="s">
        <v>348</v>
      </c>
      <c r="T78">
        <v>1</v>
      </c>
      <c r="U78">
        <v>322</v>
      </c>
      <c r="V78">
        <v>379.96</v>
      </c>
      <c r="X78">
        <v>322</v>
      </c>
      <c r="Y78">
        <v>18</v>
      </c>
      <c r="Z78">
        <v>57.96</v>
      </c>
      <c r="AA78">
        <v>379.96</v>
      </c>
      <c r="AB78">
        <v>1</v>
      </c>
      <c r="AD78" t="s">
        <v>270</v>
      </c>
      <c r="AE78" t="s">
        <v>271</v>
      </c>
      <c r="AF78">
        <v>2</v>
      </c>
      <c r="AG78" t="s">
        <v>28</v>
      </c>
      <c r="AJ78" t="s">
        <v>349</v>
      </c>
      <c r="AP78" t="s">
        <v>35</v>
      </c>
      <c r="AR78" t="str">
        <f t="shared" si="1"/>
        <v>(01) Factura FB0100000017</v>
      </c>
    </row>
    <row r="79" spans="1:44">
      <c r="A79" t="s">
        <v>266</v>
      </c>
      <c r="B79" s="21" t="s">
        <v>419</v>
      </c>
      <c r="C79" s="8">
        <v>45895</v>
      </c>
      <c r="D79" s="22">
        <v>45932.588391203702</v>
      </c>
      <c r="E79" t="s">
        <v>35</v>
      </c>
      <c r="F79" t="s">
        <v>275</v>
      </c>
      <c r="G79">
        <v>6</v>
      </c>
      <c r="H79">
        <v>20608361074</v>
      </c>
      <c r="I79" t="s">
        <v>367</v>
      </c>
      <c r="J79" s="8">
        <v>45895</v>
      </c>
      <c r="P79">
        <v>1</v>
      </c>
      <c r="R79" t="s">
        <v>348</v>
      </c>
      <c r="T79">
        <v>1</v>
      </c>
      <c r="U79">
        <v>322</v>
      </c>
      <c r="V79">
        <v>379.96</v>
      </c>
      <c r="X79">
        <v>322</v>
      </c>
      <c r="Y79">
        <v>18</v>
      </c>
      <c r="Z79">
        <v>57.96</v>
      </c>
      <c r="AA79">
        <v>379.96</v>
      </c>
      <c r="AB79">
        <v>1</v>
      </c>
      <c r="AD79" t="s">
        <v>270</v>
      </c>
      <c r="AE79" t="s">
        <v>271</v>
      </c>
      <c r="AF79">
        <v>2</v>
      </c>
      <c r="AG79" t="s">
        <v>28</v>
      </c>
      <c r="AJ79" t="s">
        <v>349</v>
      </c>
      <c r="AP79" t="s">
        <v>35</v>
      </c>
      <c r="AR79" t="str">
        <f t="shared" si="1"/>
        <v>(01) Factura FB0100000016</v>
      </c>
    </row>
    <row r="80" spans="1:44">
      <c r="A80" t="s">
        <v>277</v>
      </c>
      <c r="B80" s="21" t="s">
        <v>420</v>
      </c>
      <c r="C80" s="8">
        <v>45891</v>
      </c>
      <c r="D80" s="22">
        <v>45932.676261574074</v>
      </c>
      <c r="E80" t="s">
        <v>35</v>
      </c>
      <c r="F80" t="s">
        <v>275</v>
      </c>
      <c r="G80">
        <v>6</v>
      </c>
      <c r="H80">
        <v>20608361074</v>
      </c>
      <c r="I80" t="s">
        <v>403</v>
      </c>
      <c r="J80" s="8">
        <v>45891</v>
      </c>
      <c r="P80">
        <v>1</v>
      </c>
      <c r="R80" t="s">
        <v>348</v>
      </c>
      <c r="T80">
        <v>1</v>
      </c>
      <c r="U80">
        <v>0</v>
      </c>
      <c r="V80">
        <v>0</v>
      </c>
      <c r="X80">
        <v>0</v>
      </c>
      <c r="Y80">
        <v>0</v>
      </c>
      <c r="Z80">
        <v>0</v>
      </c>
      <c r="AA80">
        <v>0</v>
      </c>
      <c r="AB80">
        <v>1</v>
      </c>
      <c r="AD80" t="s">
        <v>270</v>
      </c>
      <c r="AE80" t="s">
        <v>271</v>
      </c>
      <c r="AF80">
        <v>2</v>
      </c>
      <c r="AG80" t="s">
        <v>28</v>
      </c>
      <c r="AJ80" t="s">
        <v>349</v>
      </c>
      <c r="AP80" t="s">
        <v>35</v>
      </c>
      <c r="AR80" t="str">
        <f t="shared" si="1"/>
        <v>(01) Factura F00100000005</v>
      </c>
    </row>
    <row r="81" spans="1:44">
      <c r="A81" t="s">
        <v>277</v>
      </c>
      <c r="B81" s="21" t="s">
        <v>421</v>
      </c>
      <c r="C81" s="8">
        <v>45890</v>
      </c>
      <c r="D81" s="22">
        <v>45932.404895833337</v>
      </c>
      <c r="E81" t="s">
        <v>35</v>
      </c>
      <c r="F81" t="s">
        <v>275</v>
      </c>
      <c r="G81">
        <v>6</v>
      </c>
      <c r="H81">
        <v>20608361074</v>
      </c>
      <c r="I81" t="s">
        <v>403</v>
      </c>
      <c r="J81" s="8">
        <v>45890</v>
      </c>
      <c r="P81">
        <v>1</v>
      </c>
      <c r="R81" t="s">
        <v>348</v>
      </c>
      <c r="T81">
        <v>1</v>
      </c>
      <c r="U81">
        <v>0</v>
      </c>
      <c r="V81">
        <v>0</v>
      </c>
      <c r="X81">
        <v>0</v>
      </c>
      <c r="Y81">
        <v>0</v>
      </c>
      <c r="Z81">
        <v>0</v>
      </c>
      <c r="AA81">
        <v>0</v>
      </c>
      <c r="AB81">
        <v>1</v>
      </c>
      <c r="AD81" t="s">
        <v>270</v>
      </c>
      <c r="AE81" t="s">
        <v>271</v>
      </c>
      <c r="AF81">
        <v>2</v>
      </c>
      <c r="AG81" t="s">
        <v>28</v>
      </c>
      <c r="AJ81" t="s">
        <v>349</v>
      </c>
      <c r="AP81" t="s">
        <v>35</v>
      </c>
      <c r="AR81" t="str">
        <f t="shared" si="1"/>
        <v>(01) Factura F00100000001</v>
      </c>
    </row>
    <row r="82" spans="1:44">
      <c r="A82" t="s">
        <v>422</v>
      </c>
      <c r="B82">
        <v>220</v>
      </c>
      <c r="C82" s="8">
        <v>45697</v>
      </c>
      <c r="D82" s="22">
        <v>45932.791666666664</v>
      </c>
      <c r="E82" t="s">
        <v>38</v>
      </c>
      <c r="G82">
        <v>6</v>
      </c>
      <c r="H82">
        <v>20611018925</v>
      </c>
      <c r="I82" t="s">
        <v>423</v>
      </c>
      <c r="J82" s="8">
        <v>45697</v>
      </c>
      <c r="P82">
        <v>1</v>
      </c>
      <c r="Q82">
        <v>984</v>
      </c>
      <c r="R82" t="s">
        <v>424</v>
      </c>
      <c r="S82" t="s">
        <v>425</v>
      </c>
      <c r="T82">
        <v>1</v>
      </c>
      <c r="U82">
        <v>1241</v>
      </c>
      <c r="V82">
        <v>1464.38</v>
      </c>
      <c r="X82">
        <v>1241</v>
      </c>
      <c r="Y82">
        <v>18</v>
      </c>
      <c r="Z82">
        <v>223.38</v>
      </c>
      <c r="AA82">
        <v>1464.38</v>
      </c>
      <c r="AB82">
        <v>1</v>
      </c>
      <c r="AD82" t="s">
        <v>270</v>
      </c>
      <c r="AE82" t="s">
        <v>271</v>
      </c>
      <c r="AF82">
        <v>2</v>
      </c>
      <c r="AG82" t="s">
        <v>28</v>
      </c>
      <c r="AH82">
        <v>83</v>
      </c>
      <c r="AI82" t="s">
        <v>426</v>
      </c>
      <c r="AJ82" t="s">
        <v>427</v>
      </c>
      <c r="AP82" t="s">
        <v>38</v>
      </c>
      <c r="AR82" t="str">
        <f t="shared" si="1"/>
        <v>FFF1220</v>
      </c>
    </row>
    <row r="83" spans="1:44">
      <c r="A83" t="s">
        <v>422</v>
      </c>
      <c r="B83">
        <v>219</v>
      </c>
      <c r="C83" s="8">
        <v>45697</v>
      </c>
      <c r="D83" s="22">
        <v>45932.791666666664</v>
      </c>
      <c r="E83" t="s">
        <v>39</v>
      </c>
      <c r="G83">
        <v>6</v>
      </c>
      <c r="H83">
        <v>10198893710</v>
      </c>
      <c r="I83" t="s">
        <v>428</v>
      </c>
      <c r="J83" s="8">
        <v>45697</v>
      </c>
      <c r="P83">
        <v>1</v>
      </c>
      <c r="Q83">
        <v>983</v>
      </c>
      <c r="R83" t="s">
        <v>429</v>
      </c>
      <c r="S83" t="s">
        <v>425</v>
      </c>
      <c r="T83">
        <v>1</v>
      </c>
      <c r="U83">
        <v>400</v>
      </c>
      <c r="V83">
        <v>472</v>
      </c>
      <c r="X83">
        <v>400</v>
      </c>
      <c r="Y83">
        <v>18</v>
      </c>
      <c r="Z83">
        <v>72</v>
      </c>
      <c r="AA83">
        <v>472</v>
      </c>
      <c r="AB83">
        <v>1</v>
      </c>
      <c r="AD83" t="s">
        <v>270</v>
      </c>
      <c r="AE83" t="s">
        <v>271</v>
      </c>
      <c r="AF83">
        <v>2</v>
      </c>
      <c r="AG83" t="s">
        <v>28</v>
      </c>
      <c r="AH83">
        <v>83</v>
      </c>
      <c r="AI83" t="s">
        <v>426</v>
      </c>
      <c r="AJ83" t="s">
        <v>427</v>
      </c>
      <c r="AP83" t="s">
        <v>39</v>
      </c>
      <c r="AR83" t="str">
        <f t="shared" si="1"/>
        <v>FFF1219</v>
      </c>
    </row>
    <row r="84" spans="1:44">
      <c r="A84" t="s">
        <v>430</v>
      </c>
      <c r="B84">
        <v>1420</v>
      </c>
      <c r="C84" s="8">
        <v>45694</v>
      </c>
      <c r="D84" s="22">
        <v>45932.791666666664</v>
      </c>
      <c r="E84" t="s">
        <v>40</v>
      </c>
      <c r="G84">
        <v>6</v>
      </c>
      <c r="H84">
        <v>10755725086</v>
      </c>
      <c r="I84" t="s">
        <v>431</v>
      </c>
      <c r="J84" s="8">
        <v>45694</v>
      </c>
      <c r="P84">
        <v>1</v>
      </c>
      <c r="Q84">
        <v>982</v>
      </c>
      <c r="R84" t="s">
        <v>432</v>
      </c>
      <c r="S84" t="s">
        <v>425</v>
      </c>
      <c r="T84">
        <v>1</v>
      </c>
      <c r="U84">
        <v>107.37</v>
      </c>
      <c r="V84">
        <v>126.7</v>
      </c>
      <c r="X84">
        <v>107.37</v>
      </c>
      <c r="Y84">
        <v>18</v>
      </c>
      <c r="Z84">
        <v>19.329999999999998</v>
      </c>
      <c r="AA84">
        <v>126.7</v>
      </c>
      <c r="AB84">
        <v>1</v>
      </c>
      <c r="AD84" t="s">
        <v>270</v>
      </c>
      <c r="AE84" t="s">
        <v>271</v>
      </c>
      <c r="AF84">
        <v>2</v>
      </c>
      <c r="AG84" t="s">
        <v>28</v>
      </c>
      <c r="AH84">
        <v>105</v>
      </c>
      <c r="AI84" t="s">
        <v>433</v>
      </c>
      <c r="AJ84" t="s">
        <v>434</v>
      </c>
      <c r="AP84" t="s">
        <v>40</v>
      </c>
      <c r="AR84" t="str">
        <f t="shared" si="1"/>
        <v>FB011420</v>
      </c>
    </row>
    <row r="85" spans="1:44">
      <c r="AR85" t="str">
        <f t="shared" si="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4732-3219-41A9-AF69-F7C17ACAC981}">
  <dimension ref="A1:AK7"/>
  <sheetViews>
    <sheetView workbookViewId="0">
      <selection activeCell="H7" sqref="H7"/>
    </sheetView>
  </sheetViews>
  <sheetFormatPr baseColWidth="10" defaultRowHeight="15"/>
  <cols>
    <col min="1" max="1" width="24.28515625" bestFit="1" customWidth="1"/>
    <col min="2" max="2" width="22.7109375" bestFit="1" customWidth="1"/>
    <col min="3" max="3" width="11.5703125" bestFit="1" customWidth="1"/>
    <col min="4" max="4" width="17.85546875" bestFit="1" customWidth="1"/>
    <col min="5" max="5" width="42.5703125" bestFit="1" customWidth="1"/>
    <col min="6" max="6" width="17.7109375" bestFit="1" customWidth="1"/>
    <col min="7" max="7" width="11.5703125" bestFit="1" customWidth="1"/>
    <col min="8" max="8" width="22.85546875" bestFit="1" customWidth="1"/>
    <col min="9" max="9" width="11.5703125" bestFit="1" customWidth="1"/>
    <col min="10" max="10" width="12.85546875" bestFit="1" customWidth="1"/>
    <col min="11" max="11" width="19" bestFit="1" customWidth="1"/>
    <col min="12" max="12" width="18.5703125" bestFit="1" customWidth="1"/>
    <col min="13" max="13" width="13.5703125" bestFit="1" customWidth="1"/>
    <col min="14" max="14" width="20.5703125" bestFit="1" customWidth="1"/>
    <col min="15" max="15" width="31" bestFit="1" customWidth="1"/>
    <col min="16" max="16" width="19.28515625" bestFit="1" customWidth="1"/>
    <col min="17" max="17" width="15.140625" bestFit="1" customWidth="1"/>
    <col min="18" max="18" width="23.7109375" bestFit="1" customWidth="1"/>
    <col min="19" max="19" width="27.85546875" bestFit="1" customWidth="1"/>
    <col min="20" max="20" width="11.5703125" bestFit="1" customWidth="1"/>
    <col min="21" max="21" width="12.7109375" bestFit="1" customWidth="1"/>
    <col min="22" max="22" width="16.5703125" bestFit="1" customWidth="1"/>
    <col min="23" max="23" width="24" bestFit="1" customWidth="1"/>
    <col min="24" max="24" width="24.85546875" bestFit="1" customWidth="1"/>
    <col min="25" max="25" width="255.7109375" bestFit="1" customWidth="1"/>
    <col min="26" max="26" width="11.5703125" bestFit="1" customWidth="1"/>
    <col min="27" max="27" width="15.7109375" bestFit="1" customWidth="1"/>
    <col min="28" max="28" width="17.140625" bestFit="1" customWidth="1"/>
    <col min="29" max="29" width="12.7109375" bestFit="1" customWidth="1"/>
    <col min="30" max="30" width="14.5703125" bestFit="1" customWidth="1"/>
    <col min="31" max="31" width="15" bestFit="1" customWidth="1"/>
    <col min="32" max="32" width="16.140625" bestFit="1" customWidth="1"/>
    <col min="33" max="33" width="19.140625" bestFit="1" customWidth="1"/>
    <col min="34" max="34" width="22.5703125" bestFit="1" customWidth="1"/>
    <col min="35" max="35" width="15.42578125" bestFit="1" customWidth="1"/>
    <col min="36" max="36" width="17.28515625" bestFit="1" customWidth="1"/>
    <col min="37" max="37" width="27.140625" bestFit="1" customWidth="1"/>
  </cols>
  <sheetData>
    <row r="1" spans="1:37">
      <c r="A1" s="1" t="s">
        <v>530</v>
      </c>
    </row>
    <row r="3" spans="1:37">
      <c r="A3" t="s">
        <v>0</v>
      </c>
      <c r="B3" t="s">
        <v>1</v>
      </c>
      <c r="C3" t="s">
        <v>110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46</v>
      </c>
      <c r="AB3" t="s">
        <v>47</v>
      </c>
      <c r="AC3" t="s">
        <v>48</v>
      </c>
      <c r="AD3" t="s">
        <v>49</v>
      </c>
      <c r="AE3" t="s">
        <v>41</v>
      </c>
      <c r="AF3" t="s">
        <v>42</v>
      </c>
      <c r="AG3" t="s">
        <v>43</v>
      </c>
      <c r="AH3" t="s">
        <v>44</v>
      </c>
      <c r="AI3" t="s">
        <v>45</v>
      </c>
      <c r="AJ3" t="s">
        <v>50</v>
      </c>
      <c r="AK3" t="s">
        <v>59</v>
      </c>
    </row>
    <row r="4" spans="1:37">
      <c r="A4" t="s">
        <v>213</v>
      </c>
      <c r="B4">
        <v>0</v>
      </c>
      <c r="D4" t="s">
        <v>26</v>
      </c>
      <c r="E4" t="s">
        <v>40</v>
      </c>
      <c r="F4" s="8">
        <v>45695</v>
      </c>
      <c r="G4" s="8">
        <v>45695</v>
      </c>
      <c r="H4" s="8">
        <v>45695</v>
      </c>
      <c r="K4" t="s">
        <v>28</v>
      </c>
      <c r="L4" t="s">
        <v>29</v>
      </c>
      <c r="N4" t="s">
        <v>30</v>
      </c>
      <c r="O4">
        <v>107.37</v>
      </c>
      <c r="P4">
        <v>19.329999999999998</v>
      </c>
      <c r="Q4">
        <v>126.7</v>
      </c>
      <c r="R4">
        <v>126.7</v>
      </c>
      <c r="S4">
        <v>126.7</v>
      </c>
      <c r="T4" t="s">
        <v>31</v>
      </c>
      <c r="U4" t="b">
        <v>0</v>
      </c>
      <c r="V4" t="s">
        <v>32</v>
      </c>
      <c r="W4" t="s">
        <v>151</v>
      </c>
      <c r="Z4" t="s">
        <v>34</v>
      </c>
      <c r="AK4" s="8">
        <v>45695</v>
      </c>
    </row>
    <row r="5" spans="1:37">
      <c r="A5" t="s">
        <v>213</v>
      </c>
      <c r="B5">
        <v>0</v>
      </c>
      <c r="D5" t="s">
        <v>26</v>
      </c>
      <c r="E5" t="s">
        <v>39</v>
      </c>
      <c r="F5" s="8">
        <v>45698</v>
      </c>
      <c r="G5" s="8">
        <v>45698</v>
      </c>
      <c r="H5" s="8">
        <v>45698</v>
      </c>
      <c r="K5" t="s">
        <v>28</v>
      </c>
      <c r="L5" t="s">
        <v>29</v>
      </c>
      <c r="N5" t="s">
        <v>30</v>
      </c>
      <c r="O5">
        <v>400</v>
      </c>
      <c r="P5">
        <v>72</v>
      </c>
      <c r="Q5">
        <v>472</v>
      </c>
      <c r="R5">
        <v>472</v>
      </c>
      <c r="S5">
        <v>472</v>
      </c>
      <c r="T5" t="s">
        <v>31</v>
      </c>
      <c r="U5" t="b">
        <v>0</v>
      </c>
      <c r="V5" t="s">
        <v>32</v>
      </c>
      <c r="W5" t="s">
        <v>151</v>
      </c>
      <c r="X5" t="s">
        <v>178</v>
      </c>
      <c r="Y5" s="34" t="s">
        <v>215</v>
      </c>
      <c r="Z5" t="s">
        <v>34</v>
      </c>
      <c r="AK5" s="8">
        <v>45698</v>
      </c>
    </row>
    <row r="6" spans="1:37">
      <c r="A6" t="s">
        <v>213</v>
      </c>
      <c r="B6">
        <v>0</v>
      </c>
      <c r="D6" t="s">
        <v>26</v>
      </c>
      <c r="E6" t="s">
        <v>38</v>
      </c>
      <c r="F6" s="8">
        <v>45698</v>
      </c>
      <c r="G6" s="8">
        <v>45698</v>
      </c>
      <c r="H6" s="8">
        <v>45698</v>
      </c>
      <c r="K6" t="s">
        <v>28</v>
      </c>
      <c r="L6" t="s">
        <v>29</v>
      </c>
      <c r="N6" t="s">
        <v>30</v>
      </c>
      <c r="O6">
        <v>1241</v>
      </c>
      <c r="P6">
        <v>223.38</v>
      </c>
      <c r="Q6">
        <v>1464.38</v>
      </c>
      <c r="R6">
        <v>1464.38</v>
      </c>
      <c r="S6">
        <v>1464.38</v>
      </c>
      <c r="T6" t="s">
        <v>31</v>
      </c>
      <c r="U6" t="b">
        <v>0</v>
      </c>
      <c r="V6" t="s">
        <v>32</v>
      </c>
      <c r="W6" t="s">
        <v>151</v>
      </c>
      <c r="Z6" t="s">
        <v>34</v>
      </c>
      <c r="AK6" s="8">
        <v>45698</v>
      </c>
    </row>
    <row r="7" spans="1:37">
      <c r="A7" t="s">
        <v>213</v>
      </c>
      <c r="B7">
        <v>0</v>
      </c>
      <c r="D7" t="s">
        <v>26</v>
      </c>
      <c r="E7" t="s">
        <v>37</v>
      </c>
      <c r="F7" s="8">
        <v>45739</v>
      </c>
      <c r="G7" s="8">
        <v>45739</v>
      </c>
      <c r="H7" s="8">
        <v>45739</v>
      </c>
      <c r="I7" t="s">
        <v>214</v>
      </c>
      <c r="K7" t="s">
        <v>28</v>
      </c>
      <c r="L7" t="s">
        <v>29</v>
      </c>
      <c r="N7" t="s">
        <v>30</v>
      </c>
      <c r="O7">
        <v>310.17</v>
      </c>
      <c r="P7">
        <v>55.83</v>
      </c>
      <c r="Q7">
        <v>366</v>
      </c>
      <c r="R7">
        <v>366</v>
      </c>
      <c r="S7">
        <v>366</v>
      </c>
      <c r="T7" t="s">
        <v>31</v>
      </c>
      <c r="U7" t="b">
        <v>0</v>
      </c>
      <c r="V7" t="s">
        <v>32</v>
      </c>
      <c r="W7" t="s">
        <v>151</v>
      </c>
      <c r="Z7" t="s">
        <v>34</v>
      </c>
      <c r="AK7" s="8">
        <v>45739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BB9E-09D2-4886-95C8-545DC122D4E0}">
  <dimension ref="A1:AN90"/>
  <sheetViews>
    <sheetView topLeftCell="Z57" zoomScaleNormal="100" workbookViewId="0">
      <selection activeCell="AJ3" sqref="AJ3"/>
    </sheetView>
  </sheetViews>
  <sheetFormatPr baseColWidth="10" defaultRowHeight="12.75"/>
  <cols>
    <col min="1" max="1" width="15.7109375" style="17" bestFit="1" customWidth="1"/>
    <col min="2" max="2" width="23.7109375" style="17" bestFit="1" customWidth="1"/>
    <col min="3" max="3" width="11.42578125" style="17"/>
    <col min="4" max="4" width="15.7109375" style="17" bestFit="1" customWidth="1"/>
    <col min="5" max="5" width="18.85546875" style="17" bestFit="1" customWidth="1"/>
    <col min="6" max="6" width="18" style="17" bestFit="1" customWidth="1"/>
    <col min="7" max="7" width="41" style="17" customWidth="1"/>
    <col min="8" max="8" width="18.85546875" style="17" bestFit="1" customWidth="1"/>
    <col min="9" max="9" width="6.42578125" style="17" customWidth="1"/>
    <col min="10" max="10" width="33.28515625" style="17" bestFit="1" customWidth="1"/>
    <col min="11" max="11" width="7.85546875" style="17" bestFit="1" customWidth="1"/>
    <col min="12" max="12" width="18.85546875" style="17" bestFit="1" customWidth="1"/>
    <col min="13" max="13" width="14.42578125" style="17" bestFit="1" customWidth="1"/>
    <col min="14" max="14" width="16.140625" style="17" bestFit="1" customWidth="1"/>
    <col min="15" max="15" width="11.42578125" style="17"/>
    <col min="16" max="16" width="18.85546875" style="17" bestFit="1" customWidth="1"/>
    <col min="17" max="17" width="11.42578125" style="17"/>
    <col min="18" max="18" width="15.7109375" style="17" bestFit="1" customWidth="1"/>
    <col min="19" max="19" width="7.85546875" style="17" bestFit="1" customWidth="1"/>
    <col min="20" max="20" width="18.85546875" style="17" bestFit="1" customWidth="1"/>
    <col min="21" max="21" width="14.42578125" style="17" bestFit="1" customWidth="1"/>
    <col min="22" max="22" width="16.140625" style="17" bestFit="1" customWidth="1"/>
    <col min="23" max="23" width="11.42578125" style="17"/>
    <col min="24" max="24" width="15.7109375" style="17" bestFit="1" customWidth="1"/>
    <col min="25" max="25" width="7.85546875" style="17" bestFit="1" customWidth="1"/>
    <col min="26" max="26" width="25.85546875" style="17" bestFit="1" customWidth="1"/>
    <col min="27" max="27" width="22.42578125" style="17" bestFit="1" customWidth="1"/>
    <col min="28" max="28" width="18.7109375" style="17" bestFit="1" customWidth="1"/>
    <col min="29" max="29" width="11.42578125" style="17"/>
    <col min="30" max="30" width="23.140625" style="17" bestFit="1" customWidth="1"/>
    <col min="31" max="31" width="7.85546875" style="17" bestFit="1" customWidth="1"/>
    <col min="32" max="32" width="18.85546875" style="17" bestFit="1" customWidth="1"/>
    <col min="33" max="33" width="14.42578125" style="17" bestFit="1" customWidth="1"/>
    <col min="34" max="34" width="16.140625" style="17" bestFit="1" customWidth="1"/>
    <col min="35" max="35" width="11.42578125" style="17"/>
    <col min="36" max="36" width="16.140625" style="17" bestFit="1" customWidth="1"/>
    <col min="37" max="37" width="7.85546875" style="17" bestFit="1" customWidth="1"/>
    <col min="38" max="38" width="25.85546875" style="17" bestFit="1" customWidth="1"/>
    <col min="39" max="39" width="22.42578125" style="17" bestFit="1" customWidth="1"/>
    <col min="40" max="40" width="18.7109375" style="17" bestFit="1" customWidth="1"/>
    <col min="41" max="16384" width="11.42578125" style="17"/>
  </cols>
  <sheetData>
    <row r="1" spans="1:40">
      <c r="R1" s="16" t="s">
        <v>442</v>
      </c>
      <c r="X1" s="16" t="s">
        <v>443</v>
      </c>
      <c r="AD1" s="16" t="s">
        <v>528</v>
      </c>
      <c r="AE1" s="16"/>
      <c r="AF1" s="16"/>
      <c r="AG1" s="16"/>
      <c r="AH1" s="16"/>
      <c r="AI1" s="16"/>
      <c r="AJ1" s="16" t="s">
        <v>529</v>
      </c>
    </row>
    <row r="2" spans="1:40">
      <c r="AJ2" s="18" t="s">
        <v>55</v>
      </c>
      <c r="AK2" s="18" t="s">
        <v>222</v>
      </c>
      <c r="AL2" s="17" t="s">
        <v>58</v>
      </c>
      <c r="AM2" s="17" t="s">
        <v>218</v>
      </c>
      <c r="AN2" s="17" t="s">
        <v>219</v>
      </c>
    </row>
    <row r="3" spans="1:40">
      <c r="A3" s="18" t="s">
        <v>55</v>
      </c>
      <c r="B3" s="17" t="s">
        <v>435</v>
      </c>
      <c r="D3" s="18" t="s">
        <v>55</v>
      </c>
      <c r="E3" s="17" t="s">
        <v>436</v>
      </c>
      <c r="G3" s="18" t="s">
        <v>55</v>
      </c>
      <c r="H3" s="17" t="s">
        <v>436</v>
      </c>
      <c r="J3" s="18" t="s">
        <v>55</v>
      </c>
      <c r="K3" s="17" t="s">
        <v>222</v>
      </c>
      <c r="L3" s="17" t="s">
        <v>436</v>
      </c>
      <c r="M3" s="17" t="s">
        <v>437</v>
      </c>
      <c r="N3" s="17" t="s">
        <v>438</v>
      </c>
      <c r="P3" s="17" t="s">
        <v>436</v>
      </c>
      <c r="R3" s="18" t="s">
        <v>55</v>
      </c>
      <c r="S3" s="17" t="s">
        <v>222</v>
      </c>
      <c r="T3" s="17" t="s">
        <v>436</v>
      </c>
      <c r="U3" s="17" t="s">
        <v>437</v>
      </c>
      <c r="V3" s="17" t="s">
        <v>438</v>
      </c>
      <c r="X3" s="18" t="s">
        <v>55</v>
      </c>
      <c r="Y3" s="17" t="s">
        <v>222</v>
      </c>
      <c r="Z3" s="17" t="s">
        <v>58</v>
      </c>
      <c r="AA3" s="17" t="s">
        <v>218</v>
      </c>
      <c r="AB3" s="17" t="s">
        <v>219</v>
      </c>
      <c r="AD3" s="18" t="s">
        <v>55</v>
      </c>
      <c r="AE3" s="17" t="s">
        <v>222</v>
      </c>
      <c r="AF3" s="17" t="s">
        <v>436</v>
      </c>
      <c r="AG3" s="17" t="s">
        <v>437</v>
      </c>
      <c r="AH3" s="17" t="s">
        <v>438</v>
      </c>
      <c r="AJ3" s="24" t="s">
        <v>213</v>
      </c>
      <c r="AK3" s="25">
        <v>4</v>
      </c>
      <c r="AL3" s="25">
        <v>2058.54</v>
      </c>
      <c r="AM3" s="25">
        <v>370.53999999999996</v>
      </c>
      <c r="AN3" s="25">
        <v>2429.08</v>
      </c>
    </row>
    <row r="4" spans="1:40">
      <c r="A4" s="19" t="s">
        <v>271</v>
      </c>
      <c r="B4" s="17">
        <v>83</v>
      </c>
      <c r="D4" s="19" t="s">
        <v>271</v>
      </c>
      <c r="E4" s="17">
        <v>24398.54</v>
      </c>
      <c r="G4" s="19" t="s">
        <v>285</v>
      </c>
      <c r="H4" s="17">
        <v>2000</v>
      </c>
      <c r="J4" s="19" t="s">
        <v>37</v>
      </c>
      <c r="K4" s="17">
        <v>6</v>
      </c>
      <c r="L4" s="17">
        <v>8000</v>
      </c>
      <c r="M4" s="17">
        <v>1440</v>
      </c>
      <c r="N4" s="17">
        <v>9440</v>
      </c>
      <c r="P4" s="17">
        <v>24398.54</v>
      </c>
      <c r="R4" s="19" t="s">
        <v>60</v>
      </c>
      <c r="S4" s="17">
        <v>3</v>
      </c>
      <c r="T4" s="17">
        <v>1748.37</v>
      </c>
      <c r="U4" s="17">
        <v>314.70999999999998</v>
      </c>
      <c r="V4" s="17">
        <v>2063.08</v>
      </c>
      <c r="X4" s="19" t="s">
        <v>60</v>
      </c>
      <c r="Y4" s="17">
        <v>3</v>
      </c>
      <c r="Z4" s="17">
        <v>1748.37</v>
      </c>
      <c r="AA4" s="17">
        <v>314.70999999999998</v>
      </c>
      <c r="AB4" s="17">
        <v>2063.08</v>
      </c>
      <c r="AD4" s="19" t="s">
        <v>445</v>
      </c>
      <c r="AE4" s="17">
        <v>1</v>
      </c>
      <c r="AF4" s="17">
        <v>0</v>
      </c>
      <c r="AG4" s="17">
        <v>0</v>
      </c>
      <c r="AH4" s="17">
        <v>0</v>
      </c>
      <c r="AJ4" s="19" t="s">
        <v>211</v>
      </c>
      <c r="AK4" s="17">
        <v>1</v>
      </c>
    </row>
    <row r="5" spans="1:40">
      <c r="A5" s="19" t="s">
        <v>56</v>
      </c>
      <c r="B5" s="17">
        <v>83</v>
      </c>
      <c r="D5" s="19" t="s">
        <v>56</v>
      </c>
      <c r="E5" s="17">
        <v>24398.54</v>
      </c>
      <c r="G5" s="19" t="s">
        <v>397</v>
      </c>
      <c r="H5" s="17">
        <v>51.86</v>
      </c>
      <c r="J5" s="19" t="s">
        <v>112</v>
      </c>
      <c r="K5" s="17">
        <v>1</v>
      </c>
      <c r="L5" s="17">
        <v>1355.93</v>
      </c>
      <c r="M5" s="17">
        <v>244.07</v>
      </c>
      <c r="N5" s="17">
        <v>1600</v>
      </c>
      <c r="R5" s="23">
        <v>45694</v>
      </c>
      <c r="S5" s="17">
        <v>1</v>
      </c>
      <c r="T5" s="17">
        <v>107.37</v>
      </c>
      <c r="U5" s="17">
        <v>19.329999999999998</v>
      </c>
      <c r="V5" s="17">
        <v>126.7</v>
      </c>
      <c r="X5" s="23">
        <v>45695</v>
      </c>
      <c r="Y5" s="17">
        <v>1</v>
      </c>
      <c r="Z5" s="17">
        <v>107.37</v>
      </c>
      <c r="AA5" s="17">
        <v>19.329999999999998</v>
      </c>
      <c r="AB5" s="17">
        <v>126.7</v>
      </c>
      <c r="AD5" s="19" t="s">
        <v>446</v>
      </c>
      <c r="AE5" s="17">
        <v>1</v>
      </c>
      <c r="AF5" s="17">
        <v>0</v>
      </c>
      <c r="AG5" s="17">
        <v>0</v>
      </c>
      <c r="AH5" s="17">
        <v>0</v>
      </c>
      <c r="AJ5" s="19" t="s">
        <v>200</v>
      </c>
      <c r="AK5" s="17">
        <v>1</v>
      </c>
    </row>
    <row r="6" spans="1:40">
      <c r="G6" s="19" t="s">
        <v>370</v>
      </c>
      <c r="H6" s="17">
        <v>322</v>
      </c>
      <c r="J6" s="19" t="s">
        <v>27</v>
      </c>
      <c r="K6" s="17">
        <v>32</v>
      </c>
      <c r="L6" s="17">
        <v>6438.9</v>
      </c>
      <c r="M6" s="17">
        <v>1159.0299999999997</v>
      </c>
      <c r="N6" s="17">
        <v>7597.9299999999994</v>
      </c>
      <c r="R6" s="23">
        <v>45697</v>
      </c>
      <c r="S6" s="17">
        <v>2</v>
      </c>
      <c r="T6" s="17">
        <v>1641</v>
      </c>
      <c r="U6" s="17">
        <v>295.38</v>
      </c>
      <c r="V6" s="17">
        <v>1936.38</v>
      </c>
      <c r="X6" s="23">
        <v>45698</v>
      </c>
      <c r="Y6" s="17">
        <v>2</v>
      </c>
      <c r="Z6" s="17">
        <v>1641</v>
      </c>
      <c r="AA6" s="17">
        <v>295.38</v>
      </c>
      <c r="AB6" s="17">
        <v>1936.38</v>
      </c>
      <c r="AD6" s="19" t="s">
        <v>447</v>
      </c>
      <c r="AE6" s="17">
        <v>1</v>
      </c>
      <c r="AF6" s="17">
        <v>0</v>
      </c>
      <c r="AG6" s="17">
        <v>0</v>
      </c>
      <c r="AH6" s="17">
        <v>0</v>
      </c>
      <c r="AJ6" s="19" t="s">
        <v>198</v>
      </c>
      <c r="AK6" s="17">
        <v>1</v>
      </c>
    </row>
    <row r="7" spans="1:40">
      <c r="G7" s="19" t="s">
        <v>269</v>
      </c>
      <c r="H7" s="17">
        <v>4184.5199999999986</v>
      </c>
      <c r="J7" s="19" t="s">
        <v>38</v>
      </c>
      <c r="K7" s="17">
        <v>11</v>
      </c>
      <c r="L7" s="17">
        <v>2012.1999999999998</v>
      </c>
      <c r="M7" s="17">
        <v>362.18</v>
      </c>
      <c r="N7" s="17">
        <v>2374.38</v>
      </c>
      <c r="R7" s="19" t="s">
        <v>62</v>
      </c>
      <c r="S7" s="17">
        <v>29</v>
      </c>
      <c r="T7" s="17">
        <v>7687.86</v>
      </c>
      <c r="U7" s="17">
        <v>1383.8</v>
      </c>
      <c r="V7" s="17">
        <v>9071.66</v>
      </c>
      <c r="X7" s="19" t="s">
        <v>61</v>
      </c>
      <c r="Y7" s="17">
        <v>10</v>
      </c>
      <c r="Z7" s="17">
        <v>2564.17</v>
      </c>
      <c r="AA7" s="17">
        <v>461.54999999999995</v>
      </c>
      <c r="AB7" s="17">
        <v>3025.7200000000003</v>
      </c>
      <c r="AD7" s="19" t="s">
        <v>448</v>
      </c>
      <c r="AE7" s="17">
        <v>1</v>
      </c>
      <c r="AF7" s="17">
        <v>0</v>
      </c>
      <c r="AG7" s="17">
        <v>0</v>
      </c>
      <c r="AH7" s="17">
        <v>0</v>
      </c>
      <c r="AJ7" s="19" t="s">
        <v>196</v>
      </c>
      <c r="AK7" s="17">
        <v>1</v>
      </c>
    </row>
    <row r="8" spans="1:40">
      <c r="G8" s="19" t="s">
        <v>304</v>
      </c>
      <c r="H8" s="17">
        <v>33.9</v>
      </c>
      <c r="J8" s="19" t="s">
        <v>35</v>
      </c>
      <c r="K8" s="17">
        <v>28</v>
      </c>
      <c r="L8" s="17">
        <v>6084.1399999999994</v>
      </c>
      <c r="M8" s="17">
        <v>1095.1400000000003</v>
      </c>
      <c r="N8" s="17">
        <v>7179.2800000000007</v>
      </c>
      <c r="R8" s="23">
        <v>45890</v>
      </c>
      <c r="S8" s="17">
        <v>1</v>
      </c>
      <c r="T8" s="17">
        <v>0</v>
      </c>
      <c r="U8" s="17">
        <v>0</v>
      </c>
      <c r="V8" s="17">
        <v>0</v>
      </c>
      <c r="X8" s="23">
        <v>45739</v>
      </c>
      <c r="Y8" s="17">
        <v>1</v>
      </c>
      <c r="Z8" s="17">
        <v>310.17</v>
      </c>
      <c r="AA8" s="17">
        <v>55.83</v>
      </c>
      <c r="AB8" s="17">
        <v>366</v>
      </c>
      <c r="AD8" s="19" t="s">
        <v>449</v>
      </c>
      <c r="AE8" s="17">
        <v>1</v>
      </c>
      <c r="AF8" s="17">
        <v>0</v>
      </c>
      <c r="AG8" s="17">
        <v>0</v>
      </c>
      <c r="AH8" s="17">
        <v>0</v>
      </c>
      <c r="AJ8" s="19" t="s">
        <v>209</v>
      </c>
      <c r="AK8" s="17">
        <v>1</v>
      </c>
    </row>
    <row r="9" spans="1:40">
      <c r="G9" s="19" t="s">
        <v>432</v>
      </c>
      <c r="H9" s="17">
        <v>107.37</v>
      </c>
      <c r="J9" s="19" t="s">
        <v>39</v>
      </c>
      <c r="K9" s="17">
        <v>1</v>
      </c>
      <c r="L9" s="17">
        <v>400</v>
      </c>
      <c r="M9" s="17">
        <v>72</v>
      </c>
      <c r="N9" s="17">
        <v>472</v>
      </c>
      <c r="R9" s="23">
        <v>45891</v>
      </c>
      <c r="S9" s="17">
        <v>9</v>
      </c>
      <c r="T9" s="17">
        <v>644</v>
      </c>
      <c r="U9" s="17">
        <v>115.92</v>
      </c>
      <c r="V9" s="17">
        <v>759.92</v>
      </c>
      <c r="X9" s="23">
        <v>45743</v>
      </c>
      <c r="Y9" s="17">
        <v>9</v>
      </c>
      <c r="Z9" s="17">
        <v>2254</v>
      </c>
      <c r="AA9" s="17">
        <v>405.71999999999997</v>
      </c>
      <c r="AB9" s="17">
        <v>2659.72</v>
      </c>
      <c r="AD9" s="19" t="s">
        <v>450</v>
      </c>
      <c r="AE9" s="17">
        <v>1</v>
      </c>
      <c r="AF9" s="17">
        <v>0</v>
      </c>
      <c r="AG9" s="17">
        <v>0</v>
      </c>
      <c r="AH9" s="17">
        <v>0</v>
      </c>
      <c r="AJ9" s="19" t="s">
        <v>194</v>
      </c>
      <c r="AK9" s="17">
        <v>1</v>
      </c>
    </row>
    <row r="10" spans="1:40">
      <c r="D10" s="18" t="s">
        <v>55</v>
      </c>
      <c r="E10" s="17" t="s">
        <v>437</v>
      </c>
      <c r="G10" s="19" t="s">
        <v>411</v>
      </c>
      <c r="H10" s="17">
        <v>0</v>
      </c>
      <c r="J10" s="19" t="s">
        <v>40</v>
      </c>
      <c r="K10" s="17">
        <v>1</v>
      </c>
      <c r="L10" s="17">
        <v>107.37</v>
      </c>
      <c r="M10" s="17">
        <v>19.329999999999998</v>
      </c>
      <c r="N10" s="17">
        <v>126.7</v>
      </c>
      <c r="R10" s="23">
        <v>45894</v>
      </c>
      <c r="S10" s="17">
        <v>5</v>
      </c>
      <c r="T10" s="17">
        <v>803.06</v>
      </c>
      <c r="U10" s="17">
        <v>144.54</v>
      </c>
      <c r="V10" s="17">
        <v>947.59999999999991</v>
      </c>
      <c r="X10" s="19" t="s">
        <v>62</v>
      </c>
      <c r="Y10" s="17">
        <v>22</v>
      </c>
      <c r="Z10" s="17">
        <v>6077.8599999999988</v>
      </c>
      <c r="AA10" s="17">
        <v>1094</v>
      </c>
      <c r="AB10" s="17">
        <v>7171.86</v>
      </c>
      <c r="AD10" s="19" t="s">
        <v>451</v>
      </c>
      <c r="AE10" s="17">
        <v>1</v>
      </c>
      <c r="AF10" s="17">
        <v>0</v>
      </c>
      <c r="AG10" s="17">
        <v>0</v>
      </c>
      <c r="AH10" s="17">
        <v>0</v>
      </c>
      <c r="AJ10" s="19" t="s">
        <v>192</v>
      </c>
      <c r="AK10" s="17">
        <v>1</v>
      </c>
    </row>
    <row r="11" spans="1:40">
      <c r="D11" s="19" t="s">
        <v>271</v>
      </c>
      <c r="E11" s="17">
        <v>4391.7500000000009</v>
      </c>
      <c r="G11" s="19" t="s">
        <v>408</v>
      </c>
      <c r="H11" s="17">
        <v>0</v>
      </c>
      <c r="J11" s="19" t="s">
        <v>36</v>
      </c>
      <c r="K11" s="17">
        <v>3</v>
      </c>
      <c r="L11" s="17">
        <v>0</v>
      </c>
      <c r="M11" s="17">
        <v>0</v>
      </c>
      <c r="N11" s="17">
        <v>0</v>
      </c>
      <c r="R11" s="23">
        <v>45895</v>
      </c>
      <c r="S11" s="17">
        <v>5</v>
      </c>
      <c r="T11" s="17">
        <v>1610</v>
      </c>
      <c r="U11" s="17">
        <v>289.8</v>
      </c>
      <c r="V11" s="17">
        <v>1899.8</v>
      </c>
      <c r="X11" s="23">
        <v>45891</v>
      </c>
      <c r="Y11" s="17">
        <v>10</v>
      </c>
      <c r="Z11" s="17">
        <v>1288</v>
      </c>
      <c r="AA11" s="17">
        <v>231.84</v>
      </c>
      <c r="AB11" s="17">
        <v>1519.84</v>
      </c>
      <c r="AD11" s="19" t="s">
        <v>452</v>
      </c>
      <c r="AE11" s="17">
        <v>1</v>
      </c>
      <c r="AF11" s="17">
        <v>0</v>
      </c>
      <c r="AG11" s="17">
        <v>0</v>
      </c>
      <c r="AH11" s="17">
        <v>0</v>
      </c>
      <c r="AJ11" s="19" t="s">
        <v>190</v>
      </c>
      <c r="AK11" s="17">
        <v>1</v>
      </c>
    </row>
    <row r="12" spans="1:40">
      <c r="D12" s="19" t="s">
        <v>56</v>
      </c>
      <c r="E12" s="17">
        <v>4391.7500000000009</v>
      </c>
      <c r="G12" s="19" t="s">
        <v>280</v>
      </c>
      <c r="H12" s="17">
        <v>6000</v>
      </c>
      <c r="J12" s="19" t="s">
        <v>56</v>
      </c>
      <c r="K12" s="17">
        <v>83</v>
      </c>
      <c r="L12" s="17">
        <v>24398.539999999997</v>
      </c>
      <c r="M12" s="17">
        <v>4391.7500000000009</v>
      </c>
      <c r="N12" s="17">
        <v>28790.289999999983</v>
      </c>
      <c r="R12" s="23">
        <v>45896</v>
      </c>
      <c r="S12" s="17">
        <v>8</v>
      </c>
      <c r="T12" s="17">
        <v>4576.6499999999996</v>
      </c>
      <c r="U12" s="17">
        <v>823.79</v>
      </c>
      <c r="V12" s="17">
        <v>5400.4400000000005</v>
      </c>
      <c r="X12" s="23">
        <v>45894</v>
      </c>
      <c r="Y12" s="17">
        <v>3</v>
      </c>
      <c r="Z12" s="17">
        <v>159.06</v>
      </c>
      <c r="AA12" s="17">
        <v>28.619999999999997</v>
      </c>
      <c r="AB12" s="17">
        <v>187.68</v>
      </c>
      <c r="AD12" s="19" t="s">
        <v>453</v>
      </c>
      <c r="AE12" s="17">
        <v>1</v>
      </c>
      <c r="AF12" s="17">
        <v>322</v>
      </c>
      <c r="AG12" s="17">
        <v>57.96</v>
      </c>
      <c r="AH12" s="17">
        <v>379.96</v>
      </c>
      <c r="AJ12" s="19" t="s">
        <v>188</v>
      </c>
      <c r="AK12" s="17">
        <v>1</v>
      </c>
      <c r="AL12" s="17">
        <v>322</v>
      </c>
      <c r="AM12" s="17">
        <v>57.96</v>
      </c>
      <c r="AN12" s="17">
        <v>379.96</v>
      </c>
    </row>
    <row r="13" spans="1:40">
      <c r="G13" s="19" t="s">
        <v>377</v>
      </c>
      <c r="H13" s="17">
        <v>900</v>
      </c>
      <c r="R13" s="23">
        <v>45898</v>
      </c>
      <c r="S13" s="17">
        <v>1</v>
      </c>
      <c r="T13" s="17">
        <v>54.15</v>
      </c>
      <c r="U13" s="17">
        <v>9.75</v>
      </c>
      <c r="V13" s="17">
        <v>63.9</v>
      </c>
      <c r="X13" s="23">
        <v>45896</v>
      </c>
      <c r="Y13" s="17">
        <v>8</v>
      </c>
      <c r="Z13" s="17">
        <v>4576.6499999999996</v>
      </c>
      <c r="AA13" s="17">
        <v>823.79</v>
      </c>
      <c r="AB13" s="17">
        <v>5400.4400000000005</v>
      </c>
      <c r="AD13" s="19" t="s">
        <v>454</v>
      </c>
      <c r="AE13" s="17">
        <v>1</v>
      </c>
      <c r="AF13" s="17">
        <v>322</v>
      </c>
      <c r="AG13" s="17">
        <v>57.96</v>
      </c>
      <c r="AH13" s="17">
        <v>379.96</v>
      </c>
      <c r="AJ13" s="19" t="s">
        <v>186</v>
      </c>
      <c r="AK13" s="17">
        <v>1</v>
      </c>
      <c r="AL13" s="17">
        <v>322</v>
      </c>
      <c r="AM13" s="17">
        <v>57.96</v>
      </c>
      <c r="AN13" s="17">
        <v>379.96</v>
      </c>
    </row>
    <row r="14" spans="1:40">
      <c r="G14" s="19" t="s">
        <v>348</v>
      </c>
      <c r="H14" s="17">
        <v>5539.25</v>
      </c>
      <c r="R14" s="19" t="s">
        <v>63</v>
      </c>
      <c r="S14" s="17">
        <v>51</v>
      </c>
      <c r="T14" s="17">
        <v>14962.31</v>
      </c>
      <c r="U14" s="17">
        <v>2693.2400000000002</v>
      </c>
      <c r="V14" s="17">
        <v>17655.55</v>
      </c>
      <c r="X14" s="23">
        <v>45898</v>
      </c>
      <c r="Y14" s="17">
        <v>1</v>
      </c>
      <c r="Z14" s="17">
        <v>54.15</v>
      </c>
      <c r="AA14" s="17">
        <v>9.75</v>
      </c>
      <c r="AB14" s="17">
        <v>63.9</v>
      </c>
      <c r="AD14" s="19" t="s">
        <v>455</v>
      </c>
      <c r="AE14" s="17">
        <v>1</v>
      </c>
      <c r="AF14" s="17">
        <v>51.86</v>
      </c>
      <c r="AG14" s="17">
        <v>9.33</v>
      </c>
      <c r="AH14" s="17">
        <v>61.19</v>
      </c>
      <c r="AJ14" s="19" t="s">
        <v>180</v>
      </c>
      <c r="AK14" s="17">
        <v>1</v>
      </c>
      <c r="AL14" s="17">
        <v>51.86</v>
      </c>
      <c r="AM14" s="17">
        <v>9.33</v>
      </c>
      <c r="AN14" s="17">
        <v>61.19</v>
      </c>
    </row>
    <row r="15" spans="1:40">
      <c r="G15" s="19" t="s">
        <v>429</v>
      </c>
      <c r="H15" s="17">
        <v>400</v>
      </c>
      <c r="R15" s="23">
        <v>45902</v>
      </c>
      <c r="S15" s="17">
        <v>7</v>
      </c>
      <c r="T15" s="17">
        <v>1986.15</v>
      </c>
      <c r="U15" s="17">
        <v>357.51</v>
      </c>
      <c r="V15" s="17">
        <v>2343.66</v>
      </c>
      <c r="X15" s="19" t="s">
        <v>63</v>
      </c>
      <c r="Y15" s="17">
        <v>48</v>
      </c>
      <c r="Z15" s="17">
        <v>14318.31</v>
      </c>
      <c r="AA15" s="17">
        <v>2577.3200000000006</v>
      </c>
      <c r="AB15" s="17">
        <v>16895.63</v>
      </c>
      <c r="AD15" s="19" t="s">
        <v>456</v>
      </c>
      <c r="AE15" s="17">
        <v>1</v>
      </c>
      <c r="AF15" s="17">
        <v>322</v>
      </c>
      <c r="AG15" s="17">
        <v>57.96</v>
      </c>
      <c r="AH15" s="17">
        <v>379.96</v>
      </c>
      <c r="AJ15" s="19" t="s">
        <v>184</v>
      </c>
      <c r="AK15" s="17">
        <v>1</v>
      </c>
      <c r="AL15" s="17">
        <v>322</v>
      </c>
      <c r="AM15" s="17">
        <v>57.96</v>
      </c>
      <c r="AN15" s="17">
        <v>379.96</v>
      </c>
    </row>
    <row r="16" spans="1:40">
      <c r="G16" s="19" t="s">
        <v>424</v>
      </c>
      <c r="H16" s="17">
        <v>1241</v>
      </c>
      <c r="R16" s="23">
        <v>45908</v>
      </c>
      <c r="S16" s="17">
        <v>18</v>
      </c>
      <c r="T16" s="17">
        <v>2331.23</v>
      </c>
      <c r="U16" s="17">
        <v>419.65999999999997</v>
      </c>
      <c r="V16" s="17">
        <v>2750.89</v>
      </c>
      <c r="X16" s="23">
        <v>45902</v>
      </c>
      <c r="Y16" s="17">
        <v>5</v>
      </c>
      <c r="Z16" s="17">
        <v>1342.15</v>
      </c>
      <c r="AA16" s="17">
        <v>241.59</v>
      </c>
      <c r="AB16" s="17">
        <v>1583.74</v>
      </c>
      <c r="AD16" s="19" t="s">
        <v>457</v>
      </c>
      <c r="AE16" s="17">
        <v>1</v>
      </c>
      <c r="AF16" s="17">
        <v>51.86</v>
      </c>
      <c r="AG16" s="17">
        <v>9.33</v>
      </c>
      <c r="AH16" s="17">
        <v>61.19</v>
      </c>
      <c r="AJ16" s="19" t="s">
        <v>177</v>
      </c>
      <c r="AK16" s="17">
        <v>1</v>
      </c>
      <c r="AL16" s="17">
        <v>51.86</v>
      </c>
      <c r="AM16" s="17">
        <v>9.33</v>
      </c>
      <c r="AN16" s="17">
        <v>61.19</v>
      </c>
    </row>
    <row r="17" spans="4:40">
      <c r="D17" s="18" t="s">
        <v>55</v>
      </c>
      <c r="E17" s="17" t="s">
        <v>438</v>
      </c>
      <c r="G17" s="19" t="s">
        <v>313</v>
      </c>
      <c r="H17" s="17">
        <v>3618.6400000000003</v>
      </c>
      <c r="R17" s="23">
        <v>45912</v>
      </c>
      <c r="S17" s="17">
        <v>2</v>
      </c>
      <c r="T17" s="17">
        <v>99.15</v>
      </c>
      <c r="U17" s="17">
        <v>17.850000000000001</v>
      </c>
      <c r="V17" s="17">
        <v>117</v>
      </c>
      <c r="X17" s="23">
        <v>45903</v>
      </c>
      <c r="Y17" s="17">
        <v>1</v>
      </c>
      <c r="Z17" s="17">
        <v>322</v>
      </c>
      <c r="AA17" s="17">
        <v>57.96</v>
      </c>
      <c r="AB17" s="17">
        <v>379.96</v>
      </c>
      <c r="AD17" s="19" t="s">
        <v>458</v>
      </c>
      <c r="AE17" s="17">
        <v>1</v>
      </c>
      <c r="AF17" s="17">
        <v>55.34</v>
      </c>
      <c r="AG17" s="17">
        <v>9.9600000000000009</v>
      </c>
      <c r="AH17" s="17">
        <v>65.3</v>
      </c>
      <c r="AJ17" s="19" t="s">
        <v>176</v>
      </c>
      <c r="AK17" s="17">
        <v>1</v>
      </c>
      <c r="AL17" s="17">
        <v>55.34</v>
      </c>
      <c r="AM17" s="17">
        <v>9.9600000000000009</v>
      </c>
      <c r="AN17" s="17">
        <v>65.3</v>
      </c>
    </row>
    <row r="18" spans="4:40">
      <c r="D18" s="19" t="s">
        <v>271</v>
      </c>
      <c r="E18" s="17">
        <v>28790.289999999986</v>
      </c>
      <c r="G18" s="19" t="s">
        <v>56</v>
      </c>
      <c r="H18" s="17">
        <v>24398.539999999997</v>
      </c>
      <c r="R18" s="23">
        <v>45916</v>
      </c>
      <c r="S18" s="17">
        <v>1</v>
      </c>
      <c r="T18" s="17">
        <v>0</v>
      </c>
      <c r="U18" s="17">
        <v>0</v>
      </c>
      <c r="V18" s="17">
        <v>0</v>
      </c>
      <c r="X18" s="23">
        <v>45908</v>
      </c>
      <c r="Y18" s="17">
        <v>18</v>
      </c>
      <c r="Z18" s="17">
        <v>2074.48</v>
      </c>
      <c r="AA18" s="17">
        <v>373.44999999999993</v>
      </c>
      <c r="AB18" s="17">
        <v>2447.9299999999998</v>
      </c>
      <c r="AD18" s="19" t="s">
        <v>459</v>
      </c>
      <c r="AE18" s="17">
        <v>1</v>
      </c>
      <c r="AF18" s="17">
        <v>322</v>
      </c>
      <c r="AG18" s="17">
        <v>57.96</v>
      </c>
      <c r="AH18" s="17">
        <v>379.96</v>
      </c>
      <c r="AJ18" s="19" t="s">
        <v>182</v>
      </c>
      <c r="AK18" s="17">
        <v>1</v>
      </c>
      <c r="AL18" s="17">
        <v>322</v>
      </c>
      <c r="AM18" s="17">
        <v>57.96</v>
      </c>
      <c r="AN18" s="17">
        <v>379.96</v>
      </c>
    </row>
    <row r="19" spans="4:40">
      <c r="D19" s="19" t="s">
        <v>56</v>
      </c>
      <c r="E19" s="17">
        <v>28790.289999999986</v>
      </c>
      <c r="R19" s="23">
        <v>45917</v>
      </c>
      <c r="S19" s="17">
        <v>16</v>
      </c>
      <c r="T19" s="17">
        <v>1138.9999999999998</v>
      </c>
      <c r="U19" s="17">
        <v>205</v>
      </c>
      <c r="V19" s="17">
        <v>1344</v>
      </c>
      <c r="X19" s="23">
        <v>45912</v>
      </c>
      <c r="Y19" s="17">
        <v>1</v>
      </c>
      <c r="Z19" s="17">
        <v>33.9</v>
      </c>
      <c r="AA19" s="17">
        <v>6.1</v>
      </c>
      <c r="AB19" s="17">
        <v>40</v>
      </c>
      <c r="AD19" s="19" t="s">
        <v>460</v>
      </c>
      <c r="AE19" s="17">
        <v>1</v>
      </c>
      <c r="AF19" s="17">
        <v>0</v>
      </c>
      <c r="AG19" s="17">
        <v>0</v>
      </c>
      <c r="AH19" s="17">
        <v>0</v>
      </c>
      <c r="AJ19" s="19" t="s">
        <v>140</v>
      </c>
      <c r="AK19" s="17">
        <v>1</v>
      </c>
    </row>
    <row r="20" spans="4:40">
      <c r="R20" s="23">
        <v>45919</v>
      </c>
      <c r="S20" s="17">
        <v>7</v>
      </c>
      <c r="T20" s="17">
        <v>9406.7799999999988</v>
      </c>
      <c r="U20" s="17">
        <v>1693.22</v>
      </c>
      <c r="V20" s="17">
        <v>11100</v>
      </c>
      <c r="X20" s="23">
        <v>45916</v>
      </c>
      <c r="Y20" s="17">
        <v>1</v>
      </c>
      <c r="AD20" s="19" t="s">
        <v>461</v>
      </c>
      <c r="AE20" s="17">
        <v>1</v>
      </c>
      <c r="AF20" s="17">
        <v>0</v>
      </c>
      <c r="AG20" s="17">
        <v>0</v>
      </c>
      <c r="AH20" s="17">
        <v>0</v>
      </c>
      <c r="AJ20" s="19" t="s">
        <v>121</v>
      </c>
      <c r="AK20" s="17">
        <v>1</v>
      </c>
    </row>
    <row r="21" spans="4:40">
      <c r="R21" s="19" t="s">
        <v>56</v>
      </c>
      <c r="S21" s="17">
        <v>83</v>
      </c>
      <c r="T21" s="17">
        <v>24398.539999999997</v>
      </c>
      <c r="U21" s="17">
        <v>4391.7500000000018</v>
      </c>
      <c r="V21" s="17">
        <v>28790.289999999994</v>
      </c>
      <c r="X21" s="23">
        <v>45917</v>
      </c>
      <c r="Y21" s="17">
        <v>16</v>
      </c>
      <c r="Z21" s="17">
        <v>1138.9999999999998</v>
      </c>
      <c r="AA21" s="17">
        <v>205</v>
      </c>
      <c r="AB21" s="17">
        <v>1344</v>
      </c>
      <c r="AD21" s="19" t="s">
        <v>462</v>
      </c>
      <c r="AE21" s="17">
        <v>1</v>
      </c>
      <c r="AF21" s="17">
        <v>2000</v>
      </c>
      <c r="AG21" s="17">
        <v>360</v>
      </c>
      <c r="AH21" s="17">
        <v>2360</v>
      </c>
      <c r="AJ21" s="19" t="s">
        <v>119</v>
      </c>
      <c r="AK21" s="17">
        <v>1</v>
      </c>
      <c r="AL21" s="17">
        <v>2000</v>
      </c>
      <c r="AM21" s="17">
        <v>360</v>
      </c>
      <c r="AN21" s="17">
        <v>2360</v>
      </c>
    </row>
    <row r="22" spans="4:40">
      <c r="X22" s="23">
        <v>45919</v>
      </c>
      <c r="Y22" s="17">
        <v>6</v>
      </c>
      <c r="Z22" s="17">
        <v>9406.7799999999988</v>
      </c>
      <c r="AA22" s="17">
        <v>1693.22</v>
      </c>
      <c r="AB22" s="17">
        <v>11100</v>
      </c>
      <c r="AD22" s="19" t="s">
        <v>463</v>
      </c>
      <c r="AE22" s="17">
        <v>1</v>
      </c>
      <c r="AF22" s="17">
        <v>2000</v>
      </c>
      <c r="AG22" s="17">
        <v>360</v>
      </c>
      <c r="AH22" s="17">
        <v>2360</v>
      </c>
      <c r="AJ22" s="19" t="s">
        <v>117</v>
      </c>
      <c r="AK22" s="17">
        <v>1</v>
      </c>
      <c r="AL22" s="17">
        <v>2000</v>
      </c>
      <c r="AM22" s="17">
        <v>360</v>
      </c>
      <c r="AN22" s="17">
        <v>2360</v>
      </c>
    </row>
    <row r="23" spans="4:40">
      <c r="X23" s="19" t="s">
        <v>56</v>
      </c>
      <c r="Y23" s="17">
        <v>83</v>
      </c>
      <c r="Z23" s="17">
        <v>24708.709999999995</v>
      </c>
      <c r="AA23" s="17">
        <v>4447.5800000000017</v>
      </c>
      <c r="AB23" s="17">
        <v>29156.289999999994</v>
      </c>
      <c r="AD23" s="24" t="s">
        <v>464</v>
      </c>
      <c r="AE23" s="25">
        <v>2</v>
      </c>
      <c r="AF23" s="25">
        <v>4000</v>
      </c>
      <c r="AG23" s="25">
        <v>720</v>
      </c>
      <c r="AH23" s="25">
        <v>4720</v>
      </c>
      <c r="AJ23" s="19" t="s">
        <v>114</v>
      </c>
      <c r="AK23" s="17">
        <v>1</v>
      </c>
      <c r="AL23" s="17">
        <v>4000</v>
      </c>
      <c r="AM23" s="17">
        <v>720</v>
      </c>
      <c r="AN23" s="17">
        <v>4720</v>
      </c>
    </row>
    <row r="24" spans="4:40" ht="15">
      <c r="X24"/>
      <c r="Y24"/>
      <c r="Z24"/>
      <c r="AA24"/>
      <c r="AB24"/>
      <c r="AD24" s="19" t="s">
        <v>465</v>
      </c>
      <c r="AE24" s="17">
        <v>1</v>
      </c>
      <c r="AF24" s="17">
        <v>322</v>
      </c>
      <c r="AG24" s="17">
        <v>57.96</v>
      </c>
      <c r="AH24" s="17">
        <v>379.96</v>
      </c>
      <c r="AJ24" s="19" t="s">
        <v>208</v>
      </c>
      <c r="AK24" s="17">
        <v>1</v>
      </c>
      <c r="AL24" s="17">
        <v>322</v>
      </c>
      <c r="AM24" s="17">
        <v>57.96</v>
      </c>
      <c r="AN24" s="17">
        <v>379.96</v>
      </c>
    </row>
    <row r="25" spans="4:40" ht="15">
      <c r="X25"/>
      <c r="Y25"/>
      <c r="Z25"/>
      <c r="AA25"/>
      <c r="AB25"/>
      <c r="AD25" s="19" t="s">
        <v>466</v>
      </c>
      <c r="AE25" s="17">
        <v>1</v>
      </c>
      <c r="AF25" s="17">
        <v>322</v>
      </c>
      <c r="AG25" s="17">
        <v>57.96</v>
      </c>
      <c r="AH25" s="17">
        <v>379.96</v>
      </c>
      <c r="AJ25" s="19" t="s">
        <v>207</v>
      </c>
      <c r="AK25" s="17">
        <v>1</v>
      </c>
      <c r="AL25" s="17">
        <v>322</v>
      </c>
      <c r="AM25" s="17">
        <v>57.96</v>
      </c>
      <c r="AN25" s="17">
        <v>379.96</v>
      </c>
    </row>
    <row r="26" spans="4:40">
      <c r="AD26" s="19" t="s">
        <v>467</v>
      </c>
      <c r="AE26" s="17">
        <v>1</v>
      </c>
      <c r="AF26" s="17">
        <v>322</v>
      </c>
      <c r="AG26" s="17">
        <v>57.96</v>
      </c>
      <c r="AH26" s="17">
        <v>379.96</v>
      </c>
      <c r="AJ26" s="19" t="s">
        <v>206</v>
      </c>
      <c r="AK26" s="17">
        <v>1</v>
      </c>
      <c r="AL26" s="17">
        <v>322</v>
      </c>
      <c r="AM26" s="17">
        <v>57.96</v>
      </c>
      <c r="AN26" s="17">
        <v>379.96</v>
      </c>
    </row>
    <row r="27" spans="4:40">
      <c r="AD27" s="19" t="s">
        <v>468</v>
      </c>
      <c r="AE27" s="17">
        <v>1</v>
      </c>
      <c r="AF27" s="17">
        <v>322</v>
      </c>
      <c r="AG27" s="17">
        <v>57.96</v>
      </c>
      <c r="AH27" s="17">
        <v>379.96</v>
      </c>
      <c r="AJ27" s="19" t="s">
        <v>205</v>
      </c>
      <c r="AK27" s="17">
        <v>1</v>
      </c>
      <c r="AL27" s="17">
        <v>322</v>
      </c>
      <c r="AM27" s="17">
        <v>57.96</v>
      </c>
      <c r="AN27" s="17">
        <v>379.96</v>
      </c>
    </row>
    <row r="28" spans="4:40">
      <c r="AD28" s="19" t="s">
        <v>469</v>
      </c>
      <c r="AE28" s="17">
        <v>1</v>
      </c>
      <c r="AF28" s="17">
        <v>322</v>
      </c>
      <c r="AG28" s="17">
        <v>57.96</v>
      </c>
      <c r="AH28" s="17">
        <v>379.96</v>
      </c>
      <c r="AJ28" s="19" t="s">
        <v>204</v>
      </c>
      <c r="AK28" s="17">
        <v>1</v>
      </c>
      <c r="AL28" s="17">
        <v>322</v>
      </c>
      <c r="AM28" s="17">
        <v>57.96</v>
      </c>
      <c r="AN28" s="17">
        <v>379.96</v>
      </c>
    </row>
    <row r="29" spans="4:40">
      <c r="AD29" s="19" t="s">
        <v>470</v>
      </c>
      <c r="AE29" s="17">
        <v>1</v>
      </c>
      <c r="AF29" s="17">
        <v>51.99</v>
      </c>
      <c r="AG29" s="17">
        <v>9.36</v>
      </c>
      <c r="AH29" s="17">
        <v>61.35</v>
      </c>
      <c r="AJ29" s="19" t="s">
        <v>175</v>
      </c>
      <c r="AK29" s="17">
        <v>1</v>
      </c>
      <c r="AL29" s="17">
        <v>51.99</v>
      </c>
      <c r="AM29" s="17">
        <v>9.36</v>
      </c>
      <c r="AN29" s="17">
        <v>61.35</v>
      </c>
    </row>
    <row r="30" spans="4:40">
      <c r="AD30" s="19" t="s">
        <v>471</v>
      </c>
      <c r="AE30" s="17">
        <v>1</v>
      </c>
      <c r="AF30" s="17">
        <v>677.97</v>
      </c>
      <c r="AG30" s="17">
        <v>122.03</v>
      </c>
      <c r="AH30" s="17">
        <v>800</v>
      </c>
      <c r="AJ30" s="19" t="s">
        <v>174</v>
      </c>
      <c r="AK30" s="17">
        <v>1</v>
      </c>
      <c r="AL30" s="17">
        <v>677.97</v>
      </c>
      <c r="AM30" s="17">
        <v>122.03</v>
      </c>
      <c r="AN30" s="17">
        <v>800</v>
      </c>
    </row>
    <row r="31" spans="4:40">
      <c r="AD31" s="19" t="s">
        <v>472</v>
      </c>
      <c r="AE31" s="17">
        <v>1</v>
      </c>
      <c r="AF31" s="17">
        <v>805.08</v>
      </c>
      <c r="AG31" s="17">
        <v>144.91</v>
      </c>
      <c r="AH31" s="17">
        <v>949.99</v>
      </c>
      <c r="AJ31" s="19" t="s">
        <v>173</v>
      </c>
      <c r="AK31" s="17">
        <v>1</v>
      </c>
      <c r="AL31" s="17">
        <v>805.08</v>
      </c>
      <c r="AM31" s="17">
        <v>144.91</v>
      </c>
      <c r="AN31" s="17">
        <v>949.99</v>
      </c>
    </row>
    <row r="32" spans="4:40">
      <c r="AD32" s="19" t="s">
        <v>473</v>
      </c>
      <c r="AE32" s="17">
        <v>1</v>
      </c>
      <c r="AF32" s="17">
        <v>1016.95</v>
      </c>
      <c r="AG32" s="17">
        <v>183.05</v>
      </c>
      <c r="AH32" s="17">
        <v>1200</v>
      </c>
      <c r="AJ32" s="19" t="s">
        <v>172</v>
      </c>
      <c r="AK32" s="17">
        <v>1</v>
      </c>
      <c r="AL32" s="17">
        <v>1016.95</v>
      </c>
      <c r="AM32" s="17">
        <v>183.05</v>
      </c>
      <c r="AN32" s="17">
        <v>1200</v>
      </c>
    </row>
    <row r="33" spans="30:40">
      <c r="AD33" s="19" t="s">
        <v>474</v>
      </c>
      <c r="AE33" s="17">
        <v>1</v>
      </c>
      <c r="AF33" s="17">
        <v>1016.95</v>
      </c>
      <c r="AG33" s="17">
        <v>183.05</v>
      </c>
      <c r="AH33" s="17">
        <v>1200</v>
      </c>
      <c r="AJ33" s="19" t="s">
        <v>171</v>
      </c>
      <c r="AK33" s="17">
        <v>1</v>
      </c>
      <c r="AL33" s="17">
        <v>1016.95</v>
      </c>
      <c r="AM33" s="17">
        <v>183.05</v>
      </c>
      <c r="AN33" s="17">
        <v>1200</v>
      </c>
    </row>
    <row r="34" spans="30:40">
      <c r="AD34" s="19" t="s">
        <v>475</v>
      </c>
      <c r="AE34" s="17">
        <v>1</v>
      </c>
      <c r="AF34" s="17">
        <v>53.81</v>
      </c>
      <c r="AG34" s="17">
        <v>9.69</v>
      </c>
      <c r="AH34" s="17">
        <v>63.5</v>
      </c>
      <c r="AJ34" s="19" t="s">
        <v>170</v>
      </c>
      <c r="AK34" s="17">
        <v>1</v>
      </c>
      <c r="AL34" s="17">
        <v>53.81</v>
      </c>
      <c r="AM34" s="17">
        <v>9.69</v>
      </c>
      <c r="AN34" s="17">
        <v>63.5</v>
      </c>
    </row>
    <row r="35" spans="30:40">
      <c r="AD35" s="19" t="s">
        <v>476</v>
      </c>
      <c r="AE35" s="17">
        <v>1</v>
      </c>
      <c r="AF35" s="17">
        <v>53.9</v>
      </c>
      <c r="AG35" s="17">
        <v>9.6999999999999993</v>
      </c>
      <c r="AH35" s="17">
        <v>63.6</v>
      </c>
      <c r="AJ35" s="19" t="s">
        <v>169</v>
      </c>
      <c r="AK35" s="17">
        <v>1</v>
      </c>
      <c r="AL35" s="17">
        <v>53.9</v>
      </c>
      <c r="AM35" s="17">
        <v>9.6999999999999993</v>
      </c>
      <c r="AN35" s="17">
        <v>63.6</v>
      </c>
    </row>
    <row r="36" spans="30:40">
      <c r="AD36" s="19" t="s">
        <v>477</v>
      </c>
      <c r="AE36" s="17">
        <v>1</v>
      </c>
      <c r="AF36" s="17">
        <v>900</v>
      </c>
      <c r="AG36" s="17">
        <v>162</v>
      </c>
      <c r="AH36" s="17">
        <v>1062</v>
      </c>
      <c r="AJ36" s="19" t="s">
        <v>168</v>
      </c>
      <c r="AK36" s="17">
        <v>1</v>
      </c>
      <c r="AL36" s="17">
        <v>900</v>
      </c>
      <c r="AM36" s="17">
        <v>162</v>
      </c>
      <c r="AN36" s="17">
        <v>1062</v>
      </c>
    </row>
    <row r="37" spans="30:40">
      <c r="AD37" s="19" t="s">
        <v>478</v>
      </c>
      <c r="AE37" s="17">
        <v>1</v>
      </c>
      <c r="AF37" s="17">
        <v>54.15</v>
      </c>
      <c r="AG37" s="17">
        <v>9.75</v>
      </c>
      <c r="AH37" s="17">
        <v>63.9</v>
      </c>
      <c r="AJ37" s="19" t="s">
        <v>167</v>
      </c>
      <c r="AK37" s="17">
        <v>1</v>
      </c>
      <c r="AL37" s="17">
        <v>54.15</v>
      </c>
      <c r="AM37" s="17">
        <v>9.75</v>
      </c>
      <c r="AN37" s="17">
        <v>63.9</v>
      </c>
    </row>
    <row r="38" spans="30:40">
      <c r="AD38" s="19" t="s">
        <v>479</v>
      </c>
      <c r="AE38" s="17">
        <v>1</v>
      </c>
      <c r="AF38" s="17">
        <v>54.15</v>
      </c>
      <c r="AG38" s="17">
        <v>9.75</v>
      </c>
      <c r="AH38" s="17">
        <v>63.9</v>
      </c>
      <c r="AJ38" s="19" t="s">
        <v>166</v>
      </c>
      <c r="AK38" s="17">
        <v>1</v>
      </c>
      <c r="AL38" s="17">
        <v>54.15</v>
      </c>
      <c r="AM38" s="17">
        <v>9.75</v>
      </c>
      <c r="AN38" s="17">
        <v>63.9</v>
      </c>
    </row>
    <row r="39" spans="30:40">
      <c r="AD39" s="19" t="s">
        <v>480</v>
      </c>
      <c r="AE39" s="17">
        <v>1</v>
      </c>
      <c r="AF39" s="17">
        <v>322</v>
      </c>
      <c r="AG39" s="17">
        <v>57.96</v>
      </c>
      <c r="AH39" s="17">
        <v>379.96</v>
      </c>
      <c r="AJ39" s="19" t="s">
        <v>203</v>
      </c>
      <c r="AK39" s="17">
        <v>1</v>
      </c>
      <c r="AL39" s="17">
        <v>322</v>
      </c>
      <c r="AM39" s="17">
        <v>57.96</v>
      </c>
      <c r="AN39" s="17">
        <v>379.96</v>
      </c>
    </row>
    <row r="40" spans="30:40">
      <c r="AD40" s="19" t="s">
        <v>481</v>
      </c>
      <c r="AE40" s="17">
        <v>1</v>
      </c>
      <c r="AF40" s="17">
        <v>322</v>
      </c>
      <c r="AG40" s="17">
        <v>57.96</v>
      </c>
      <c r="AH40" s="17">
        <v>379.96</v>
      </c>
      <c r="AJ40" s="19" t="s">
        <v>165</v>
      </c>
      <c r="AK40" s="17">
        <v>1</v>
      </c>
      <c r="AL40" s="17">
        <v>322</v>
      </c>
      <c r="AM40" s="17">
        <v>57.96</v>
      </c>
      <c r="AN40" s="17">
        <v>379.96</v>
      </c>
    </row>
    <row r="41" spans="30:40">
      <c r="AD41" s="19" t="s">
        <v>482</v>
      </c>
      <c r="AE41" s="17">
        <v>1</v>
      </c>
      <c r="AF41" s="17">
        <v>322</v>
      </c>
      <c r="AG41" s="17">
        <v>57.96</v>
      </c>
      <c r="AH41" s="17">
        <v>379.96</v>
      </c>
      <c r="AJ41" s="19" t="s">
        <v>164</v>
      </c>
      <c r="AK41" s="17">
        <v>1</v>
      </c>
      <c r="AL41" s="17">
        <v>322</v>
      </c>
      <c r="AM41" s="17">
        <v>57.96</v>
      </c>
      <c r="AN41" s="17">
        <v>379.96</v>
      </c>
    </row>
    <row r="42" spans="30:40">
      <c r="AD42" s="19" t="s">
        <v>483</v>
      </c>
      <c r="AE42" s="17">
        <v>1</v>
      </c>
      <c r="AF42" s="17">
        <v>322</v>
      </c>
      <c r="AG42" s="17">
        <v>57.96</v>
      </c>
      <c r="AH42" s="17">
        <v>379.96</v>
      </c>
      <c r="AJ42" s="19" t="s">
        <v>202</v>
      </c>
      <c r="AK42" s="17">
        <v>1</v>
      </c>
      <c r="AL42" s="17">
        <v>322</v>
      </c>
      <c r="AM42" s="17">
        <v>57.96</v>
      </c>
      <c r="AN42" s="17">
        <v>379.96</v>
      </c>
    </row>
    <row r="43" spans="30:40">
      <c r="AD43" s="19" t="s">
        <v>484</v>
      </c>
      <c r="AE43" s="17">
        <v>1</v>
      </c>
      <c r="AF43" s="17">
        <v>322</v>
      </c>
      <c r="AG43" s="17">
        <v>57.96</v>
      </c>
      <c r="AH43" s="17">
        <v>379.96</v>
      </c>
      <c r="AJ43" s="19" t="s">
        <v>163</v>
      </c>
      <c r="AK43" s="17">
        <v>1</v>
      </c>
      <c r="AL43" s="17">
        <v>322</v>
      </c>
      <c r="AM43" s="17">
        <v>57.96</v>
      </c>
      <c r="AN43" s="17">
        <v>379.96</v>
      </c>
    </row>
    <row r="44" spans="30:40">
      <c r="AD44" s="19" t="s">
        <v>485</v>
      </c>
      <c r="AE44" s="17">
        <v>1</v>
      </c>
      <c r="AF44" s="17">
        <v>322</v>
      </c>
      <c r="AG44" s="17">
        <v>57.96</v>
      </c>
      <c r="AH44" s="17">
        <v>379.96</v>
      </c>
      <c r="AJ44" s="19" t="s">
        <v>162</v>
      </c>
      <c r="AK44" s="17">
        <v>1</v>
      </c>
      <c r="AL44" s="17">
        <v>322</v>
      </c>
      <c r="AM44" s="17">
        <v>57.96</v>
      </c>
      <c r="AN44" s="17">
        <v>379.96</v>
      </c>
    </row>
    <row r="45" spans="30:40">
      <c r="AD45" s="19" t="s">
        <v>486</v>
      </c>
      <c r="AE45" s="17">
        <v>1</v>
      </c>
      <c r="AF45" s="17">
        <v>322</v>
      </c>
      <c r="AG45" s="17">
        <v>57.96</v>
      </c>
      <c r="AH45" s="17">
        <v>379.96</v>
      </c>
      <c r="AJ45" s="19" t="s">
        <v>161</v>
      </c>
      <c r="AK45" s="17">
        <v>1</v>
      </c>
      <c r="AL45" s="17">
        <v>322</v>
      </c>
      <c r="AM45" s="17">
        <v>57.96</v>
      </c>
      <c r="AN45" s="17">
        <v>379.96</v>
      </c>
    </row>
    <row r="46" spans="30:40">
      <c r="AD46" s="19" t="s">
        <v>487</v>
      </c>
      <c r="AE46" s="17">
        <v>1</v>
      </c>
      <c r="AF46" s="17">
        <v>78.81</v>
      </c>
      <c r="AG46" s="17">
        <v>14.19</v>
      </c>
      <c r="AH46" s="17">
        <v>93</v>
      </c>
      <c r="AJ46" s="19" t="s">
        <v>160</v>
      </c>
      <c r="AK46" s="17">
        <v>1</v>
      </c>
      <c r="AL46" s="17">
        <v>78.81</v>
      </c>
      <c r="AM46" s="17">
        <v>14.19</v>
      </c>
      <c r="AN46" s="17">
        <v>93</v>
      </c>
    </row>
    <row r="47" spans="30:40">
      <c r="AD47" s="19" t="s">
        <v>488</v>
      </c>
      <c r="AE47" s="17">
        <v>1</v>
      </c>
      <c r="AF47" s="17">
        <v>76.27</v>
      </c>
      <c r="AG47" s="17">
        <v>13.73</v>
      </c>
      <c r="AH47" s="17">
        <v>90</v>
      </c>
      <c r="AJ47" s="19" t="s">
        <v>159</v>
      </c>
      <c r="AK47" s="17">
        <v>1</v>
      </c>
      <c r="AL47" s="17">
        <v>76.27</v>
      </c>
      <c r="AM47" s="17">
        <v>13.73</v>
      </c>
      <c r="AN47" s="17">
        <v>90</v>
      </c>
    </row>
    <row r="48" spans="30:40">
      <c r="AD48" s="19" t="s">
        <v>489</v>
      </c>
      <c r="AE48" s="17">
        <v>1</v>
      </c>
      <c r="AF48" s="17">
        <v>322</v>
      </c>
      <c r="AG48" s="17">
        <v>57.96</v>
      </c>
      <c r="AH48" s="17">
        <v>379.96</v>
      </c>
      <c r="AJ48" s="19" t="s">
        <v>158</v>
      </c>
      <c r="AK48" s="17">
        <v>1</v>
      </c>
      <c r="AL48" s="17">
        <v>322</v>
      </c>
      <c r="AM48" s="17">
        <v>57.96</v>
      </c>
      <c r="AN48" s="17">
        <v>379.96</v>
      </c>
    </row>
    <row r="49" spans="30:40">
      <c r="AD49" s="19" t="s">
        <v>490</v>
      </c>
      <c r="AE49" s="17">
        <v>1</v>
      </c>
      <c r="AF49" s="17">
        <v>322</v>
      </c>
      <c r="AG49" s="17">
        <v>57.96</v>
      </c>
      <c r="AH49" s="17">
        <v>379.96</v>
      </c>
      <c r="AJ49" s="19" t="s">
        <v>157</v>
      </c>
      <c r="AK49" s="17">
        <v>1</v>
      </c>
      <c r="AL49" s="17">
        <v>322</v>
      </c>
      <c r="AM49" s="17">
        <v>57.96</v>
      </c>
      <c r="AN49" s="17">
        <v>379.96</v>
      </c>
    </row>
    <row r="50" spans="30:40">
      <c r="AD50" s="19" t="s">
        <v>491</v>
      </c>
      <c r="AE50" s="17">
        <v>1</v>
      </c>
      <c r="AF50" s="17">
        <v>65.25</v>
      </c>
      <c r="AG50" s="17">
        <v>11.75</v>
      </c>
      <c r="AH50" s="17">
        <v>77</v>
      </c>
      <c r="AJ50" s="19" t="s">
        <v>156</v>
      </c>
      <c r="AK50" s="17">
        <v>1</v>
      </c>
      <c r="AL50" s="17">
        <v>65.25</v>
      </c>
      <c r="AM50" s="17">
        <v>11.75</v>
      </c>
      <c r="AN50" s="17">
        <v>77</v>
      </c>
    </row>
    <row r="51" spans="30:40">
      <c r="AD51" s="19" t="s">
        <v>492</v>
      </c>
      <c r="AE51" s="17">
        <v>1</v>
      </c>
      <c r="AF51" s="17">
        <v>65.25</v>
      </c>
      <c r="AG51" s="17">
        <v>11.75</v>
      </c>
      <c r="AH51" s="17">
        <v>77</v>
      </c>
      <c r="AJ51" s="19" t="s">
        <v>155</v>
      </c>
      <c r="AK51" s="17">
        <v>1</v>
      </c>
      <c r="AL51" s="17">
        <v>65.25</v>
      </c>
      <c r="AM51" s="17">
        <v>11.75</v>
      </c>
      <c r="AN51" s="17">
        <v>77</v>
      </c>
    </row>
    <row r="52" spans="30:40">
      <c r="AD52" s="19" t="s">
        <v>493</v>
      </c>
      <c r="AE52" s="17">
        <v>1</v>
      </c>
      <c r="AF52" s="17">
        <v>65.25</v>
      </c>
      <c r="AG52" s="17">
        <v>11.75</v>
      </c>
      <c r="AH52" s="17">
        <v>77</v>
      </c>
      <c r="AJ52" s="19" t="s">
        <v>154</v>
      </c>
      <c r="AK52" s="17">
        <v>1</v>
      </c>
      <c r="AL52" s="17">
        <v>65.25</v>
      </c>
      <c r="AM52" s="17">
        <v>11.75</v>
      </c>
      <c r="AN52" s="17">
        <v>77</v>
      </c>
    </row>
    <row r="53" spans="30:40">
      <c r="AD53" s="19" t="s">
        <v>494</v>
      </c>
      <c r="AE53" s="17">
        <v>1</v>
      </c>
      <c r="AF53" s="17">
        <v>65.25</v>
      </c>
      <c r="AG53" s="17">
        <v>11.75</v>
      </c>
      <c r="AH53" s="17">
        <v>77</v>
      </c>
      <c r="AJ53" s="19" t="s">
        <v>153</v>
      </c>
      <c r="AK53" s="17">
        <v>1</v>
      </c>
      <c r="AL53" s="17">
        <v>65.25</v>
      </c>
      <c r="AM53" s="17">
        <v>11.75</v>
      </c>
      <c r="AN53" s="17">
        <v>77</v>
      </c>
    </row>
    <row r="54" spans="30:40">
      <c r="AD54" s="19" t="s">
        <v>495</v>
      </c>
      <c r="AE54" s="17">
        <v>1</v>
      </c>
      <c r="AF54" s="17">
        <v>65.25</v>
      </c>
      <c r="AG54" s="17">
        <v>11.75</v>
      </c>
      <c r="AH54" s="17">
        <v>77</v>
      </c>
      <c r="AJ54" s="19" t="s">
        <v>152</v>
      </c>
      <c r="AK54" s="17">
        <v>1</v>
      </c>
      <c r="AL54" s="17">
        <v>65.25</v>
      </c>
      <c r="AM54" s="17">
        <v>11.75</v>
      </c>
      <c r="AN54" s="17">
        <v>77</v>
      </c>
    </row>
    <row r="55" spans="30:40">
      <c r="AD55" s="19" t="s">
        <v>496</v>
      </c>
      <c r="AE55" s="17">
        <v>1</v>
      </c>
      <c r="AF55" s="17">
        <v>104.24</v>
      </c>
      <c r="AG55" s="17">
        <v>18.760000000000002</v>
      </c>
      <c r="AH55" s="17">
        <v>123</v>
      </c>
      <c r="AJ55" s="19" t="s">
        <v>150</v>
      </c>
      <c r="AK55" s="17">
        <v>1</v>
      </c>
      <c r="AL55" s="17">
        <v>104.24</v>
      </c>
      <c r="AM55" s="17">
        <v>18.760000000000002</v>
      </c>
      <c r="AN55" s="17">
        <v>123</v>
      </c>
    </row>
    <row r="56" spans="30:40">
      <c r="AD56" s="19" t="s">
        <v>497</v>
      </c>
      <c r="AE56" s="17">
        <v>1</v>
      </c>
      <c r="AF56" s="17">
        <v>84.75</v>
      </c>
      <c r="AG56" s="17">
        <v>15.26</v>
      </c>
      <c r="AH56" s="17">
        <v>100.01</v>
      </c>
      <c r="AJ56" s="19" t="s">
        <v>149</v>
      </c>
      <c r="AK56" s="17">
        <v>1</v>
      </c>
      <c r="AL56" s="17">
        <v>84.75</v>
      </c>
      <c r="AM56" s="17">
        <v>15.26</v>
      </c>
      <c r="AN56" s="17">
        <v>100.01</v>
      </c>
    </row>
    <row r="57" spans="30:40">
      <c r="AD57" s="19" t="s">
        <v>498</v>
      </c>
      <c r="AE57" s="17">
        <v>1</v>
      </c>
      <c r="AF57" s="17">
        <v>110.17</v>
      </c>
      <c r="AG57" s="17">
        <v>19.829999999999998</v>
      </c>
      <c r="AH57" s="17">
        <v>130</v>
      </c>
      <c r="AJ57" s="19" t="s">
        <v>148</v>
      </c>
      <c r="AK57" s="17">
        <v>1</v>
      </c>
      <c r="AL57" s="17">
        <v>110.17</v>
      </c>
      <c r="AM57" s="17">
        <v>19.829999999999998</v>
      </c>
      <c r="AN57" s="17">
        <v>130</v>
      </c>
    </row>
    <row r="58" spans="30:40">
      <c r="AD58" s="19" t="s">
        <v>499</v>
      </c>
      <c r="AE58" s="17">
        <v>1</v>
      </c>
      <c r="AF58" s="17">
        <v>127.12</v>
      </c>
      <c r="AG58" s="17">
        <v>22.88</v>
      </c>
      <c r="AH58" s="17">
        <v>150</v>
      </c>
      <c r="AJ58" s="19" t="s">
        <v>25</v>
      </c>
      <c r="AK58" s="17">
        <v>1</v>
      </c>
      <c r="AL58" s="17">
        <v>127.12</v>
      </c>
      <c r="AM58" s="17">
        <v>22.88</v>
      </c>
      <c r="AN58" s="17">
        <v>150</v>
      </c>
    </row>
    <row r="59" spans="30:40">
      <c r="AD59" s="19" t="s">
        <v>500</v>
      </c>
      <c r="AE59" s="17">
        <v>1</v>
      </c>
      <c r="AF59" s="17">
        <v>93.22</v>
      </c>
      <c r="AG59" s="17">
        <v>16.78</v>
      </c>
      <c r="AH59" s="17">
        <v>110</v>
      </c>
      <c r="AJ59" s="19" t="s">
        <v>147</v>
      </c>
      <c r="AK59" s="17">
        <v>1</v>
      </c>
      <c r="AL59" s="17">
        <v>93.22</v>
      </c>
      <c r="AM59" s="17">
        <v>16.78</v>
      </c>
      <c r="AN59" s="17">
        <v>110</v>
      </c>
    </row>
    <row r="60" spans="30:40">
      <c r="AD60" s="19" t="s">
        <v>501</v>
      </c>
      <c r="AE60" s="17">
        <v>1</v>
      </c>
      <c r="AF60" s="17">
        <v>135.59</v>
      </c>
      <c r="AG60" s="17">
        <v>24.41</v>
      </c>
      <c r="AH60" s="17">
        <v>160</v>
      </c>
      <c r="AJ60" s="19" t="s">
        <v>146</v>
      </c>
      <c r="AK60" s="17">
        <v>1</v>
      </c>
      <c r="AL60" s="17">
        <v>135.59</v>
      </c>
      <c r="AM60" s="17">
        <v>24.41</v>
      </c>
      <c r="AN60" s="17">
        <v>160</v>
      </c>
    </row>
    <row r="61" spans="30:40">
      <c r="AD61" s="19" t="s">
        <v>502</v>
      </c>
      <c r="AE61" s="17">
        <v>1</v>
      </c>
      <c r="AF61" s="17">
        <v>110.17</v>
      </c>
      <c r="AG61" s="17">
        <v>19.829999999999998</v>
      </c>
      <c r="AH61" s="17">
        <v>130</v>
      </c>
      <c r="AJ61" s="19" t="s">
        <v>145</v>
      </c>
      <c r="AK61" s="17">
        <v>1</v>
      </c>
      <c r="AL61" s="17">
        <v>110.17</v>
      </c>
      <c r="AM61" s="17">
        <v>19.829999999999998</v>
      </c>
      <c r="AN61" s="17">
        <v>130</v>
      </c>
    </row>
    <row r="62" spans="30:40">
      <c r="AD62" s="19" t="s">
        <v>503</v>
      </c>
      <c r="AE62" s="17">
        <v>1</v>
      </c>
      <c r="AF62" s="17">
        <v>118.64</v>
      </c>
      <c r="AG62" s="17">
        <v>21.36</v>
      </c>
      <c r="AH62" s="17">
        <v>140</v>
      </c>
      <c r="AJ62" s="19" t="s">
        <v>144</v>
      </c>
      <c r="AK62" s="17">
        <v>1</v>
      </c>
      <c r="AL62" s="17">
        <v>118.64</v>
      </c>
      <c r="AM62" s="17">
        <v>21.36</v>
      </c>
      <c r="AN62" s="17">
        <v>140</v>
      </c>
    </row>
    <row r="63" spans="30:40">
      <c r="AD63" s="19" t="s">
        <v>504</v>
      </c>
      <c r="AE63" s="17">
        <v>1</v>
      </c>
      <c r="AF63" s="17">
        <v>65.25</v>
      </c>
      <c r="AG63" s="17">
        <v>11.75</v>
      </c>
      <c r="AH63" s="17">
        <v>77</v>
      </c>
      <c r="AJ63" s="19" t="s">
        <v>143</v>
      </c>
      <c r="AK63" s="17">
        <v>1</v>
      </c>
      <c r="AL63" s="17">
        <v>65.25</v>
      </c>
      <c r="AM63" s="17">
        <v>11.75</v>
      </c>
      <c r="AN63" s="17">
        <v>77</v>
      </c>
    </row>
    <row r="64" spans="30:40">
      <c r="AD64" s="19" t="s">
        <v>505</v>
      </c>
      <c r="AE64" s="17">
        <v>1</v>
      </c>
      <c r="AF64" s="17">
        <v>33.9</v>
      </c>
      <c r="AG64" s="17">
        <v>6.1</v>
      </c>
      <c r="AH64" s="17">
        <v>40</v>
      </c>
      <c r="AJ64" s="19" t="s">
        <v>142</v>
      </c>
      <c r="AK64" s="17">
        <v>1</v>
      </c>
      <c r="AL64" s="17">
        <v>33.9</v>
      </c>
      <c r="AM64" s="17">
        <v>6.1</v>
      </c>
      <c r="AN64" s="17">
        <v>40</v>
      </c>
    </row>
    <row r="65" spans="30:40">
      <c r="AD65" s="19" t="s">
        <v>506</v>
      </c>
      <c r="AE65" s="17">
        <v>1</v>
      </c>
      <c r="AF65" s="17">
        <v>74.58</v>
      </c>
      <c r="AG65" s="17">
        <v>13.42</v>
      </c>
      <c r="AH65" s="17">
        <v>88</v>
      </c>
      <c r="AJ65" s="19" t="s">
        <v>139</v>
      </c>
      <c r="AK65" s="17">
        <v>1</v>
      </c>
      <c r="AL65" s="17">
        <v>74.58</v>
      </c>
      <c r="AM65" s="17">
        <v>13.42</v>
      </c>
      <c r="AN65" s="17">
        <v>88</v>
      </c>
    </row>
    <row r="66" spans="30:40">
      <c r="AD66" s="19" t="s">
        <v>507</v>
      </c>
      <c r="AE66" s="17">
        <v>1</v>
      </c>
      <c r="AF66" s="17">
        <v>55.93</v>
      </c>
      <c r="AG66" s="17">
        <v>10.07</v>
      </c>
      <c r="AH66" s="17">
        <v>66</v>
      </c>
      <c r="AJ66" s="19" t="s">
        <v>138</v>
      </c>
      <c r="AK66" s="17">
        <v>1</v>
      </c>
      <c r="AL66" s="17">
        <v>55.93</v>
      </c>
      <c r="AM66" s="17">
        <v>10.07</v>
      </c>
      <c r="AN66" s="17">
        <v>66</v>
      </c>
    </row>
    <row r="67" spans="30:40">
      <c r="AD67" s="19" t="s">
        <v>508</v>
      </c>
      <c r="AE67" s="17">
        <v>1</v>
      </c>
      <c r="AF67" s="17">
        <v>84.75</v>
      </c>
      <c r="AG67" s="17">
        <v>15.26</v>
      </c>
      <c r="AH67" s="17">
        <v>100.01</v>
      </c>
      <c r="AJ67" s="19" t="s">
        <v>137</v>
      </c>
      <c r="AK67" s="17">
        <v>1</v>
      </c>
      <c r="AL67" s="17">
        <v>84.75</v>
      </c>
      <c r="AM67" s="17">
        <v>15.26</v>
      </c>
      <c r="AN67" s="17">
        <v>100.01</v>
      </c>
    </row>
    <row r="68" spans="30:40">
      <c r="AD68" s="19" t="s">
        <v>509</v>
      </c>
      <c r="AE68" s="17">
        <v>1</v>
      </c>
      <c r="AF68" s="17">
        <v>16.95</v>
      </c>
      <c r="AG68" s="17">
        <v>3.05</v>
      </c>
      <c r="AH68" s="17">
        <v>20</v>
      </c>
      <c r="AJ68" s="19" t="s">
        <v>136</v>
      </c>
      <c r="AK68" s="17">
        <v>1</v>
      </c>
      <c r="AL68" s="17">
        <v>16.95</v>
      </c>
      <c r="AM68" s="17">
        <v>3.05</v>
      </c>
      <c r="AN68" s="17">
        <v>20</v>
      </c>
    </row>
    <row r="69" spans="30:40">
      <c r="AD69" s="19" t="s">
        <v>510</v>
      </c>
      <c r="AE69" s="17">
        <v>1</v>
      </c>
      <c r="AF69" s="17">
        <v>33.9</v>
      </c>
      <c r="AG69" s="17">
        <v>6.1</v>
      </c>
      <c r="AH69" s="17">
        <v>40</v>
      </c>
      <c r="AJ69" s="19" t="s">
        <v>135</v>
      </c>
      <c r="AK69" s="17">
        <v>1</v>
      </c>
      <c r="AL69" s="17">
        <v>33.9</v>
      </c>
      <c r="AM69" s="17">
        <v>6.1</v>
      </c>
      <c r="AN69" s="17">
        <v>40</v>
      </c>
    </row>
    <row r="70" spans="30:40">
      <c r="AD70" s="19" t="s">
        <v>511</v>
      </c>
      <c r="AE70" s="17">
        <v>1</v>
      </c>
      <c r="AF70" s="17">
        <v>101.69</v>
      </c>
      <c r="AG70" s="17">
        <v>18.3</v>
      </c>
      <c r="AH70" s="17">
        <v>119.99</v>
      </c>
      <c r="AJ70" s="19" t="s">
        <v>134</v>
      </c>
      <c r="AK70" s="17">
        <v>1</v>
      </c>
      <c r="AL70" s="17">
        <v>101.69</v>
      </c>
      <c r="AM70" s="17">
        <v>18.3</v>
      </c>
      <c r="AN70" s="17">
        <v>119.99</v>
      </c>
    </row>
    <row r="71" spans="30:40">
      <c r="AD71" s="19" t="s">
        <v>512</v>
      </c>
      <c r="AE71" s="17">
        <v>1</v>
      </c>
      <c r="AF71" s="17">
        <v>127.12</v>
      </c>
      <c r="AG71" s="17">
        <v>22.88</v>
      </c>
      <c r="AH71" s="17">
        <v>150</v>
      </c>
      <c r="AJ71" s="19" t="s">
        <v>133</v>
      </c>
      <c r="AK71" s="17">
        <v>1</v>
      </c>
      <c r="AL71" s="17">
        <v>127.12</v>
      </c>
      <c r="AM71" s="17">
        <v>22.88</v>
      </c>
      <c r="AN71" s="17">
        <v>150</v>
      </c>
    </row>
    <row r="72" spans="30:40">
      <c r="AD72" s="19" t="s">
        <v>513</v>
      </c>
      <c r="AE72" s="17">
        <v>1</v>
      </c>
      <c r="AF72" s="17">
        <v>169.49</v>
      </c>
      <c r="AG72" s="17">
        <v>30.51</v>
      </c>
      <c r="AH72" s="17">
        <v>200</v>
      </c>
      <c r="AJ72" s="19" t="s">
        <v>132</v>
      </c>
      <c r="AK72" s="17">
        <v>1</v>
      </c>
      <c r="AL72" s="17">
        <v>169.49</v>
      </c>
      <c r="AM72" s="17">
        <v>30.51</v>
      </c>
      <c r="AN72" s="17">
        <v>200</v>
      </c>
    </row>
    <row r="73" spans="30:40">
      <c r="AD73" s="19" t="s">
        <v>514</v>
      </c>
      <c r="AE73" s="17">
        <v>1</v>
      </c>
      <c r="AF73" s="17">
        <v>74.58</v>
      </c>
      <c r="AG73" s="17">
        <v>13.42</v>
      </c>
      <c r="AH73" s="17">
        <v>88</v>
      </c>
      <c r="AJ73" s="19" t="s">
        <v>131</v>
      </c>
      <c r="AK73" s="17">
        <v>1</v>
      </c>
      <c r="AL73" s="17">
        <v>74.58</v>
      </c>
      <c r="AM73" s="17">
        <v>13.42</v>
      </c>
      <c r="AN73" s="17">
        <v>88</v>
      </c>
    </row>
    <row r="74" spans="30:40">
      <c r="AD74" s="19" t="s">
        <v>515</v>
      </c>
      <c r="AE74" s="17">
        <v>1</v>
      </c>
      <c r="AF74" s="17">
        <v>33.9</v>
      </c>
      <c r="AG74" s="17">
        <v>6.1</v>
      </c>
      <c r="AH74" s="17">
        <v>40</v>
      </c>
      <c r="AJ74" s="19" t="s">
        <v>130</v>
      </c>
      <c r="AK74" s="17">
        <v>1</v>
      </c>
      <c r="AL74" s="17">
        <v>33.9</v>
      </c>
      <c r="AM74" s="17">
        <v>6.1</v>
      </c>
      <c r="AN74" s="17">
        <v>40</v>
      </c>
    </row>
    <row r="75" spans="30:40">
      <c r="AD75" s="19" t="s">
        <v>516</v>
      </c>
      <c r="AE75" s="17">
        <v>1</v>
      </c>
      <c r="AF75" s="17">
        <v>50.85</v>
      </c>
      <c r="AG75" s="17">
        <v>9.15</v>
      </c>
      <c r="AH75" s="17">
        <v>60</v>
      </c>
      <c r="AJ75" s="19" t="s">
        <v>129</v>
      </c>
      <c r="AK75" s="17">
        <v>1</v>
      </c>
      <c r="AL75" s="17">
        <v>50.85</v>
      </c>
      <c r="AM75" s="17">
        <v>9.15</v>
      </c>
      <c r="AN75" s="17">
        <v>60</v>
      </c>
    </row>
    <row r="76" spans="30:40">
      <c r="AD76" s="19" t="s">
        <v>517</v>
      </c>
      <c r="AE76" s="17">
        <v>1</v>
      </c>
      <c r="AF76" s="17">
        <v>67.8</v>
      </c>
      <c r="AG76" s="17">
        <v>12.2</v>
      </c>
      <c r="AH76" s="17">
        <v>80</v>
      </c>
      <c r="AJ76" s="19" t="s">
        <v>128</v>
      </c>
      <c r="AK76" s="17">
        <v>1</v>
      </c>
      <c r="AL76" s="17">
        <v>67.8</v>
      </c>
      <c r="AM76" s="17">
        <v>12.2</v>
      </c>
      <c r="AN76" s="17">
        <v>80</v>
      </c>
    </row>
    <row r="77" spans="30:40">
      <c r="AD77" s="19" t="s">
        <v>518</v>
      </c>
      <c r="AE77" s="17">
        <v>1</v>
      </c>
      <c r="AF77" s="17">
        <v>76.27</v>
      </c>
      <c r="AG77" s="17">
        <v>13.73</v>
      </c>
      <c r="AH77" s="17">
        <v>90</v>
      </c>
      <c r="AJ77" s="19" t="s">
        <v>127</v>
      </c>
      <c r="AK77" s="17">
        <v>1</v>
      </c>
      <c r="AL77" s="17">
        <v>76.27</v>
      </c>
      <c r="AM77" s="17">
        <v>13.73</v>
      </c>
      <c r="AN77" s="17">
        <v>90</v>
      </c>
    </row>
    <row r="78" spans="30:40">
      <c r="AD78" s="19" t="s">
        <v>519</v>
      </c>
      <c r="AE78" s="17">
        <v>1</v>
      </c>
      <c r="AF78" s="17">
        <v>55.93</v>
      </c>
      <c r="AG78" s="17">
        <v>10.07</v>
      </c>
      <c r="AH78" s="17">
        <v>66</v>
      </c>
      <c r="AJ78" s="19" t="s">
        <v>126</v>
      </c>
      <c r="AK78" s="17">
        <v>1</v>
      </c>
      <c r="AL78" s="17">
        <v>55.93</v>
      </c>
      <c r="AM78" s="17">
        <v>10.07</v>
      </c>
      <c r="AN78" s="17">
        <v>66</v>
      </c>
    </row>
    <row r="79" spans="30:40">
      <c r="AD79" s="19" t="s">
        <v>520</v>
      </c>
      <c r="AE79" s="17">
        <v>1</v>
      </c>
      <c r="AF79" s="17">
        <v>67.8</v>
      </c>
      <c r="AG79" s="17">
        <v>12.2</v>
      </c>
      <c r="AH79" s="17">
        <v>80</v>
      </c>
      <c r="AJ79" s="19" t="s">
        <v>125</v>
      </c>
      <c r="AK79" s="17">
        <v>1</v>
      </c>
      <c r="AL79" s="17">
        <v>67.8</v>
      </c>
      <c r="AM79" s="17">
        <v>12.2</v>
      </c>
      <c r="AN79" s="17">
        <v>80</v>
      </c>
    </row>
    <row r="80" spans="30:40">
      <c r="AD80" s="19" t="s">
        <v>521</v>
      </c>
      <c r="AE80" s="17">
        <v>1</v>
      </c>
      <c r="AF80" s="17">
        <v>47.46</v>
      </c>
      <c r="AG80" s="17">
        <v>8.5399999999999991</v>
      </c>
      <c r="AH80" s="17">
        <v>56</v>
      </c>
      <c r="AJ80" s="19" t="s">
        <v>124</v>
      </c>
      <c r="AK80" s="17">
        <v>1</v>
      </c>
      <c r="AL80" s="17">
        <v>47.46</v>
      </c>
      <c r="AM80" s="17">
        <v>8.5399999999999991</v>
      </c>
      <c r="AN80" s="17">
        <v>56</v>
      </c>
    </row>
    <row r="81" spans="30:40">
      <c r="AD81" s="19" t="s">
        <v>522</v>
      </c>
      <c r="AE81" s="17">
        <v>1</v>
      </c>
      <c r="AF81" s="17">
        <v>50.85</v>
      </c>
      <c r="AG81" s="17">
        <v>9.15</v>
      </c>
      <c r="AH81" s="17">
        <v>60</v>
      </c>
      <c r="AJ81" s="19" t="s">
        <v>113</v>
      </c>
      <c r="AK81" s="17">
        <v>1</v>
      </c>
      <c r="AL81" s="17">
        <v>50.85</v>
      </c>
      <c r="AM81" s="17">
        <v>9.15</v>
      </c>
      <c r="AN81" s="17">
        <v>60</v>
      </c>
    </row>
    <row r="82" spans="30:40">
      <c r="AD82" s="19" t="s">
        <v>523</v>
      </c>
      <c r="AE82" s="17">
        <v>1</v>
      </c>
      <c r="AF82" s="17">
        <v>1355.93</v>
      </c>
      <c r="AG82" s="17">
        <v>244.07</v>
      </c>
      <c r="AH82" s="17">
        <v>1600</v>
      </c>
      <c r="AJ82" s="19" t="s">
        <v>111</v>
      </c>
      <c r="AK82" s="17">
        <v>1</v>
      </c>
      <c r="AL82" s="17">
        <v>1355.93</v>
      </c>
      <c r="AM82" s="17">
        <v>244.07</v>
      </c>
      <c r="AN82" s="17">
        <v>1600</v>
      </c>
    </row>
    <row r="83" spans="30:40">
      <c r="AD83" s="24" t="s">
        <v>524</v>
      </c>
      <c r="AE83" s="25">
        <v>1</v>
      </c>
      <c r="AF83" s="25">
        <v>107.37</v>
      </c>
      <c r="AG83" s="25">
        <v>19.329999999999998</v>
      </c>
      <c r="AH83" s="25">
        <v>126.7</v>
      </c>
      <c r="AJ83" s="19" t="s">
        <v>57</v>
      </c>
    </row>
    <row r="84" spans="30:40">
      <c r="AD84" s="24" t="s">
        <v>525</v>
      </c>
      <c r="AE84" s="25">
        <v>1</v>
      </c>
      <c r="AF84" s="25">
        <v>400</v>
      </c>
      <c r="AG84" s="25">
        <v>72</v>
      </c>
      <c r="AH84" s="25">
        <v>472</v>
      </c>
      <c r="AJ84" s="19" t="s">
        <v>56</v>
      </c>
      <c r="AK84" s="17">
        <v>83</v>
      </c>
      <c r="AL84" s="17">
        <v>24708.71000000001</v>
      </c>
      <c r="AM84" s="17">
        <v>4447.5800000000008</v>
      </c>
      <c r="AN84" s="17">
        <v>29156.28999999999</v>
      </c>
    </row>
    <row r="85" spans="30:40">
      <c r="AD85" s="24" t="s">
        <v>526</v>
      </c>
      <c r="AE85" s="25">
        <v>1</v>
      </c>
      <c r="AF85" s="25">
        <v>1241</v>
      </c>
      <c r="AG85" s="25">
        <v>223.38</v>
      </c>
      <c r="AH85" s="25">
        <v>1464.38</v>
      </c>
    </row>
    <row r="86" spans="30:40">
      <c r="AD86" s="19" t="s">
        <v>56</v>
      </c>
      <c r="AE86" s="17">
        <v>83</v>
      </c>
      <c r="AF86" s="17">
        <v>24398.54</v>
      </c>
      <c r="AG86" s="17">
        <v>4391.7500000000027</v>
      </c>
      <c r="AH86" s="17">
        <v>28790.28999999999</v>
      </c>
    </row>
    <row r="87" spans="30:40" ht="15">
      <c r="AD87"/>
      <c r="AE87"/>
      <c r="AF87"/>
      <c r="AG87"/>
      <c r="AH87"/>
    </row>
    <row r="88" spans="30:40" ht="15">
      <c r="AD88"/>
      <c r="AE88"/>
      <c r="AF88"/>
      <c r="AG88"/>
      <c r="AH88"/>
    </row>
    <row r="89" spans="30:40" ht="15">
      <c r="AD89"/>
      <c r="AE89"/>
      <c r="AF89"/>
      <c r="AG89"/>
      <c r="AH89"/>
    </row>
    <row r="90" spans="30:40" ht="15">
      <c r="AD90"/>
      <c r="AE90"/>
      <c r="AF90"/>
      <c r="AG90"/>
      <c r="AH90"/>
    </row>
  </sheetData>
  <pageMargins left="0.7" right="0.7" top="0.75" bottom="0.75" header="0.3" footer="0.3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J18"/>
  <sheetViews>
    <sheetView workbookViewId="0">
      <selection activeCell="G4" sqref="G4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10">
      <c r="A1" s="6" t="s">
        <v>51</v>
      </c>
      <c r="B1" s="6" t="s">
        <v>52</v>
      </c>
    </row>
    <row r="2" spans="1:10">
      <c r="A2" s="6" t="s">
        <v>53</v>
      </c>
      <c r="B2" s="6">
        <v>11</v>
      </c>
    </row>
    <row r="3" spans="1:10">
      <c r="A3" s="6" t="s">
        <v>54</v>
      </c>
      <c r="B3" s="6">
        <v>11</v>
      </c>
      <c r="E3" s="9" t="s">
        <v>7</v>
      </c>
      <c r="F3" s="9" t="s">
        <v>69</v>
      </c>
      <c r="G3" s="9" t="s">
        <v>70</v>
      </c>
      <c r="H3" s="9" t="s">
        <v>71</v>
      </c>
      <c r="I3" s="9" t="s">
        <v>72</v>
      </c>
      <c r="J3" s="15" t="s">
        <v>216</v>
      </c>
    </row>
    <row r="4" spans="1:10">
      <c r="E4" s="10" t="s">
        <v>73</v>
      </c>
      <c r="F4" s="10" t="s">
        <v>74</v>
      </c>
      <c r="G4" s="10" t="s">
        <v>75</v>
      </c>
      <c r="H4" s="10" t="s">
        <v>76</v>
      </c>
      <c r="I4" s="10" t="s">
        <v>104</v>
      </c>
      <c r="J4" s="10"/>
    </row>
    <row r="5" spans="1:10">
      <c r="E5" s="10" t="s">
        <v>73</v>
      </c>
      <c r="F5" s="10" t="s">
        <v>77</v>
      </c>
      <c r="G5" s="10" t="s">
        <v>78</v>
      </c>
      <c r="H5" s="10" t="s">
        <v>76</v>
      </c>
      <c r="I5" s="10" t="s">
        <v>104</v>
      </c>
      <c r="J5" s="10"/>
    </row>
    <row r="6" spans="1:10">
      <c r="E6" s="10" t="s">
        <v>73</v>
      </c>
      <c r="F6" s="10" t="s">
        <v>79</v>
      </c>
      <c r="G6" s="10" t="s">
        <v>109</v>
      </c>
      <c r="H6" s="10" t="s">
        <v>76</v>
      </c>
      <c r="I6" s="10" t="s">
        <v>104</v>
      </c>
      <c r="J6" s="10"/>
    </row>
    <row r="7" spans="1:10">
      <c r="E7" s="10" t="s">
        <v>73</v>
      </c>
      <c r="F7" s="10" t="s">
        <v>80</v>
      </c>
      <c r="G7" s="11" t="s">
        <v>81</v>
      </c>
      <c r="H7" s="10" t="s">
        <v>76</v>
      </c>
      <c r="I7" s="10" t="s">
        <v>104</v>
      </c>
      <c r="J7" s="10"/>
    </row>
    <row r="8" spans="1:10">
      <c r="E8" s="10" t="s">
        <v>82</v>
      </c>
      <c r="F8" s="10" t="s">
        <v>74</v>
      </c>
      <c r="G8" s="10" t="s">
        <v>83</v>
      </c>
      <c r="H8" s="10" t="s">
        <v>76</v>
      </c>
      <c r="I8" s="10" t="s">
        <v>104</v>
      </c>
      <c r="J8" s="10"/>
    </row>
    <row r="9" spans="1:10">
      <c r="E9" s="10" t="s">
        <v>82</v>
      </c>
      <c r="F9" s="10" t="s">
        <v>77</v>
      </c>
      <c r="G9" s="10" t="s">
        <v>84</v>
      </c>
      <c r="H9" s="10" t="s">
        <v>76</v>
      </c>
      <c r="I9" s="10" t="s">
        <v>104</v>
      </c>
      <c r="J9" s="10"/>
    </row>
    <row r="10" spans="1:10">
      <c r="E10" s="12" t="s">
        <v>85</v>
      </c>
      <c r="F10" s="12" t="s">
        <v>86</v>
      </c>
      <c r="G10" s="12" t="s">
        <v>87</v>
      </c>
      <c r="H10" s="12" t="s">
        <v>88</v>
      </c>
      <c r="I10" s="12" t="s">
        <v>104</v>
      </c>
      <c r="J10" s="12"/>
    </row>
    <row r="11" spans="1:10">
      <c r="E11" s="12" t="s">
        <v>85</v>
      </c>
      <c r="F11" s="12" t="s">
        <v>89</v>
      </c>
      <c r="G11" s="12" t="s">
        <v>90</v>
      </c>
      <c r="H11" s="12" t="s">
        <v>88</v>
      </c>
      <c r="I11" s="12" t="s">
        <v>104</v>
      </c>
      <c r="J11" s="12"/>
    </row>
    <row r="12" spans="1:10">
      <c r="E12" s="12" t="s">
        <v>85</v>
      </c>
      <c r="F12" s="12" t="s">
        <v>91</v>
      </c>
      <c r="G12" s="12" t="s">
        <v>92</v>
      </c>
      <c r="H12" s="12" t="s">
        <v>88</v>
      </c>
      <c r="I12" s="12" t="s">
        <v>104</v>
      </c>
      <c r="J12" s="12"/>
    </row>
    <row r="13" spans="1:10">
      <c r="E13" s="12" t="s">
        <v>85</v>
      </c>
      <c r="F13" s="12" t="s">
        <v>93</v>
      </c>
      <c r="G13" s="12" t="s">
        <v>94</v>
      </c>
      <c r="H13" s="12" t="s">
        <v>88</v>
      </c>
      <c r="I13" s="12" t="s">
        <v>104</v>
      </c>
      <c r="J13" s="12"/>
    </row>
    <row r="14" spans="1:10">
      <c r="E14" s="13" t="s">
        <v>95</v>
      </c>
      <c r="F14" s="13" t="s">
        <v>91</v>
      </c>
      <c r="G14" s="13" t="s">
        <v>96</v>
      </c>
      <c r="H14" s="13" t="s">
        <v>97</v>
      </c>
      <c r="I14" s="13" t="s">
        <v>104</v>
      </c>
      <c r="J14" s="13"/>
    </row>
    <row r="15" spans="1:10">
      <c r="E15" s="13" t="s">
        <v>95</v>
      </c>
      <c r="F15" s="13" t="s">
        <v>98</v>
      </c>
      <c r="G15" s="13" t="s">
        <v>99</v>
      </c>
      <c r="H15" s="13" t="s">
        <v>97</v>
      </c>
      <c r="I15" s="13" t="s">
        <v>104</v>
      </c>
      <c r="J15" s="13"/>
    </row>
    <row r="16" spans="1:10">
      <c r="E16" s="14" t="s">
        <v>100</v>
      </c>
      <c r="F16" s="14" t="s">
        <v>101</v>
      </c>
      <c r="G16" s="14" t="s">
        <v>102</v>
      </c>
      <c r="H16" s="14" t="s">
        <v>103</v>
      </c>
      <c r="I16" s="14" t="s">
        <v>104</v>
      </c>
      <c r="J16" s="14"/>
    </row>
    <row r="17" spans="5:10">
      <c r="E17" s="14" t="s">
        <v>100</v>
      </c>
      <c r="F17" s="14" t="s">
        <v>105</v>
      </c>
      <c r="G17" s="14" t="s">
        <v>106</v>
      </c>
      <c r="H17" s="14" t="s">
        <v>103</v>
      </c>
      <c r="I17" s="14" t="s">
        <v>104</v>
      </c>
      <c r="J17" s="14"/>
    </row>
    <row r="18" spans="5:10">
      <c r="E18" s="14" t="s">
        <v>100</v>
      </c>
      <c r="F18" s="14" t="s">
        <v>107</v>
      </c>
      <c r="G18" s="14" t="s">
        <v>108</v>
      </c>
      <c r="H18" s="14" t="s">
        <v>103</v>
      </c>
      <c r="I18" s="14" t="s">
        <v>104</v>
      </c>
      <c r="J18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A6D8-82E0-4000-931F-C336E7CCE87F}">
  <dimension ref="A1:AR5"/>
  <sheetViews>
    <sheetView workbookViewId="0">
      <selection activeCell="B4" sqref="B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19.7109375" bestFit="1" customWidth="1"/>
    <col min="4" max="4" width="18.85546875" bestFit="1" customWidth="1"/>
    <col min="5" max="5" width="17.5703125" bestFit="1" customWidth="1"/>
    <col min="6" max="6" width="16.140625" bestFit="1" customWidth="1"/>
    <col min="7" max="7" width="18" bestFit="1" customWidth="1"/>
    <col min="8" max="8" width="16.7109375" bestFit="1" customWidth="1"/>
    <col min="9" max="9" width="255.7109375" bestFit="1" customWidth="1"/>
    <col min="10" max="10" width="23.140625" bestFit="1" customWidth="1"/>
    <col min="11" max="11" width="16.140625" bestFit="1" customWidth="1"/>
    <col min="12" max="12" width="19" bestFit="1" customWidth="1"/>
    <col min="13" max="13" width="14.140625" bestFit="1" customWidth="1"/>
    <col min="14" max="14" width="17.28515625" bestFit="1" customWidth="1"/>
    <col min="15" max="15" width="16" bestFit="1" customWidth="1"/>
    <col min="16" max="16" width="18.85546875" bestFit="1" customWidth="1"/>
    <col min="17" max="17" width="23" bestFit="1" customWidth="1"/>
    <col min="18" max="18" width="26.7109375" bestFit="1" customWidth="1"/>
    <col min="19" max="19" width="25.42578125" bestFit="1" customWidth="1"/>
    <col min="20" max="20" width="15.5703125" bestFit="1" customWidth="1"/>
    <col min="21" max="21" width="20.5703125" bestFit="1" customWidth="1"/>
    <col min="22" max="22" width="21.7109375" bestFit="1" customWidth="1"/>
    <col min="23" max="23" width="17.28515625" bestFit="1" customWidth="1"/>
    <col min="24" max="24" width="15.28515625" bestFit="1" customWidth="1"/>
    <col min="25" max="25" width="24.7109375" bestFit="1" customWidth="1"/>
    <col min="26" max="26" width="11.5703125" bestFit="1" customWidth="1"/>
    <col min="27" max="27" width="12.140625" bestFit="1" customWidth="1"/>
    <col min="28" max="28" width="15.28515625" bestFit="1" customWidth="1"/>
    <col min="29" max="29" width="22.42578125" bestFit="1" customWidth="1"/>
    <col min="30" max="30" width="16.7109375" bestFit="1" customWidth="1"/>
    <col min="31" max="31" width="22.140625" bestFit="1" customWidth="1"/>
    <col min="32" max="32" width="19.42578125" bestFit="1" customWidth="1"/>
    <col min="33" max="33" width="21.7109375" bestFit="1" customWidth="1"/>
    <col min="34" max="34" width="25.42578125" bestFit="1" customWidth="1"/>
    <col min="35" max="35" width="27.7109375" bestFit="1" customWidth="1"/>
    <col min="36" max="36" width="154.42578125" bestFit="1" customWidth="1"/>
    <col min="37" max="37" width="24.140625" bestFit="1" customWidth="1"/>
    <col min="38" max="38" width="42.7109375" bestFit="1" customWidth="1"/>
    <col min="39" max="39" width="35" bestFit="1" customWidth="1"/>
    <col min="40" max="40" width="35.140625" bestFit="1" customWidth="1"/>
    <col min="41" max="41" width="28.28515625" bestFit="1" customWidth="1"/>
    <col min="42" max="42" width="30.7109375" bestFit="1" customWidth="1"/>
    <col min="43" max="43" width="30.28515625" bestFit="1" customWidth="1"/>
    <col min="44" max="44" width="24" bestFit="1" customWidth="1"/>
  </cols>
  <sheetData>
    <row r="1" spans="1:44">
      <c r="A1" s="1" t="s">
        <v>527</v>
      </c>
    </row>
    <row r="3" spans="1:44">
      <c r="A3" t="s">
        <v>223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  <c r="R3" t="s">
        <v>240</v>
      </c>
      <c r="S3" t="s">
        <v>241</v>
      </c>
      <c r="T3" t="s">
        <v>242</v>
      </c>
      <c r="U3" t="s">
        <v>243</v>
      </c>
      <c r="V3" t="s">
        <v>244</v>
      </c>
      <c r="W3" t="s">
        <v>245</v>
      </c>
      <c r="X3" t="s">
        <v>246</v>
      </c>
      <c r="Y3" t="s">
        <v>247</v>
      </c>
      <c r="Z3" t="s">
        <v>248</v>
      </c>
      <c r="AA3" t="s">
        <v>249</v>
      </c>
      <c r="AB3" t="s">
        <v>250</v>
      </c>
      <c r="AC3" t="s">
        <v>251</v>
      </c>
      <c r="AD3" t="s">
        <v>252</v>
      </c>
      <c r="AE3" t="s">
        <v>253</v>
      </c>
      <c r="AF3" t="s">
        <v>254</v>
      </c>
      <c r="AG3" t="s">
        <v>255</v>
      </c>
      <c r="AH3" t="s">
        <v>256</v>
      </c>
      <c r="AI3" t="s">
        <v>257</v>
      </c>
      <c r="AJ3" t="s">
        <v>258</v>
      </c>
      <c r="AK3" t="s">
        <v>259</v>
      </c>
      <c r="AL3" t="s">
        <v>260</v>
      </c>
      <c r="AM3" t="s">
        <v>261</v>
      </c>
      <c r="AN3" t="s">
        <v>262</v>
      </c>
      <c r="AO3" t="s">
        <v>263</v>
      </c>
      <c r="AP3" t="s">
        <v>264</v>
      </c>
      <c r="AQ3" t="s">
        <v>265</v>
      </c>
      <c r="AR3" t="s">
        <v>444</v>
      </c>
    </row>
    <row r="4" spans="1:44">
      <c r="A4" t="s">
        <v>277</v>
      </c>
      <c r="B4" t="s">
        <v>278</v>
      </c>
      <c r="C4" s="8">
        <v>45919</v>
      </c>
      <c r="D4" s="22">
        <v>45932.448761574073</v>
      </c>
      <c r="E4" t="s">
        <v>37</v>
      </c>
      <c r="G4">
        <v>6</v>
      </c>
      <c r="H4">
        <v>20609168961</v>
      </c>
      <c r="I4" t="s">
        <v>279</v>
      </c>
      <c r="J4" s="8">
        <v>45919</v>
      </c>
      <c r="P4">
        <v>2</v>
      </c>
      <c r="Q4">
        <v>228</v>
      </c>
      <c r="R4" t="s">
        <v>285</v>
      </c>
      <c r="S4" t="s">
        <v>281</v>
      </c>
      <c r="T4">
        <v>2</v>
      </c>
      <c r="U4">
        <v>1000</v>
      </c>
      <c r="V4">
        <v>1180</v>
      </c>
      <c r="X4">
        <v>2000</v>
      </c>
      <c r="Y4">
        <v>18</v>
      </c>
      <c r="Z4">
        <v>360</v>
      </c>
      <c r="AA4">
        <v>2360</v>
      </c>
      <c r="AB4">
        <v>1</v>
      </c>
      <c r="AD4" t="s">
        <v>270</v>
      </c>
      <c r="AE4" t="s">
        <v>271</v>
      </c>
      <c r="AF4">
        <v>2</v>
      </c>
      <c r="AG4" t="s">
        <v>28</v>
      </c>
      <c r="AH4">
        <v>101</v>
      </c>
      <c r="AI4" t="s">
        <v>282</v>
      </c>
      <c r="AJ4" t="s">
        <v>283</v>
      </c>
      <c r="AK4">
        <v>2</v>
      </c>
      <c r="AL4" t="s">
        <v>284</v>
      </c>
      <c r="AM4" s="8">
        <v>44204</v>
      </c>
      <c r="AN4" s="8">
        <v>44204</v>
      </c>
      <c r="AP4" t="s">
        <v>37</v>
      </c>
      <c r="AR4" t="s">
        <v>464</v>
      </c>
    </row>
    <row r="5" spans="1:44">
      <c r="A5" t="s">
        <v>277</v>
      </c>
      <c r="B5" t="s">
        <v>278</v>
      </c>
      <c r="C5" s="8">
        <v>45919</v>
      </c>
      <c r="D5" s="22">
        <v>45932.448761574073</v>
      </c>
      <c r="E5" t="s">
        <v>37</v>
      </c>
      <c r="G5">
        <v>6</v>
      </c>
      <c r="H5">
        <v>20609168961</v>
      </c>
      <c r="I5" t="s">
        <v>279</v>
      </c>
      <c r="J5" s="8">
        <v>45919</v>
      </c>
      <c r="P5">
        <v>1</v>
      </c>
      <c r="Q5">
        <v>232</v>
      </c>
      <c r="R5" t="s">
        <v>280</v>
      </c>
      <c r="S5" t="s">
        <v>281</v>
      </c>
      <c r="T5">
        <v>2</v>
      </c>
      <c r="U5">
        <v>1000</v>
      </c>
      <c r="V5">
        <v>1180</v>
      </c>
      <c r="X5">
        <v>2000</v>
      </c>
      <c r="Y5">
        <v>18</v>
      </c>
      <c r="Z5">
        <v>360</v>
      </c>
      <c r="AA5">
        <v>2360</v>
      </c>
      <c r="AB5">
        <v>1</v>
      </c>
      <c r="AD5" t="s">
        <v>270</v>
      </c>
      <c r="AE5" t="s">
        <v>271</v>
      </c>
      <c r="AF5">
        <v>2</v>
      </c>
      <c r="AG5" t="s">
        <v>28</v>
      </c>
      <c r="AH5">
        <v>101</v>
      </c>
      <c r="AI5" t="s">
        <v>282</v>
      </c>
      <c r="AJ5" t="s">
        <v>283</v>
      </c>
      <c r="AK5">
        <v>2</v>
      </c>
      <c r="AL5" t="s">
        <v>284</v>
      </c>
      <c r="AM5" s="8">
        <v>44204</v>
      </c>
      <c r="AN5" s="8">
        <v>44204</v>
      </c>
      <c r="AP5" t="s">
        <v>37</v>
      </c>
      <c r="AR5" t="s">
        <v>464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C186-089A-4780-8AFB-9C5BD27B8718}">
  <dimension ref="A1:B26"/>
  <sheetViews>
    <sheetView workbookViewId="0">
      <selection activeCell="A3" sqref="A3"/>
    </sheetView>
  </sheetViews>
  <sheetFormatPr baseColWidth="10" defaultRowHeight="15"/>
  <cols>
    <col min="1" max="2" width="40.28515625" bestFit="1" customWidth="1"/>
  </cols>
  <sheetData>
    <row r="1" spans="1:2">
      <c r="A1" s="1" t="s">
        <v>0</v>
      </c>
      <c r="B1" s="4" t="s">
        <v>0</v>
      </c>
    </row>
    <row r="2" spans="1:2">
      <c r="A2" s="1" t="s">
        <v>1</v>
      </c>
      <c r="B2" s="4" t="s">
        <v>1</v>
      </c>
    </row>
    <row r="3" spans="1:2">
      <c r="A3" s="1" t="s">
        <v>110</v>
      </c>
      <c r="B3" s="1" t="s">
        <v>2</v>
      </c>
    </row>
    <row r="4" spans="1:2">
      <c r="A4" s="1" t="s">
        <v>2</v>
      </c>
      <c r="B4" s="4" t="s">
        <v>3</v>
      </c>
    </row>
    <row r="5" spans="1:2">
      <c r="A5" s="1" t="s">
        <v>3</v>
      </c>
      <c r="B5" s="4" t="s">
        <v>4</v>
      </c>
    </row>
    <row r="6" spans="1:2">
      <c r="A6" s="1" t="s">
        <v>4</v>
      </c>
      <c r="B6" s="1" t="s">
        <v>5</v>
      </c>
    </row>
    <row r="7" spans="1:2">
      <c r="A7" s="1" t="s">
        <v>5</v>
      </c>
      <c r="B7" s="1" t="s">
        <v>6</v>
      </c>
    </row>
    <row r="8" spans="1:2">
      <c r="A8" s="1" t="s">
        <v>6</v>
      </c>
      <c r="B8" s="1" t="s">
        <v>7</v>
      </c>
    </row>
    <row r="9" spans="1:2">
      <c r="A9" s="1" t="s">
        <v>7</v>
      </c>
      <c r="B9" s="1" t="s">
        <v>8</v>
      </c>
    </row>
    <row r="10" spans="1:2">
      <c r="A10" s="1" t="s">
        <v>8</v>
      </c>
      <c r="B10" s="4" t="s">
        <v>9</v>
      </c>
    </row>
    <row r="11" spans="1:2">
      <c r="A11" s="1" t="s">
        <v>9</v>
      </c>
      <c r="B11" s="1" t="s">
        <v>10</v>
      </c>
    </row>
    <row r="12" spans="1:2">
      <c r="A12" s="1" t="s">
        <v>10</v>
      </c>
      <c r="B12" s="1" t="s">
        <v>11</v>
      </c>
    </row>
    <row r="13" spans="1:2">
      <c r="A13" s="1" t="s">
        <v>11</v>
      </c>
      <c r="B13" s="4" t="s">
        <v>12</v>
      </c>
    </row>
    <row r="14" spans="1:2">
      <c r="A14" s="1" t="s">
        <v>12</v>
      </c>
      <c r="B14" s="4" t="s">
        <v>13</v>
      </c>
    </row>
    <row r="15" spans="1:2">
      <c r="A15" s="1" t="s">
        <v>13</v>
      </c>
      <c r="B15" s="4" t="s">
        <v>14</v>
      </c>
    </row>
    <row r="16" spans="1:2">
      <c r="A16" s="1" t="s">
        <v>14</v>
      </c>
      <c r="B16" s="4" t="s">
        <v>15</v>
      </c>
    </row>
    <row r="17" spans="1:2">
      <c r="A17" s="1" t="s">
        <v>15</v>
      </c>
      <c r="B17" s="1" t="s">
        <v>16</v>
      </c>
    </row>
    <row r="18" spans="1:2">
      <c r="A18" s="1" t="s">
        <v>16</v>
      </c>
      <c r="B18" s="1" t="s">
        <v>17</v>
      </c>
    </row>
    <row r="19" spans="1:2">
      <c r="A19" s="1" t="s">
        <v>17</v>
      </c>
      <c r="B19" s="4" t="s">
        <v>18</v>
      </c>
    </row>
    <row r="20" spans="1:2">
      <c r="A20" s="1" t="s">
        <v>18</v>
      </c>
      <c r="B20" s="1" t="s">
        <v>19</v>
      </c>
    </row>
    <row r="21" spans="1:2">
      <c r="A21" s="1" t="s">
        <v>19</v>
      </c>
      <c r="B21" s="4" t="s">
        <v>20</v>
      </c>
    </row>
    <row r="22" spans="1:2">
      <c r="A22" s="1" t="s">
        <v>20</v>
      </c>
      <c r="B22" s="1" t="s">
        <v>21</v>
      </c>
    </row>
    <row r="23" spans="1:2">
      <c r="A23" s="1" t="s">
        <v>21</v>
      </c>
      <c r="B23" s="1" t="s">
        <v>22</v>
      </c>
    </row>
    <row r="24" spans="1:2">
      <c r="A24" s="1" t="s">
        <v>22</v>
      </c>
      <c r="B24" s="1" t="s">
        <v>23</v>
      </c>
    </row>
    <row r="25" spans="1:2">
      <c r="A25" s="1" t="s">
        <v>23</v>
      </c>
      <c r="B25" s="4" t="s">
        <v>24</v>
      </c>
    </row>
    <row r="26" spans="1:2">
      <c r="A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FactClientes_InterfaceODOO</vt:lpstr>
      <vt:lpstr>Validaciones_odoo_inteface</vt:lpstr>
      <vt:lpstr>facturas_con_items_json</vt:lpstr>
      <vt:lpstr>Detalle1</vt:lpstr>
      <vt:lpstr>validaciones_json</vt:lpstr>
      <vt:lpstr>Checklist</vt:lpstr>
      <vt:lpstr>Detalle2</vt:lpstr>
      <vt:lpstr>Comparacion nuevos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2025-10-02T22:03:20Z</dcterms:modified>
</cp:coreProperties>
</file>